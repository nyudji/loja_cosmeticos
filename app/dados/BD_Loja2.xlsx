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B1D79105-6220-400B-BCCE-F05BD1C87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2" i="1"/>
  <c r="B8" i="4"/>
  <c r="B7" i="4"/>
  <c r="B6" i="4"/>
  <c r="B5" i="4"/>
  <c r="B3" i="4"/>
  <c r="B4" i="4" s="1"/>
  <c r="B2" i="4"/>
  <c r="B1" i="4"/>
  <c r="B9" i="4" s="1"/>
  <c r="M3" i="1"/>
  <c r="N3" i="1" s="1"/>
  <c r="M2" i="1"/>
  <c r="N2" i="1" s="1"/>
</calcChain>
</file>

<file path=xl/sharedStrings.xml><?xml version="1.0" encoding="utf-8"?>
<sst xmlns="http://schemas.openxmlformats.org/spreadsheetml/2006/main" count="5912" uniqueCount="1025">
  <si>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</si>
  <si>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</si>
  <si>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</si>
  <si>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</si>
  <si>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</si>
  <si>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</si>
  <si>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</si>
  <si>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</si>
  <si>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</si>
  <si>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</si>
  <si>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</si>
  <si>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</si>
  <si>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</si>
  <si>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</si>
  <si>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</si>
  <si>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</si>
  <si>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</si>
  <si>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</si>
  <si>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</si>
  <si>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</si>
  <si>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</si>
  <si>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</si>
  <si>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</si>
  <si>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</si>
  <si>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</si>
  <si>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</si>
  <si>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</si>
  <si>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</si>
  <si>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</si>
  <si>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Chá de Camomila e Lavanda</t>
  </si>
  <si>
    <t xml:space="preserve">HIdrata. Noturno \ calmante </t>
  </si>
  <si>
    <t xml:space="preserve">200ml </t>
  </si>
  <si>
    <t xml:space="preserve">Frasco 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</si>
  <si>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</si>
  <si>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</si>
  <si>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</si>
  <si>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</si>
  <si>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</si>
  <si>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</si>
  <si>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</si>
  <si>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</si>
  <si>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</si>
  <si>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</si>
  <si>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</si>
  <si>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</si>
  <si>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</si>
  <si>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</si>
  <si>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</si>
  <si>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</si>
  <si>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</si>
  <si>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 xml:space="preserve">Hidrata. Noturno \ calmante 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</si>
  <si>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</si>
  <si>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</si>
  <si>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</si>
  <si>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</si>
  <si>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</si>
  <si>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</si>
  <si>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</si>
  <si>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</si>
  <si>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</si>
  <si>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</si>
  <si>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</si>
  <si>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</si>
  <si>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</si>
  <si>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</si>
  <si>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</si>
  <si>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</si>
  <si>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</si>
  <si>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</si>
  <si>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</si>
  <si>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</si>
  <si>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</si>
  <si>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</si>
  <si>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</si>
  <si>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</si>
  <si>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</si>
  <si>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</si>
  <si>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</si>
  <si>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</si>
  <si>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Alecrim e Sálvia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</si>
  <si>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</si>
  <si>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</si>
  <si>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</si>
  <si>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</si>
  <si>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</si>
  <si>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</si>
  <si>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</si>
  <si>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</si>
  <si>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</si>
  <si>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</si>
  <si>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</si>
  <si>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</si>
  <si>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 xml:space="preserve">Macadamia </t>
  </si>
  <si>
    <t xml:space="preserve">Noz Pecã e Cacau </t>
  </si>
  <si>
    <t>Romã e Flor de Amora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</si>
  <si>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</si>
  <si>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</si>
  <si>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</si>
  <si>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</si>
  <si>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</si>
  <si>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</si>
  <si>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</si>
  <si>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</si>
  <si>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</si>
  <si>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</si>
  <si>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</si>
  <si>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</si>
  <si>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</si>
  <si>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</si>
  <si>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</si>
  <si>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</si>
  <si>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</si>
  <si>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</si>
  <si>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</si>
  <si>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</si>
  <si>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</si>
  <si>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</si>
  <si>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</si>
  <si>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</si>
  <si>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</si>
  <si>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</si>
  <si>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</si>
  <si>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</si>
  <si>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</si>
  <si>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</si>
  <si>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</si>
  <si>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Desodorante Antitranspirante Roll-on</t>
  </si>
  <si>
    <t>Aclarar</t>
  </si>
  <si>
    <t>70ml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</si>
  <si>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</si>
  <si>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</si>
  <si>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</si>
  <si>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</si>
  <si>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</si>
  <si>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</si>
  <si>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</si>
  <si>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</si>
  <si>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</si>
  <si>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</si>
  <si>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</si>
  <si>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</si>
  <si>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</si>
  <si>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</si>
  <si>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</si>
  <si>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</si>
  <si>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</si>
  <si>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</si>
  <si>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</si>
  <si>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 (Com Desodorante)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</si>
  <si>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</si>
  <si>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</si>
  <si>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</si>
  <si>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</si>
  <si>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</si>
  <si>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</si>
  <si>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</si>
  <si>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Chá de Camomila e Lavanda </t>
  </si>
  <si>
    <t xml:space="preserve">Banho nas Nuvens </t>
  </si>
  <si>
    <t xml:space="preserve">Banho Energizante </t>
  </si>
  <si>
    <t>Noz Pecã e Cacau</t>
  </si>
  <si>
    <t xml:space="preserve"> R$: 37,90</t>
  </si>
  <si>
    <t xml:space="preserve">Corpo e Mãos 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</si>
  <si>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</si>
  <si>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</si>
  <si>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</si>
  <si>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</si>
  <si>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</si>
  <si>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</si>
  <si>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</si>
  <si>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</si>
  <si>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</si>
  <si>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</si>
  <si>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</si>
  <si>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</si>
  <si>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</si>
  <si>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</si>
  <si>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</si>
  <si>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</si>
  <si>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</si>
  <si>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</si>
  <si>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</si>
  <si>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</si>
  <si>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</si>
  <si>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</si>
  <si>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</si>
  <si>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</si>
  <si>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</si>
  <si>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</si>
  <si>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</si>
  <si>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</si>
  <si>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</si>
  <si>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</si>
  <si>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</si>
  <si>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</si>
  <si>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</si>
  <si>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</si>
  <si>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</si>
  <si>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</si>
  <si>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</si>
  <si>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</si>
  <si>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</si>
  <si>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</si>
  <si>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</si>
  <si>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</si>
  <si>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</si>
  <si>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</si>
  <si>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</si>
  <si>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</si>
  <si>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</si>
  <si>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</si>
  <si>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</si>
  <si>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</si>
  <si>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</si>
  <si>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</si>
  <si>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</si>
  <si>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 para Cabelos</t>
  </si>
  <si>
    <t>Amora e Oléo Coco ( Reativador de Cachos )</t>
  </si>
  <si>
    <t xml:space="preserve">Spray Reativador de Cachos </t>
  </si>
  <si>
    <t>Maça verde e Aloe Vera (Hidrataçao antifrizz)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</si>
  <si>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</si>
  <si>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</si>
  <si>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</si>
  <si>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</si>
  <si>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</si>
  <si>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</si>
  <si>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</si>
  <si>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</si>
  <si>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</si>
  <si>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</si>
  <si>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</si>
  <si>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</si>
  <si>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</si>
  <si>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</si>
  <si>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</si>
  <si>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</si>
  <si>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</si>
  <si>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</si>
  <si>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</si>
  <si>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</si>
  <si>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</si>
  <si>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</si>
  <si>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</si>
  <si>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</si>
  <si>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</si>
  <si>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</si>
  <si>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</si>
  <si>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</si>
  <si>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</si>
  <si>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</si>
  <si>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</si>
  <si>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</si>
  <si>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</si>
  <si>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</si>
  <si>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</si>
  <si>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</si>
  <si>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</si>
  <si>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</si>
  <si>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</si>
  <si>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</si>
  <si>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</si>
  <si>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</si>
  <si>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</si>
  <si>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</si>
  <si>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</si>
  <si>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</si>
  <si>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</si>
  <si>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</si>
  <si>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</si>
  <si>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</si>
  <si>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</si>
  <si>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</si>
  <si>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</si>
  <si>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</si>
  <si>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</si>
  <si>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</si>
  <si>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</si>
  <si>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</si>
  <si>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</si>
  <si>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</si>
  <si>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</si>
  <si>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</si>
  <si>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</si>
  <si>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</si>
  <si>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</si>
  <si>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</si>
  <si>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</si>
  <si>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</si>
  <si>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</si>
  <si>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</si>
  <si>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</si>
  <si>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</si>
  <si>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</si>
  <si>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</si>
  <si>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</si>
  <si>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</si>
  <si>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</si>
  <si>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</si>
  <si>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</si>
  <si>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</si>
  <si>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</si>
  <si>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</si>
  <si>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</si>
  <si>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</si>
  <si>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</si>
  <si>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</si>
  <si>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</si>
  <si>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</si>
  <si>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</si>
  <si>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</si>
  <si>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</si>
  <si>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</si>
  <si>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</si>
  <si>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</si>
  <si>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</si>
  <si>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</si>
  <si>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</si>
  <si>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</si>
  <si>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</si>
  <si>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</si>
  <si>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</si>
  <si>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</si>
  <si>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</si>
  <si>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</si>
  <si>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</si>
  <si>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</si>
  <si>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</si>
  <si>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</si>
  <si>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</si>
  <si>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</si>
  <si>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</si>
  <si>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</si>
  <si>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</si>
  <si>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</si>
  <si>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</si>
  <si>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75ml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</si>
  <si>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</si>
  <si>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</si>
  <si>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</si>
  <si>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</si>
  <si>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</si>
  <si>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</si>
  <si>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</si>
  <si>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</si>
  <si>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</si>
  <si>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</si>
  <si>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</si>
  <si>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</si>
  <si>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</si>
  <si>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</si>
  <si>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</si>
  <si>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</si>
  <si>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</si>
  <si>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</si>
  <si>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</si>
  <si>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</si>
  <si>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</si>
  <si>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</si>
  <si>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</si>
  <si>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</si>
  <si>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</si>
  <si>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</si>
  <si>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</si>
  <si>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</si>
  <si>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</si>
  <si>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</si>
  <si>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</si>
  <si>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</si>
  <si>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</si>
  <si>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</si>
  <si>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</si>
  <si>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</si>
  <si>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</si>
  <si>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</si>
  <si>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</si>
  <si>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</si>
  <si>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</si>
  <si>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</si>
  <si>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</si>
  <si>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</si>
  <si>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</si>
  <si>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</si>
  <si>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</si>
  <si>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</si>
  <si>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</si>
  <si>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</si>
  <si>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</si>
  <si>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</si>
  <si>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</si>
  <si>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</si>
  <si>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</si>
  <si>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</si>
  <si>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</si>
  <si>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</si>
  <si>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</si>
  <si>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</si>
  <si>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</si>
  <si>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</si>
  <si>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</si>
  <si>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</si>
  <si>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</si>
  <si>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</si>
  <si>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</si>
  <si>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</si>
  <si>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</si>
  <si>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</si>
  <si>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 xml:space="preserve">Humor On - line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</si>
  <si>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</si>
  <si>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</si>
  <si>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</si>
  <si>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</si>
  <si>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</si>
  <si>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</si>
  <si>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</si>
  <si>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</si>
  <si>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</si>
  <si>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</si>
  <si>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</si>
  <si>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</si>
  <si>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</si>
  <si>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</si>
  <si>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</si>
  <si>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</si>
  <si>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</si>
  <si>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</si>
  <si>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</si>
  <si>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</si>
  <si>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</si>
  <si>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</si>
  <si>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</si>
  <si>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</si>
  <si>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</si>
  <si>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</si>
  <si>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</si>
  <si>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</si>
  <si>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</si>
  <si>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</si>
  <si>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</si>
  <si>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</si>
  <si>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</si>
  <si>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</si>
  <si>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</si>
  <si>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</si>
  <si>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</si>
  <si>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</si>
  <si>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</si>
  <si>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</si>
  <si>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</si>
  <si>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</si>
  <si>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</si>
  <si>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</si>
  <si>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</si>
  <si>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</si>
  <si>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</si>
  <si>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</si>
  <si>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</si>
  <si>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</si>
  <si>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</si>
  <si>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</si>
  <si>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</si>
  <si>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</si>
  <si>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</si>
  <si>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</si>
  <si>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</si>
  <si>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</si>
  <si>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</si>
  <si>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</si>
  <si>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</si>
  <si>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</si>
  <si>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</si>
  <si>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</si>
  <si>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</si>
  <si>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</si>
  <si>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</si>
  <si>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</si>
  <si>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</si>
  <si>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</si>
  <si>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</si>
  <si>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</si>
  <si>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</si>
  <si>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</si>
  <si>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</si>
  <si>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</si>
  <si>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 xml:space="preserve">200 g 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</si>
  <si>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</si>
  <si>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</si>
  <si>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</si>
  <si>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</si>
  <si>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</si>
  <si>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</si>
  <si>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</si>
  <si>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</si>
  <si>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</si>
  <si>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</si>
  <si>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</si>
  <si>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</si>
  <si>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</si>
  <si>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</si>
  <si>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</si>
  <si>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</si>
  <si>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</si>
  <si>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</si>
  <si>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</si>
  <si>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</si>
  <si>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</si>
  <si>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</si>
  <si>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</si>
  <si>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</si>
  <si>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</si>
  <si>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</si>
  <si>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</si>
  <si>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</si>
  <si>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</si>
  <si>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</si>
  <si>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</si>
  <si>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</si>
  <si>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</si>
  <si>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</si>
  <si>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</si>
  <si>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</si>
  <si>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</si>
  <si>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</si>
  <si>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</si>
  <si>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</si>
  <si>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</si>
  <si>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</si>
  <si>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</si>
  <si>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</si>
  <si>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</si>
  <si>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</si>
  <si>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</si>
  <si>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</si>
  <si>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</si>
  <si>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</si>
  <si>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</si>
  <si>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</si>
  <si>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</si>
  <si>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</si>
  <si>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</si>
  <si>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</si>
  <si>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 xml:space="preserve">50ml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</si>
  <si>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</si>
  <si>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</si>
  <si>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</si>
  <si>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</si>
  <si>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</si>
  <si>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</si>
  <si>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</si>
  <si>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</si>
  <si>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</si>
  <si>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</si>
  <si>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</si>
  <si>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</si>
  <si>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</si>
  <si>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</si>
  <si>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</si>
  <si>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</si>
  <si>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</si>
  <si>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</si>
  <si>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</si>
  <si>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</si>
  <si>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</si>
  <si>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</si>
  <si>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</si>
  <si>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</si>
  <si>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</si>
  <si>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</si>
  <si>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</si>
  <si>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</si>
  <si>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</si>
  <si>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</si>
  <si>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</si>
  <si>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</si>
  <si>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</si>
  <si>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</si>
  <si>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</si>
  <si>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</si>
  <si>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</si>
  <si>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</si>
  <si>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</si>
  <si>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</si>
  <si>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</si>
  <si>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</si>
  <si>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</si>
  <si>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</si>
  <si>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</si>
  <si>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</si>
  <si>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</si>
  <si>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</si>
  <si>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</si>
  <si>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</si>
  <si>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</si>
  <si>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</si>
  <si>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</si>
  <si>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</si>
  <si>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</si>
  <si>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</si>
  <si>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</si>
  <si>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</si>
  <si>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</si>
  <si>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</si>
  <si>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</si>
  <si>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</si>
  <si>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</si>
  <si>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</si>
  <si>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</si>
  <si>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</si>
  <si>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</si>
  <si>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</si>
  <si>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</si>
  <si>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</si>
  <si>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</si>
  <si>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</si>
  <si>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</si>
  <si>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</si>
  <si>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</si>
  <si>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</si>
  <si>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</si>
  <si>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</si>
  <si>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</si>
  <si>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</si>
  <si>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</si>
  <si>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</si>
  <si>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</si>
  <si>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</si>
  <si>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</si>
  <si>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</si>
  <si>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</si>
  <si>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</si>
  <si>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</si>
  <si>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</si>
  <si>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</si>
  <si>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</si>
  <si>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</si>
  <si>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</si>
  <si>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</si>
  <si>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</si>
  <si>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</si>
  <si>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>Refiil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</si>
  <si>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</si>
  <si>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</si>
  <si>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</si>
  <si>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</si>
  <si>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</si>
  <si>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</si>
  <si>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</si>
  <si>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</si>
  <si>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</si>
  <si>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</si>
  <si>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</si>
  <si>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</si>
  <si>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</si>
  <si>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</si>
  <si>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</si>
  <si>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</si>
  <si>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</si>
  <si>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</si>
  <si>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</si>
  <si>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</si>
  <si>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</si>
  <si>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</si>
  <si>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</si>
  <si>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</si>
  <si>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</si>
  <si>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</si>
  <si>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</si>
  <si>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</si>
  <si>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</si>
  <si>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</si>
  <si>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</si>
  <si>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</si>
  <si>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</si>
  <si>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</si>
  <si>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</si>
  <si>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</si>
  <si>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</si>
  <si>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</si>
  <si>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</si>
  <si>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</si>
  <si>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</si>
  <si>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</si>
  <si>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</si>
  <si>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</si>
  <si>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</si>
  <si>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</si>
  <si>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</si>
  <si>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</si>
  <si>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</si>
  <si>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</si>
  <si>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</si>
  <si>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</si>
  <si>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</si>
  <si>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</si>
  <si>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</si>
  <si>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</si>
  <si>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</si>
  <si>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</si>
  <si>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</si>
  <si>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</si>
  <si>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</si>
  <si>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</si>
  <si>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</si>
  <si>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</si>
  <si>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</si>
  <si>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</si>
  <si>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</si>
  <si>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</si>
  <si>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</si>
  <si>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</si>
  <si>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</si>
  <si>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</si>
  <si>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</si>
  <si>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</si>
  <si>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</si>
  <si>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</si>
  <si>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</si>
  <si>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</si>
  <si>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</si>
  <si>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</si>
  <si>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</si>
  <si>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</si>
  <si>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</si>
  <si>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</si>
  <si>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</si>
  <si>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</si>
  <si>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</si>
  <si>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</si>
  <si>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</si>
  <si>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</si>
  <si>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</si>
  <si>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</si>
  <si>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</si>
  <si>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</si>
  <si>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</si>
  <si>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</si>
  <si>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</si>
  <si>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</si>
  <si>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</si>
  <si>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</si>
  <si>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</si>
  <si>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</si>
  <si>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</si>
  <si>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</si>
  <si>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</si>
  <si>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</si>
  <si>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</si>
  <si>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</si>
  <si>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</si>
  <si>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</si>
  <si>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</si>
  <si>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</si>
  <si>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</si>
  <si>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</si>
  <si>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</si>
  <si>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</si>
  <si>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</si>
  <si>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</si>
  <si>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</si>
  <si>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</si>
  <si>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</si>
  <si>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</si>
  <si>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</si>
  <si>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</si>
  <si>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</si>
  <si>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</si>
  <si>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</si>
  <si>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</si>
  <si>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</si>
  <si>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</si>
  <si>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</si>
  <si>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</si>
  <si>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</si>
  <si>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</si>
  <si>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</si>
  <si>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</si>
  <si>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</si>
  <si>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</si>
  <si>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</si>
  <si>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</si>
  <si>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</si>
  <si>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</si>
  <si>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</si>
  <si>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</si>
  <si>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</si>
  <si>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</si>
  <si>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</si>
  <si>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</si>
  <si>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</si>
  <si>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</si>
  <si>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</si>
  <si>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</si>
  <si>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</si>
  <si>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</si>
  <si>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</si>
  <si>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</si>
  <si>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</si>
  <si>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</si>
  <si>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</si>
  <si>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</si>
  <si>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</si>
  <si>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</si>
  <si>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</si>
  <si>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</si>
  <si>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</si>
  <si>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</si>
  <si>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</si>
  <si>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</si>
  <si>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</si>
  <si>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</si>
  <si>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</si>
  <si>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</si>
  <si>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</si>
  <si>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</si>
  <si>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</si>
  <si>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</si>
  <si>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</si>
  <si>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</si>
  <si>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</si>
  <si>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</si>
  <si>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</si>
  <si>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</si>
  <si>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</si>
  <si>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</si>
  <si>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</si>
  <si>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</si>
  <si>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</si>
  <si>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</si>
  <si>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</si>
  <si>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</si>
  <si>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</si>
  <si>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</si>
  <si>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</si>
  <si>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</si>
  <si>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</si>
  <si>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</si>
  <si>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</si>
  <si>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</si>
  <si>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</si>
  <si>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</si>
  <si>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</si>
  <si>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</si>
  <si>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</si>
  <si>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</si>
  <si>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</si>
  <si>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</si>
  <si>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</si>
  <si>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</si>
  <si>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</si>
  <si>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</si>
  <si>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</si>
  <si>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</si>
  <si>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</si>
  <si>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</si>
  <si>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</si>
  <si>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</si>
  <si>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</si>
  <si>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</si>
  <si>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</si>
  <si>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</si>
  <si>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</si>
  <si>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</si>
  <si>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</si>
  <si>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</si>
  <si>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</si>
  <si>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</si>
  <si>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</si>
  <si>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</si>
  <si>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</si>
  <si>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</si>
  <si>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</si>
  <si>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</si>
  <si>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</si>
  <si>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</si>
  <si>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</si>
  <si>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</si>
  <si>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</si>
  <si>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</si>
  <si>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</si>
  <si>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</si>
  <si>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</si>
  <si>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</si>
  <si>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</si>
  <si>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</si>
  <si>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</si>
  <si>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</si>
  <si>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</si>
  <si>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</si>
  <si>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</si>
  <si>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</si>
  <si>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</si>
  <si>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</si>
  <si>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</si>
  <si>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</si>
  <si>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</si>
  <si>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</si>
  <si>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</si>
  <si>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</si>
  <si>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</si>
  <si>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</si>
  <si>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</si>
  <si>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</si>
  <si>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</si>
  <si>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</si>
  <si>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</si>
  <si>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</si>
  <si>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</si>
  <si>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</si>
  <si>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</si>
  <si>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</si>
  <si>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</si>
  <si>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</si>
  <si>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</si>
  <si>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</si>
  <si>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</si>
  <si>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</si>
  <si>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</si>
  <si>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</si>
  <si>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</si>
  <si>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</si>
  <si>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</si>
  <si>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</si>
  <si>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</si>
  <si>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</si>
  <si>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</si>
  <si>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</si>
  <si>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</si>
  <si>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</si>
  <si>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</si>
  <si>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</si>
  <si>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</si>
  <si>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</si>
  <si>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</si>
  <si>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</si>
  <si>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</si>
  <si>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</si>
  <si>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</si>
  <si>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</si>
  <si>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</si>
  <si>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</si>
  <si>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</si>
  <si>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</si>
  <si>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</si>
  <si>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</si>
  <si>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</si>
  <si>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</si>
  <si>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</si>
  <si>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</si>
  <si>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</si>
  <si>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</si>
  <si>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</si>
  <si>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</si>
  <si>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</si>
  <si>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</si>
  <si>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</si>
  <si>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</si>
  <si>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</si>
  <si>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</si>
  <si>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</si>
  <si>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</si>
  <si>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</si>
  <si>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</si>
  <si>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</si>
  <si>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</si>
  <si>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</si>
  <si>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1</t>
  </si>
  <si>
    <t>Natura Hidrante Desodorante Corporal Tododia Algodão 400ml Frasco</t>
  </si>
  <si>
    <t>ASD</t>
  </si>
  <si>
    <t>SAÍDA</t>
  </si>
  <si>
    <t>ASDASDSAD</t>
  </si>
  <si>
    <t>PAGO</t>
  </si>
  <si>
    <t>Pix</t>
  </si>
  <si>
    <t>V-23A77E</t>
  </si>
  <si>
    <t>GHHHH</t>
  </si>
  <si>
    <t>aa</t>
  </si>
  <si>
    <t>V-A4BAD1</t>
  </si>
  <si>
    <t>ASDDAS</t>
  </si>
  <si>
    <t>Parcela 1/2</t>
  </si>
  <si>
    <t>A RECEBER</t>
  </si>
  <si>
    <t>Parcelado</t>
  </si>
  <si>
    <t>V-4F0824</t>
  </si>
  <si>
    <t>Parcela 2/2</t>
  </si>
  <si>
    <t>2</t>
  </si>
  <si>
    <t>Natura Hidrante Desodorante Corporal Tododia Ameixa e Flor de Baunilha 400ml Frasco</t>
  </si>
  <si>
    <t>Parcela 1/2 | a</t>
  </si>
  <si>
    <t>V-059D98</t>
  </si>
  <si>
    <t>Parcela 2/2 | a</t>
  </si>
  <si>
    <t>ENTRADA</t>
  </si>
  <si>
    <t>E-766FE7</t>
  </si>
  <si>
    <t>Ciclo 26</t>
  </si>
  <si>
    <t>E-37A388</t>
  </si>
  <si>
    <t>V-DA3106</t>
  </si>
  <si>
    <t>Fiado</t>
  </si>
  <si>
    <t>V-1567C2</t>
  </si>
  <si>
    <t>2025-11-02 23:59:59</t>
  </si>
  <si>
    <t>E-BF13D6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</si>
  <si>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</si>
  <si>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</si>
  <si>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</si>
  <si>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</si>
  <si>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</si>
  <si>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</si>
  <si>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</si>
  <si>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</si>
  <si>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</si>
  <si>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</si>
  <si>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</si>
  <si>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</si>
  <si>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</si>
  <si>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</si>
  <si>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</si>
  <si>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</si>
  <si>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</si>
  <si>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</si>
  <si>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</si>
  <si>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</si>
  <si>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</si>
  <si>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</si>
  <si>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</si>
  <si>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</si>
  <si>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</si>
  <si>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</si>
  <si>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</si>
  <si>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</si>
  <si>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</si>
  <si>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</si>
  <si>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Sofisticada que harmoniza as flores brancas com notas ambaradas e um toque da exclusiva vanilla bahiana / Dualidade entre força e delicadeza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</si>
</sst>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3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32" fillId="0" borderId="0"/>
    <xf numFmtId="44" fontId="32" fillId="0" borderId="0"/>
    <xf numFmtId="9" fontId="32" fillId="0" borderId="0"/>
    <xf numFmtId="44" fontId="32" fillId="0" borderId="0"/>
  </cellStyleXfs>
  <cellXfs count="173">
    <xf numFmtId="0" fontId="0" fillId="0" borderId="0" xfId="0"/>
    <xf numFmtId="0" fontId="0" fillId="0" borderId="3" xfId="0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2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0" fillId="8" borderId="0" xfId="0" applyFill="1"/>
    <xf numFmtId="0" fontId="10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2" fillId="9" borderId="3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0" fillId="8" borderId="3" xfId="0" applyFill="1" applyBorder="1"/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12" borderId="0" xfId="0" applyFill="1"/>
    <xf numFmtId="0" fontId="12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top"/>
    </xf>
    <xf numFmtId="0" fontId="12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8" borderId="3" xfId="0" applyFont="1" applyFill="1" applyBorder="1" applyAlignment="1">
      <alignment horizontal="center"/>
    </xf>
    <xf numFmtId="0" fontId="22" fillId="8" borderId="8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/>
    <xf numFmtId="0" fontId="24" fillId="0" borderId="0" xfId="0" applyFont="1"/>
    <xf numFmtId="0" fontId="21" fillId="0" borderId="0" xfId="0" applyFont="1"/>
    <xf numFmtId="0" fontId="12" fillId="0" borderId="10" xfId="0" applyFont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20" borderId="0" xfId="0" applyFont="1" applyFill="1" applyAlignment="1">
      <alignment horizontal="center" wrapText="1"/>
    </xf>
    <xf numFmtId="0" fontId="27" fillId="0" borderId="0" xfId="0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6" fillId="8" borderId="3" xfId="0" applyFont="1" applyFill="1" applyBorder="1"/>
    <xf numFmtId="0" fontId="17" fillId="8" borderId="3" xfId="0" applyFont="1" applyFill="1" applyBorder="1" applyAlignment="1">
      <alignment horizontal="center"/>
    </xf>
    <xf numFmtId="0" fontId="16" fillId="8" borderId="0" xfId="0" applyFont="1" applyFill="1"/>
    <xf numFmtId="0" fontId="28" fillId="8" borderId="3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0" fillId="0" borderId="3" xfId="0" applyFont="1" applyBorder="1"/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8" borderId="0" xfId="0" applyFont="1" applyFill="1" applyAlignment="1">
      <alignment horizontal="center" vertical="top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30" fillId="8" borderId="0" xfId="0" applyFont="1" applyFill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18" fillId="15" borderId="3" xfId="0" applyFont="1" applyFill="1" applyBorder="1" applyAlignment="1">
      <alignment horizontal="center"/>
    </xf>
    <xf numFmtId="0" fontId="19" fillId="17" borderId="3" xfId="0" applyFont="1" applyFill="1" applyBorder="1" applyAlignment="1">
      <alignment horizontal="center"/>
    </xf>
    <xf numFmtId="0" fontId="19" fillId="18" borderId="3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9" fillId="8" borderId="3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/>
    </xf>
    <xf numFmtId="0" fontId="35" fillId="2" borderId="16" xfId="0" applyFont="1" applyFill="1" applyBorder="1" applyAlignment="1">
      <alignment horizontal="center"/>
    </xf>
    <xf numFmtId="0" fontId="36" fillId="28" borderId="0" xfId="0" applyFont="1" applyFill="1"/>
    <xf numFmtId="0" fontId="37" fillId="0" borderId="0" xfId="0" applyFont="1"/>
    <xf numFmtId="9" fontId="37" fillId="0" borderId="0" xfId="1" applyFont="1"/>
    <xf numFmtId="0" fontId="31" fillId="0" borderId="0" xfId="0" applyFont="1" applyAlignment="1">
      <alignment horizontal="center"/>
    </xf>
    <xf numFmtId="0" fontId="33" fillId="2" borderId="0" xfId="0" applyFont="1" applyFill="1"/>
    <xf numFmtId="0" fontId="0" fillId="0" borderId="0" xfId="0" applyAlignment="1">
      <alignment wrapText="1"/>
    </xf>
    <xf numFmtId="0" fontId="0" fillId="0" borderId="0" xfId="0"/>
    <xf numFmtId="8" fontId="10" fillId="0" borderId="0" xfId="0" applyNumberFormat="1" applyFont="1" applyAlignment="1">
      <alignment horizontal="center"/>
    </xf>
    <xf numFmtId="8" fontId="10" fillId="8" borderId="0" xfId="0" applyNumberFormat="1" applyFont="1" applyFill="1" applyAlignment="1">
      <alignment horizontal="center"/>
    </xf>
    <xf numFmtId="8" fontId="10" fillId="0" borderId="3" xfId="0" applyNumberFormat="1" applyFont="1" applyBorder="1" applyAlignment="1">
      <alignment horizontal="center"/>
    </xf>
    <xf numFmtId="6" fontId="13" fillId="0" borderId="3" xfId="0" applyNumberFormat="1" applyFont="1" applyBorder="1" applyAlignment="1">
      <alignment horizontal="center"/>
    </xf>
    <xf numFmtId="8" fontId="10" fillId="0" borderId="6" xfId="0" applyNumberFormat="1" applyFont="1" applyBorder="1" applyAlignment="1">
      <alignment horizontal="center"/>
    </xf>
    <xf numFmtId="8" fontId="10" fillId="0" borderId="8" xfId="0" applyNumberFormat="1" applyFont="1" applyBorder="1" applyAlignment="1">
      <alignment horizontal="center"/>
    </xf>
    <xf numFmtId="8" fontId="15" fillId="0" borderId="0" xfId="0" applyNumberFormat="1" applyFont="1" applyAlignment="1">
      <alignment horizontal="center"/>
    </xf>
    <xf numFmtId="8" fontId="12" fillId="5" borderId="3" xfId="0" applyNumberFormat="1" applyFont="1" applyFill="1" applyBorder="1" applyAlignment="1">
      <alignment horizontal="center"/>
    </xf>
    <xf numFmtId="8" fontId="12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0" fillId="0" borderId="5" xfId="0" applyNumberFormat="1" applyFont="1" applyBorder="1" applyAlignment="1">
      <alignment horizontal="center" vertical="center"/>
    </xf>
    <xf numFmtId="8" fontId="12" fillId="8" borderId="3" xfId="0" applyNumberFormat="1" applyFont="1" applyFill="1" applyBorder="1" applyAlignment="1">
      <alignment horizontal="center"/>
    </xf>
    <xf numFmtId="8" fontId="10" fillId="8" borderId="3" xfId="0" applyNumberFormat="1" applyFont="1" applyFill="1" applyBorder="1" applyAlignment="1">
      <alignment horizontal="center"/>
    </xf>
    <xf numFmtId="8" fontId="10" fillId="0" borderId="4" xfId="0" applyNumberFormat="1" applyFont="1" applyBorder="1" applyAlignment="1">
      <alignment horizontal="center"/>
    </xf>
    <xf numFmtId="6" fontId="10" fillId="0" borderId="3" xfId="0" applyNumberFormat="1" applyFont="1" applyBorder="1" applyAlignment="1">
      <alignment horizontal="center"/>
    </xf>
    <xf numFmtId="164" fontId="37" fillId="0" borderId="0" xfId="0" applyNumberFormat="1" applyFont="1"/>
    <xf numFmtId="44" fontId="37" fillId="0" borderId="0" xfId="2" applyFont="1"/>
    <xf numFmtId="0" fontId="38" fillId="0" borderId="17" xfId="0" applyFont="1" applyBorder="1" applyAlignment="1">
      <alignment horizontal="center" vertical="top"/>
    </xf>
    <xf numFmtId="165" fontId="0" fillId="0" borderId="0" xfId="0" applyNumberFormat="1"/>
    <xf numFmtId="0" fontId="8" fillId="23" borderId="3" xfId="0" applyFont="1" applyFill="1" applyBorder="1" applyAlignment="1">
      <alignment horizontal="center"/>
    </xf>
  </cellXfs>
  <cellStyles count="5">
    <cellStyle name="Moeda" xfId="2" builtinId="4"/>
    <cellStyle name="Moeda 2" xfId="4" xr:uid="{00000000-0005-0000-0000-000004000000}"/>
    <cellStyle name="Normal" xfId="0" builtinId="0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tabSelected="1" zoomScale="85" zoomScaleNormal="85" workbookViewId="0">
      <selection activeCell="A5" sqref="A2:A5"/>
    </sheetView>
  </sheetViews>
  <sheetFormatPr defaultColWidth="12.5703125" defaultRowHeight="15.75" customHeight="1" x14ac:dyDescent="0.25"/>
  <cols>
    <col min="2" max="2" width="20.42578125" style="75" customWidth="1"/>
    <col min="3" max="3" width="15" style="28" customWidth="1"/>
    <col min="4" max="4" width="44.140625" style="85" customWidth="1"/>
    <col min="5" max="5" width="97.28515625" style="21" customWidth="1"/>
    <col min="6" max="6" width="66.42578125" style="21" customWidth="1"/>
    <col min="7" max="7" width="10.42578125" style="54" customWidth="1"/>
    <col min="8" max="8" width="15.85546875" style="21" customWidth="1"/>
    <col min="9" max="9" width="9.42578125" style="52" customWidth="1"/>
    <col min="10" max="10" width="182.42578125" style="21" customWidth="1"/>
    <col min="11" max="11" width="18.140625" style="21" customWidth="1"/>
    <col min="12" max="12" width="18.85546875" style="151" customWidth="1"/>
    <col min="14" max="14" width="24.5703125" style="151" customWidth="1"/>
  </cols>
  <sheetData>
    <row r="1" spans="1:14" ht="15" customHeight="1" x14ac:dyDescent="0.25">
      <c r="A1" s="139" t="s">
        <v>0</v>
      </c>
      <c r="B1" s="139" t="s">
        <v>1</v>
      </c>
      <c r="C1" s="140" t="s">
        <v>2</v>
      </c>
      <c r="D1" s="141" t="s">
        <v>3</v>
      </c>
      <c r="E1" s="141" t="s">
        <v>4</v>
      </c>
      <c r="F1" s="141" t="s">
        <v>5</v>
      </c>
      <c r="G1" s="142" t="s">
        <v>6</v>
      </c>
      <c r="H1" s="143" t="s">
        <v>7</v>
      </c>
      <c r="I1" s="141" t="s">
        <v>8</v>
      </c>
      <c r="J1" s="144" t="s">
        <v>9</v>
      </c>
      <c r="K1" s="141" t="s">
        <v>10</v>
      </c>
      <c r="L1" s="139" t="s">
        <v>11</v>
      </c>
      <c r="M1" s="140" t="s">
        <v>12</v>
      </c>
      <c r="N1" s="149" t="s">
        <v>13</v>
      </c>
    </row>
    <row r="2" spans="1:14" ht="15" customHeight="1" x14ac:dyDescent="0.25">
      <c r="B2" s="89" t="s">
        <v>14</v>
      </c>
      <c r="C2" s="98" t="s">
        <v>15</v>
      </c>
      <c r="D2" s="86" t="s">
        <v>16</v>
      </c>
      <c r="E2" s="116" t="str">
        <f>TRIM(CONCATENATE(C2, " ", D2, " ", F2, " ", IF(G2&gt;0, G2 &amp; "x" &amp; H2, H2), " ", I2))</f>
        <v>Tododia Hidrante Desodorante Corporal Algodão 400ml Frasco</v>
      </c>
      <c r="F2" s="26" t="s">
        <v>17</v>
      </c>
      <c r="G2" s="28"/>
      <c r="H2" s="26" t="s">
        <v>18</v>
      </c>
      <c r="I2" s="46" t="s">
        <v>19</v>
      </c>
      <c r="J2" s="86" t="s">
        <v>20</v>
      </c>
      <c r="K2" s="152">
        <v>76</v>
      </c>
      <c r="L2" s="152">
        <v>76</v>
      </c>
      <c r="M2" s="150">
        <f>SUMIF(Movimento!B:B, A2, Movimento!F:F)</f>
        <v>0</v>
      </c>
      <c r="N2" t="str">
        <f>IF(M2=0,"Falta Pedir!",IF(M2&lt;=3,"Baixo Estoque","Em Estoque"))</f>
        <v>Falta Pedir!</v>
      </c>
    </row>
    <row r="3" spans="1:14" ht="15" customHeight="1" x14ac:dyDescent="0.25">
      <c r="B3" s="89" t="s">
        <v>14</v>
      </c>
      <c r="C3" s="98" t="s">
        <v>15</v>
      </c>
      <c r="D3" s="86" t="s">
        <v>16</v>
      </c>
      <c r="E3" s="116" t="str">
        <f t="shared" ref="E3:E66" si="0">TRIM(CONCATENATE(C3, " ", D3, " ", F3, " ", IF(G3&gt;0, G3 &amp; "x" &amp; H3, H3), " ", I3))</f>
        <v>Tododia Hidrante Desodorante Corporal Ameixa e Flor de Baunilha 400ml Frasco</v>
      </c>
      <c r="F3" s="26" t="s">
        <v>21</v>
      </c>
      <c r="G3" s="28"/>
      <c r="H3" s="26" t="s">
        <v>18</v>
      </c>
      <c r="I3" s="46" t="s">
        <v>19</v>
      </c>
      <c r="J3" s="2" t="s">
        <v>22</v>
      </c>
      <c r="K3" s="152">
        <v>75.900000000000006</v>
      </c>
      <c r="L3" s="152">
        <v>75.900000000000006</v>
      </c>
      <c r="M3" s="150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89" t="s">
        <v>14</v>
      </c>
      <c r="C4" s="98" t="s">
        <v>15</v>
      </c>
      <c r="D4" s="86" t="s">
        <v>16</v>
      </c>
      <c r="E4" s="116" t="str">
        <f t="shared" si="0"/>
        <v>Tododia Hidrante Desodorante Corporal Acerola e Hibisco 400ml Frasco</v>
      </c>
      <c r="F4" s="26" t="s">
        <v>23</v>
      </c>
      <c r="G4" s="28"/>
      <c r="H4" s="26" t="s">
        <v>18</v>
      </c>
      <c r="I4" s="46" t="s">
        <v>19</v>
      </c>
      <c r="J4" s="2" t="s">
        <v>24</v>
      </c>
      <c r="K4" s="152">
        <v>75.900000000000006</v>
      </c>
      <c r="L4" s="152">
        <v>75.900000000000006</v>
      </c>
    </row>
    <row r="5" spans="1:14" ht="15" customHeight="1" x14ac:dyDescent="0.25">
      <c r="B5" s="89" t="s">
        <v>14</v>
      </c>
      <c r="C5" s="98" t="s">
        <v>15</v>
      </c>
      <c r="D5" s="86" t="s">
        <v>16</v>
      </c>
      <c r="E5" s="116" t="str">
        <f t="shared" si="0"/>
        <v>Tododia Hidrante Desodorante Corporal Amora Vermelha e Jabuticaba 400ml Frasco</v>
      </c>
      <c r="F5" s="26" t="s">
        <v>25</v>
      </c>
      <c r="G5" s="28"/>
      <c r="H5" s="26" t="s">
        <v>18</v>
      </c>
      <c r="I5" s="46" t="s">
        <v>19</v>
      </c>
      <c r="J5" s="86" t="s">
        <v>20</v>
      </c>
      <c r="K5" s="152">
        <v>75.900000000000006</v>
      </c>
      <c r="L5" s="152">
        <v>75.900000000000006</v>
      </c>
    </row>
    <row r="6" spans="1:14" ht="15" customHeight="1" x14ac:dyDescent="0.25">
      <c r="B6" s="89" t="s">
        <v>14</v>
      </c>
      <c r="C6" s="98" t="s">
        <v>15</v>
      </c>
      <c r="D6" s="86" t="s">
        <v>16</v>
      </c>
      <c r="E6" s="116" t="str">
        <f t="shared" si="0"/>
        <v>Tododia Hidrante Desodorante Corporal Capim Limão e Hortelã 400ml Frasco</v>
      </c>
      <c r="F6" s="26" t="s">
        <v>26</v>
      </c>
      <c r="G6" s="28"/>
      <c r="H6" s="26" t="s">
        <v>18</v>
      </c>
      <c r="I6" s="46" t="s">
        <v>19</v>
      </c>
      <c r="J6" s="86" t="s">
        <v>20</v>
      </c>
      <c r="K6" s="152">
        <v>75.900000000000006</v>
      </c>
      <c r="L6" s="152">
        <v>75.900000000000006</v>
      </c>
    </row>
    <row r="7" spans="1:14" ht="15" customHeight="1" x14ac:dyDescent="0.25">
      <c r="B7" s="89" t="s">
        <v>14</v>
      </c>
      <c r="C7" s="98" t="s">
        <v>15</v>
      </c>
      <c r="D7" s="86" t="s">
        <v>16</v>
      </c>
      <c r="E7" s="116" t="str">
        <f t="shared" si="0"/>
        <v>Tododia Hidrante Desodorante Corporal Cereja Negra e Praliné 400ml Frasco</v>
      </c>
      <c r="F7" s="26" t="s">
        <v>27</v>
      </c>
      <c r="G7" s="28"/>
      <c r="H7" s="26" t="s">
        <v>18</v>
      </c>
      <c r="I7" s="46" t="s">
        <v>19</v>
      </c>
      <c r="J7" s="86" t="s">
        <v>20</v>
      </c>
      <c r="K7" s="152">
        <v>75.900000000000006</v>
      </c>
      <c r="L7" s="152">
        <v>75.900000000000006</v>
      </c>
    </row>
    <row r="8" spans="1:14" ht="15" customHeight="1" x14ac:dyDescent="0.25">
      <c r="B8" s="89" t="s">
        <v>14</v>
      </c>
      <c r="C8" s="98" t="s">
        <v>15</v>
      </c>
      <c r="D8" s="86" t="s">
        <v>16</v>
      </c>
      <c r="E8" s="116" t="str">
        <f t="shared" si="0"/>
        <v>Tododia Hidrante Desodorante Corporal Cereja e Avela 400ml Frasco</v>
      </c>
      <c r="F8" s="26" t="s">
        <v>28</v>
      </c>
      <c r="G8" s="28"/>
      <c r="H8" s="26" t="s">
        <v>18</v>
      </c>
      <c r="I8" s="46" t="s">
        <v>19</v>
      </c>
      <c r="J8" s="86" t="s">
        <v>20</v>
      </c>
      <c r="K8" s="152">
        <v>75.900000000000006</v>
      </c>
      <c r="L8" s="152">
        <v>75.900000000000006</v>
      </c>
    </row>
    <row r="9" spans="1:14" ht="15" customHeight="1" x14ac:dyDescent="0.25">
      <c r="B9" s="89" t="s">
        <v>14</v>
      </c>
      <c r="C9" s="98" t="s">
        <v>15</v>
      </c>
      <c r="D9" s="86" t="s">
        <v>16</v>
      </c>
      <c r="E9" s="116" t="str">
        <f t="shared" si="0"/>
        <v>Tododia Hidrante Desodorante Corporal Chá de Camomila e Lavanda 400ml Frasco</v>
      </c>
      <c r="F9" s="26" t="s">
        <v>29</v>
      </c>
      <c r="G9" s="28"/>
      <c r="H9" s="26" t="s">
        <v>18</v>
      </c>
      <c r="I9" s="46" t="s">
        <v>19</v>
      </c>
      <c r="J9" s="2" t="s">
        <v>30</v>
      </c>
      <c r="K9" s="152">
        <v>75.900000000000006</v>
      </c>
      <c r="L9" s="152">
        <v>75.900000000000006</v>
      </c>
    </row>
    <row r="10" spans="1:14" ht="15" customHeight="1" x14ac:dyDescent="0.25">
      <c r="B10" s="89" t="s">
        <v>14</v>
      </c>
      <c r="C10" s="98" t="s">
        <v>15</v>
      </c>
      <c r="D10" s="86" t="s">
        <v>16</v>
      </c>
      <c r="E10" s="116" t="str">
        <f t="shared" si="0"/>
        <v>Tododia Hidrante Desodorante Corporal Chá de Camomila e Lavanda 200ml Frasco</v>
      </c>
      <c r="F10" s="26" t="s">
        <v>29</v>
      </c>
      <c r="G10" s="28"/>
      <c r="H10" s="26" t="s">
        <v>31</v>
      </c>
      <c r="I10" s="46" t="s">
        <v>32</v>
      </c>
      <c r="J10" s="2" t="s">
        <v>30</v>
      </c>
      <c r="K10" s="152"/>
      <c r="L10" s="152"/>
    </row>
    <row r="11" spans="1:14" ht="15" customHeight="1" x14ac:dyDescent="0.25">
      <c r="B11" s="89" t="s">
        <v>14</v>
      </c>
      <c r="C11" s="98" t="s">
        <v>15</v>
      </c>
      <c r="D11" s="86" t="s">
        <v>16</v>
      </c>
      <c r="E11" s="116" t="str">
        <f t="shared" si="0"/>
        <v>Tododia Hidrante Desodorante Corporal Flor de Gengibre e Tangerina 400 ml Frasco</v>
      </c>
      <c r="F11" s="26" t="s">
        <v>33</v>
      </c>
      <c r="G11" s="28"/>
      <c r="H11" s="26" t="s">
        <v>34</v>
      </c>
      <c r="I11" s="46" t="s">
        <v>19</v>
      </c>
      <c r="J11" s="2" t="s">
        <v>35</v>
      </c>
      <c r="K11" s="152">
        <v>75.900000000000006</v>
      </c>
      <c r="L11" s="152">
        <v>75.900000000000006</v>
      </c>
    </row>
    <row r="12" spans="1:14" ht="15" customHeight="1" x14ac:dyDescent="0.25">
      <c r="B12" s="89" t="s">
        <v>14</v>
      </c>
      <c r="C12" s="98" t="s">
        <v>15</v>
      </c>
      <c r="D12" s="86" t="s">
        <v>16</v>
      </c>
      <c r="E12" s="116" t="str">
        <f t="shared" si="0"/>
        <v>Tododia Hidrante Desodorante Corporal Flor de Pera e Melissa 400ml Frasco</v>
      </c>
      <c r="F12" s="126" t="s">
        <v>36</v>
      </c>
      <c r="G12" s="28"/>
      <c r="H12" s="26" t="s">
        <v>18</v>
      </c>
      <c r="I12" s="46" t="s">
        <v>19</v>
      </c>
      <c r="J12" s="86" t="s">
        <v>20</v>
      </c>
      <c r="K12" s="152">
        <v>75.900000000000006</v>
      </c>
      <c r="L12" s="152">
        <v>75.900000000000006</v>
      </c>
    </row>
    <row r="13" spans="1:14" ht="15" customHeight="1" x14ac:dyDescent="0.25">
      <c r="B13" s="89" t="s">
        <v>14</v>
      </c>
      <c r="C13" s="98" t="s">
        <v>15</v>
      </c>
      <c r="D13" s="86" t="s">
        <v>16</v>
      </c>
      <c r="E13" s="116" t="str">
        <f t="shared" si="0"/>
        <v>Tododia Hidrante Desodorante Corporal Framboesa e PImenta Vermelha 400ml Frasco</v>
      </c>
      <c r="F13" s="26" t="s">
        <v>37</v>
      </c>
      <c r="G13" s="28"/>
      <c r="H13" s="26" t="s">
        <v>18</v>
      </c>
      <c r="I13" s="46" t="s">
        <v>19</v>
      </c>
      <c r="J13" s="86" t="s">
        <v>20</v>
      </c>
      <c r="K13" s="152">
        <v>75.900000000000006</v>
      </c>
      <c r="L13" s="152">
        <v>75.900000000000006</v>
      </c>
    </row>
    <row r="14" spans="1:14" ht="15" customHeight="1" x14ac:dyDescent="0.25">
      <c r="B14" s="89" t="s">
        <v>14</v>
      </c>
      <c r="C14" s="98" t="s">
        <v>15</v>
      </c>
      <c r="D14" s="86" t="s">
        <v>16</v>
      </c>
      <c r="E14" s="116" t="str">
        <f t="shared" si="0"/>
        <v>Tododia Hidrante Desodorante Corporal Jambo Rosa e Flor De Caju 400ml Frasco</v>
      </c>
      <c r="F14" s="26" t="s">
        <v>38</v>
      </c>
      <c r="G14" s="28"/>
      <c r="H14" s="26" t="s">
        <v>18</v>
      </c>
      <c r="I14" s="46" t="s">
        <v>19</v>
      </c>
      <c r="J14" s="86" t="s">
        <v>20</v>
      </c>
      <c r="K14" s="152">
        <v>75.900000000000006</v>
      </c>
      <c r="L14" s="152">
        <v>75.900000000000006</v>
      </c>
    </row>
    <row r="15" spans="1:14" ht="15" customHeight="1" x14ac:dyDescent="0.25">
      <c r="B15" s="89" t="s">
        <v>14</v>
      </c>
      <c r="C15" s="98" t="s">
        <v>15</v>
      </c>
      <c r="D15" s="86" t="s">
        <v>16</v>
      </c>
      <c r="E15" s="116" t="str">
        <f t="shared" si="0"/>
        <v>Tododia Hidrante Desodorante Corporal Limão Siciliano e Flor de Gardênia 400ml Frasco</v>
      </c>
      <c r="F15" s="26" t="s">
        <v>39</v>
      </c>
      <c r="G15" s="28"/>
      <c r="H15" s="26" t="s">
        <v>18</v>
      </c>
      <c r="I15" s="46" t="s">
        <v>19</v>
      </c>
      <c r="J15" s="86" t="s">
        <v>20</v>
      </c>
      <c r="K15" s="152">
        <v>75.900000000000006</v>
      </c>
      <c r="L15" s="152">
        <v>75.900000000000006</v>
      </c>
    </row>
    <row r="16" spans="1:14" ht="15" customHeight="1" x14ac:dyDescent="0.25">
      <c r="B16" s="89" t="s">
        <v>14</v>
      </c>
      <c r="C16" s="98" t="s">
        <v>15</v>
      </c>
      <c r="D16" s="86" t="s">
        <v>16</v>
      </c>
      <c r="E16" s="116" t="str">
        <f t="shared" si="0"/>
        <v>Tododia Hidrante Desodorante Corporal Macadâmia 400ml Frasco</v>
      </c>
      <c r="F16" s="26" t="s">
        <v>40</v>
      </c>
      <c r="G16" s="28"/>
      <c r="H16" s="26" t="s">
        <v>18</v>
      </c>
      <c r="I16" s="46" t="s">
        <v>19</v>
      </c>
      <c r="J16" s="86" t="s">
        <v>20</v>
      </c>
      <c r="K16" s="152">
        <v>75.900000000000006</v>
      </c>
      <c r="L16" s="152">
        <v>75.900000000000006</v>
      </c>
    </row>
    <row r="17" spans="2:12" ht="15" customHeight="1" x14ac:dyDescent="0.25">
      <c r="B17" s="89" t="s">
        <v>14</v>
      </c>
      <c r="C17" s="98" t="s">
        <v>15</v>
      </c>
      <c r="D17" s="86" t="s">
        <v>16</v>
      </c>
      <c r="E17" s="116" t="str">
        <f t="shared" si="0"/>
        <v>Tododia Hidrante Desodorante Corporal Maça Caramelada e Baunilha 400ml Frasco</v>
      </c>
      <c r="F17" s="26" t="s">
        <v>41</v>
      </c>
      <c r="G17" s="28"/>
      <c r="H17" s="26" t="s">
        <v>18</v>
      </c>
      <c r="I17" s="46" t="s">
        <v>19</v>
      </c>
      <c r="J17" s="2" t="s">
        <v>42</v>
      </c>
      <c r="K17" s="152">
        <v>75.900000000000006</v>
      </c>
      <c r="L17" s="152">
        <v>75.900000000000006</v>
      </c>
    </row>
    <row r="18" spans="2:12" ht="15" customHeight="1" x14ac:dyDescent="0.25">
      <c r="B18" s="89" t="s">
        <v>14</v>
      </c>
      <c r="C18" s="98" t="s">
        <v>15</v>
      </c>
      <c r="D18" s="86" t="s">
        <v>16</v>
      </c>
      <c r="E18" s="116" t="str">
        <f t="shared" si="0"/>
        <v>Tododia Hidrante Desodorante Corporal Manga Rosa e Àgua de Coco 400ml Frasco</v>
      </c>
      <c r="F18" s="26" t="s">
        <v>43</v>
      </c>
      <c r="G18" s="28"/>
      <c r="H18" s="26" t="s">
        <v>18</v>
      </c>
      <c r="I18" s="46" t="s">
        <v>19</v>
      </c>
      <c r="J18" s="2" t="s">
        <v>24</v>
      </c>
      <c r="K18" s="152">
        <v>75.900000000000006</v>
      </c>
      <c r="L18" s="152">
        <v>75.900000000000006</v>
      </c>
    </row>
    <row r="19" spans="2:12" ht="15" customHeight="1" x14ac:dyDescent="0.25">
      <c r="B19" s="89" t="s">
        <v>14</v>
      </c>
      <c r="C19" s="98" t="s">
        <v>15</v>
      </c>
      <c r="D19" s="86" t="s">
        <v>16</v>
      </c>
      <c r="E19" s="116" t="str">
        <f t="shared" si="0"/>
        <v>Tododia Hidrante Desodorante Corporal Nóz Pecão e Cacau 400ml Frasco</v>
      </c>
      <c r="F19" s="26" t="s">
        <v>44</v>
      </c>
      <c r="G19" s="28"/>
      <c r="H19" s="26" t="s">
        <v>18</v>
      </c>
      <c r="I19" s="46" t="s">
        <v>19</v>
      </c>
      <c r="J19" s="86" t="s">
        <v>20</v>
      </c>
      <c r="K19" s="152">
        <v>75.900000000000006</v>
      </c>
      <c r="L19" s="152">
        <v>75.900000000000006</v>
      </c>
    </row>
    <row r="20" spans="2:12" ht="15" customHeight="1" x14ac:dyDescent="0.25">
      <c r="B20" s="89" t="s">
        <v>14</v>
      </c>
      <c r="C20" s="98" t="s">
        <v>15</v>
      </c>
      <c r="D20" s="86" t="s">
        <v>16</v>
      </c>
      <c r="E20" s="116" t="str">
        <f t="shared" si="0"/>
        <v>Tododia Hidrante Desodorante Corporal Roma e Salvia 400ml Frasco</v>
      </c>
      <c r="F20" s="4" t="s">
        <v>45</v>
      </c>
      <c r="G20" s="28"/>
      <c r="H20" s="26" t="s">
        <v>18</v>
      </c>
      <c r="I20" s="46" t="s">
        <v>19</v>
      </c>
      <c r="J20" s="86" t="s">
        <v>20</v>
      </c>
      <c r="K20" s="152">
        <v>75.900000000000006</v>
      </c>
      <c r="L20" s="152">
        <v>75.900000000000006</v>
      </c>
    </row>
    <row r="21" spans="2:12" ht="15" customHeight="1" x14ac:dyDescent="0.25">
      <c r="B21" s="89" t="s">
        <v>14</v>
      </c>
      <c r="C21" s="98" t="s">
        <v>15</v>
      </c>
      <c r="D21" s="86" t="s">
        <v>16</v>
      </c>
      <c r="E21" s="116" t="str">
        <f t="shared" si="0"/>
        <v>Tododia Hidrante Desodorante Corporal Romã e Flor de Amora 400ml Frasco</v>
      </c>
      <c r="F21" s="26" t="s">
        <v>46</v>
      </c>
      <c r="G21" s="28"/>
      <c r="H21" s="26" t="s">
        <v>18</v>
      </c>
      <c r="I21" s="46" t="s">
        <v>19</v>
      </c>
      <c r="J21" s="86" t="s">
        <v>20</v>
      </c>
      <c r="K21" s="152">
        <v>75.900000000000006</v>
      </c>
      <c r="L21" s="152">
        <v>75.900000000000006</v>
      </c>
    </row>
    <row r="22" spans="2:12" ht="15" customHeight="1" x14ac:dyDescent="0.25">
      <c r="B22" s="89" t="s">
        <v>14</v>
      </c>
      <c r="C22" s="98" t="s">
        <v>15</v>
      </c>
      <c r="D22" s="86" t="s">
        <v>16</v>
      </c>
      <c r="E22" s="116" t="str">
        <f t="shared" si="0"/>
        <v>Tododia Hidrante Desodorante Corporal Tâmara e Canela 400ml Frasco</v>
      </c>
      <c r="F22" s="26" t="s">
        <v>47</v>
      </c>
      <c r="G22" s="28"/>
      <c r="H22" s="26" t="s">
        <v>18</v>
      </c>
      <c r="I22" s="46" t="s">
        <v>19</v>
      </c>
      <c r="J22" s="86" t="s">
        <v>20</v>
      </c>
      <c r="K22" s="152">
        <v>75.900000000000006</v>
      </c>
      <c r="L22" s="152">
        <v>75.900000000000006</v>
      </c>
    </row>
    <row r="23" spans="2:12" s="12" customFormat="1" ht="15" customHeight="1" x14ac:dyDescent="0.25">
      <c r="B23" s="89" t="s">
        <v>14</v>
      </c>
      <c r="C23" s="98" t="s">
        <v>15</v>
      </c>
      <c r="D23" s="86" t="s">
        <v>16</v>
      </c>
      <c r="E23" s="116" t="str">
        <f t="shared" si="0"/>
        <v>Tododia Hidrante Desodorante Corporal Algodao 400ml Refil</v>
      </c>
      <c r="F23" s="26" t="s">
        <v>48</v>
      </c>
      <c r="G23" s="28"/>
      <c r="H23" s="26" t="s">
        <v>18</v>
      </c>
      <c r="I23" s="46" t="s">
        <v>49</v>
      </c>
      <c r="J23" s="86" t="s">
        <v>20</v>
      </c>
      <c r="K23" s="152">
        <v>56.4</v>
      </c>
      <c r="L23" s="152">
        <v>56.4</v>
      </c>
    </row>
    <row r="24" spans="2:12" s="12" customFormat="1" ht="15" customHeight="1" x14ac:dyDescent="0.25">
      <c r="B24" s="89" t="s">
        <v>14</v>
      </c>
      <c r="C24" s="98" t="s">
        <v>15</v>
      </c>
      <c r="D24" s="86" t="s">
        <v>16</v>
      </c>
      <c r="E24" s="116" t="str">
        <f t="shared" si="0"/>
        <v>Tododia Hidrante Desodorante Corporal Ameixa e Flor de Baunilha 400ml Refil</v>
      </c>
      <c r="F24" s="26" t="s">
        <v>21</v>
      </c>
      <c r="G24" s="28"/>
      <c r="H24" s="26" t="s">
        <v>18</v>
      </c>
      <c r="I24" s="46" t="s">
        <v>49</v>
      </c>
      <c r="J24" s="2" t="s">
        <v>22</v>
      </c>
      <c r="K24" s="152">
        <v>56.4</v>
      </c>
      <c r="L24" s="152">
        <v>56.4</v>
      </c>
    </row>
    <row r="25" spans="2:12" s="12" customFormat="1" ht="15" customHeight="1" x14ac:dyDescent="0.25">
      <c r="B25" s="89" t="s">
        <v>14</v>
      </c>
      <c r="C25" s="98" t="s">
        <v>15</v>
      </c>
      <c r="D25" s="86" t="s">
        <v>16</v>
      </c>
      <c r="E25" s="116" t="str">
        <f t="shared" si="0"/>
        <v>Tododia Hidrante Desodorante Corporal Acerola e Hibisco 400ml Refil</v>
      </c>
      <c r="F25" s="26" t="s">
        <v>23</v>
      </c>
      <c r="G25" s="28"/>
      <c r="H25" s="26" t="s">
        <v>18</v>
      </c>
      <c r="I25" s="46" t="s">
        <v>49</v>
      </c>
      <c r="J25" s="2" t="s">
        <v>24</v>
      </c>
      <c r="K25" s="152">
        <v>56.4</v>
      </c>
      <c r="L25" s="152">
        <v>56.4</v>
      </c>
    </row>
    <row r="26" spans="2:12" s="12" customFormat="1" ht="15" customHeight="1" x14ac:dyDescent="0.25">
      <c r="B26" s="89" t="s">
        <v>14</v>
      </c>
      <c r="C26" s="98" t="s">
        <v>15</v>
      </c>
      <c r="D26" s="86" t="s">
        <v>16</v>
      </c>
      <c r="E26" s="116" t="str">
        <f t="shared" si="0"/>
        <v>Tododia Hidrante Desodorante Corporal Amora Vermelha e Jabuticaba 400ml Refil</v>
      </c>
      <c r="F26" s="26" t="s">
        <v>25</v>
      </c>
      <c r="G26" s="28"/>
      <c r="H26" s="26" t="s">
        <v>18</v>
      </c>
      <c r="I26" s="46" t="s">
        <v>49</v>
      </c>
      <c r="J26" s="86" t="s">
        <v>20</v>
      </c>
      <c r="K26" s="152">
        <v>56.4</v>
      </c>
      <c r="L26" s="152">
        <v>56.4</v>
      </c>
    </row>
    <row r="27" spans="2:12" s="12" customFormat="1" ht="15" customHeight="1" x14ac:dyDescent="0.25">
      <c r="B27" s="89" t="s">
        <v>14</v>
      </c>
      <c r="C27" s="98" t="s">
        <v>15</v>
      </c>
      <c r="D27" s="86" t="s">
        <v>16</v>
      </c>
      <c r="E27" s="116" t="str">
        <f t="shared" si="0"/>
        <v>Tododia Hidrante Desodorante Corporal Capim Limão e Hortelã 400ml Refil</v>
      </c>
      <c r="F27" s="26" t="s">
        <v>26</v>
      </c>
      <c r="G27" s="28"/>
      <c r="H27" s="26" t="s">
        <v>18</v>
      </c>
      <c r="I27" s="46" t="s">
        <v>49</v>
      </c>
      <c r="J27" s="86" t="s">
        <v>20</v>
      </c>
      <c r="K27" s="152">
        <v>56.4</v>
      </c>
      <c r="L27" s="152">
        <v>56.4</v>
      </c>
    </row>
    <row r="28" spans="2:12" s="12" customFormat="1" ht="15" customHeight="1" x14ac:dyDescent="0.25">
      <c r="B28" s="89" t="s">
        <v>14</v>
      </c>
      <c r="C28" s="98" t="s">
        <v>15</v>
      </c>
      <c r="D28" s="86" t="s">
        <v>16</v>
      </c>
      <c r="E28" s="116" t="str">
        <f t="shared" si="0"/>
        <v>Tododia Hidrante Desodorante Corporal Cereja Negra e Praliné 400ml Refil</v>
      </c>
      <c r="F28" s="26" t="s">
        <v>27</v>
      </c>
      <c r="G28" s="28"/>
      <c r="H28" s="26" t="s">
        <v>18</v>
      </c>
      <c r="I28" s="46" t="s">
        <v>49</v>
      </c>
      <c r="J28" s="86" t="s">
        <v>20</v>
      </c>
      <c r="K28" s="152">
        <v>56.4</v>
      </c>
      <c r="L28" s="152">
        <v>56.4</v>
      </c>
    </row>
    <row r="29" spans="2:12" s="12" customFormat="1" ht="15" customHeight="1" x14ac:dyDescent="0.25">
      <c r="B29" s="89" t="s">
        <v>14</v>
      </c>
      <c r="C29" s="98" t="s">
        <v>15</v>
      </c>
      <c r="D29" s="86" t="s">
        <v>16</v>
      </c>
      <c r="E29" s="116" t="str">
        <f t="shared" si="0"/>
        <v>Tododia Hidrante Desodorante Corporal Cereja e Avela 400ml Refil</v>
      </c>
      <c r="F29" s="26" t="s">
        <v>28</v>
      </c>
      <c r="G29" s="28"/>
      <c r="H29" s="26" t="s">
        <v>18</v>
      </c>
      <c r="I29" s="46" t="s">
        <v>49</v>
      </c>
      <c r="J29" s="86" t="s">
        <v>20</v>
      </c>
      <c r="K29" s="152">
        <v>56.4</v>
      </c>
      <c r="L29" s="152">
        <v>56.4</v>
      </c>
    </row>
    <row r="30" spans="2:12" s="23" customFormat="1" ht="15" customHeight="1" x14ac:dyDescent="0.25">
      <c r="B30" s="89" t="s">
        <v>14</v>
      </c>
      <c r="C30" s="98" t="s">
        <v>15</v>
      </c>
      <c r="D30" s="86" t="s">
        <v>16</v>
      </c>
      <c r="E30" s="116" t="str">
        <f t="shared" si="0"/>
        <v>Tododia Hidrante Desodorante Corporal Chá de Camomila e Lavanda 400ml Refil</v>
      </c>
      <c r="F30" s="88" t="s">
        <v>29</v>
      </c>
      <c r="G30" s="28"/>
      <c r="H30" s="88" t="s">
        <v>18</v>
      </c>
      <c r="I30" s="88" t="s">
        <v>49</v>
      </c>
      <c r="J30" s="148" t="s">
        <v>50</v>
      </c>
      <c r="K30" s="152">
        <v>56.4</v>
      </c>
      <c r="L30" s="152">
        <v>56.4</v>
      </c>
    </row>
    <row r="31" spans="2:12" s="23" customFormat="1" ht="15" customHeight="1" x14ac:dyDescent="0.25">
      <c r="B31" s="89" t="s">
        <v>14</v>
      </c>
      <c r="C31" s="99" t="s">
        <v>15</v>
      </c>
      <c r="D31" s="86" t="s">
        <v>16</v>
      </c>
      <c r="E31" s="116" t="str">
        <f t="shared" si="0"/>
        <v>Tododia Hidrante Desodorante Corporal Chá de Camomila e Lavanda 200ml Refil</v>
      </c>
      <c r="F31" s="88" t="s">
        <v>29</v>
      </c>
      <c r="G31" s="28"/>
      <c r="H31" s="88" t="s">
        <v>31</v>
      </c>
      <c r="I31" s="88" t="s">
        <v>49</v>
      </c>
      <c r="J31" s="148" t="s">
        <v>50</v>
      </c>
      <c r="K31" s="152"/>
      <c r="L31" s="152"/>
    </row>
    <row r="32" spans="2:12" s="12" customFormat="1" ht="15" customHeight="1" x14ac:dyDescent="0.25">
      <c r="B32" s="89" t="s">
        <v>14</v>
      </c>
      <c r="C32" s="98" t="s">
        <v>15</v>
      </c>
      <c r="D32" s="86" t="s">
        <v>16</v>
      </c>
      <c r="E32" s="116" t="str">
        <f t="shared" si="0"/>
        <v>Tododia Hidrante Desodorante Corporal Flor de Gengibre e Tangerina 400ml Refil</v>
      </c>
      <c r="F32" s="26" t="s">
        <v>33</v>
      </c>
      <c r="G32" s="28"/>
      <c r="H32" s="26" t="s">
        <v>18</v>
      </c>
      <c r="I32" s="46" t="s">
        <v>49</v>
      </c>
      <c r="J32" s="86" t="s">
        <v>50</v>
      </c>
      <c r="K32" s="152">
        <v>56.4</v>
      </c>
      <c r="L32" s="152">
        <v>56.4</v>
      </c>
    </row>
    <row r="33" spans="2:12" s="12" customFormat="1" ht="15" customHeight="1" x14ac:dyDescent="0.25">
      <c r="B33" s="89" t="s">
        <v>14</v>
      </c>
      <c r="C33" s="98" t="s">
        <v>15</v>
      </c>
      <c r="D33" s="86" t="s">
        <v>16</v>
      </c>
      <c r="E33" s="116" t="str">
        <f t="shared" si="0"/>
        <v>Tododia Hidrante Desodorante Corporal Flor de Pera e Melissa 400ml Refil</v>
      </c>
      <c r="F33" s="26" t="s">
        <v>36</v>
      </c>
      <c r="G33" s="28"/>
      <c r="H33" s="26" t="s">
        <v>18</v>
      </c>
      <c r="I33" s="46" t="s">
        <v>49</v>
      </c>
      <c r="J33" s="86" t="s">
        <v>20</v>
      </c>
      <c r="K33" s="152">
        <v>56.4</v>
      </c>
      <c r="L33" s="152">
        <v>56.4</v>
      </c>
    </row>
    <row r="34" spans="2:12" s="12" customFormat="1" ht="15" customHeight="1" x14ac:dyDescent="0.25">
      <c r="B34" s="89" t="s">
        <v>14</v>
      </c>
      <c r="C34" s="98" t="s">
        <v>15</v>
      </c>
      <c r="D34" s="86" t="s">
        <v>16</v>
      </c>
      <c r="E34" s="116" t="str">
        <f t="shared" si="0"/>
        <v>Tododia Hidrante Desodorante Corporal Framboesa e PImenta Vermelha 400ml Refil</v>
      </c>
      <c r="F34" s="26" t="s">
        <v>37</v>
      </c>
      <c r="G34" s="28"/>
      <c r="H34" s="26" t="s">
        <v>18</v>
      </c>
      <c r="I34" s="46" t="s">
        <v>49</v>
      </c>
      <c r="J34" s="86" t="s">
        <v>20</v>
      </c>
      <c r="K34" s="152">
        <v>56.4</v>
      </c>
      <c r="L34" s="152">
        <v>56.4</v>
      </c>
    </row>
    <row r="35" spans="2:12" s="12" customFormat="1" ht="15" customHeight="1" x14ac:dyDescent="0.25">
      <c r="B35" s="89" t="s">
        <v>14</v>
      </c>
      <c r="C35" s="98" t="s">
        <v>15</v>
      </c>
      <c r="D35" s="86" t="s">
        <v>16</v>
      </c>
      <c r="E35" s="116" t="str">
        <f t="shared" si="0"/>
        <v>Tododia Hidrante Desodorante Corporal Jambo Rosa e Flor De Caju 400ml Refil</v>
      </c>
      <c r="F35" s="26" t="s">
        <v>38</v>
      </c>
      <c r="G35" s="28"/>
      <c r="H35" s="26" t="s">
        <v>18</v>
      </c>
      <c r="I35" s="46" t="s">
        <v>49</v>
      </c>
      <c r="J35" s="86" t="s">
        <v>20</v>
      </c>
      <c r="K35" s="152">
        <v>56.4</v>
      </c>
      <c r="L35" s="152">
        <v>56.4</v>
      </c>
    </row>
    <row r="36" spans="2:12" s="12" customFormat="1" ht="15" customHeight="1" x14ac:dyDescent="0.25">
      <c r="B36" s="89" t="s">
        <v>14</v>
      </c>
      <c r="C36" s="98" t="s">
        <v>15</v>
      </c>
      <c r="D36" s="86" t="s">
        <v>16</v>
      </c>
      <c r="E36" s="116" t="str">
        <f t="shared" si="0"/>
        <v>Tododia Hidrante Desodorante Corporal Limão Siciliano e Flor de Gardênia 400ml Refil</v>
      </c>
      <c r="F36" s="26" t="s">
        <v>39</v>
      </c>
      <c r="G36" s="28"/>
      <c r="H36" s="26" t="s">
        <v>18</v>
      </c>
      <c r="I36" s="46" t="s">
        <v>49</v>
      </c>
      <c r="J36" s="2" t="s">
        <v>35</v>
      </c>
      <c r="K36" s="152">
        <v>56.4</v>
      </c>
      <c r="L36" s="152">
        <v>56.4</v>
      </c>
    </row>
    <row r="37" spans="2:12" s="12" customFormat="1" ht="15" customHeight="1" x14ac:dyDescent="0.25">
      <c r="B37" s="89" t="s">
        <v>14</v>
      </c>
      <c r="C37" s="98" t="s">
        <v>15</v>
      </c>
      <c r="D37" s="86" t="s">
        <v>16</v>
      </c>
      <c r="E37" s="116" t="str">
        <f t="shared" si="0"/>
        <v>Tododia Hidrante Desodorante Corporal Macadâmia 400ml Refil</v>
      </c>
      <c r="F37" s="26" t="s">
        <v>40</v>
      </c>
      <c r="G37" s="28"/>
      <c r="H37" s="26" t="s">
        <v>18</v>
      </c>
      <c r="I37" s="46" t="s">
        <v>49</v>
      </c>
      <c r="J37" s="86" t="s">
        <v>20</v>
      </c>
      <c r="K37" s="152">
        <v>56.4</v>
      </c>
      <c r="L37" s="152">
        <v>56.4</v>
      </c>
    </row>
    <row r="38" spans="2:12" s="12" customFormat="1" ht="15" customHeight="1" x14ac:dyDescent="0.25">
      <c r="B38" s="89" t="s">
        <v>14</v>
      </c>
      <c r="C38" s="98" t="s">
        <v>15</v>
      </c>
      <c r="D38" s="86" t="s">
        <v>16</v>
      </c>
      <c r="E38" s="116" t="str">
        <f t="shared" si="0"/>
        <v>Tododia Hidrante Desodorante Corporal Maça Caramelada e Baunilha 400ml Refil</v>
      </c>
      <c r="F38" s="26" t="s">
        <v>41</v>
      </c>
      <c r="G38" s="28"/>
      <c r="H38" s="26" t="s">
        <v>18</v>
      </c>
      <c r="I38" s="46" t="s">
        <v>49</v>
      </c>
      <c r="J38" s="2" t="s">
        <v>42</v>
      </c>
      <c r="K38" s="152">
        <v>56.4</v>
      </c>
      <c r="L38" s="152">
        <v>56.4</v>
      </c>
    </row>
    <row r="39" spans="2:12" s="12" customFormat="1" ht="15" customHeight="1" x14ac:dyDescent="0.25">
      <c r="B39" s="89" t="s">
        <v>14</v>
      </c>
      <c r="C39" s="98" t="s">
        <v>15</v>
      </c>
      <c r="D39" s="86" t="s">
        <v>16</v>
      </c>
      <c r="E39" s="116" t="str">
        <f t="shared" si="0"/>
        <v>Tododia Hidrante Desodorante Corporal Manga Rosa e Àgua de Coco 400ml Refil</v>
      </c>
      <c r="F39" s="26" t="s">
        <v>43</v>
      </c>
      <c r="G39" s="28"/>
      <c r="H39" s="26" t="s">
        <v>18</v>
      </c>
      <c r="I39" s="46" t="s">
        <v>49</v>
      </c>
      <c r="J39" s="2" t="s">
        <v>24</v>
      </c>
      <c r="K39" s="152">
        <v>56.4</v>
      </c>
      <c r="L39" s="152">
        <v>56.4</v>
      </c>
    </row>
    <row r="40" spans="2:12" s="12" customFormat="1" ht="15" customHeight="1" x14ac:dyDescent="0.25">
      <c r="B40" s="89" t="s">
        <v>14</v>
      </c>
      <c r="C40" s="98" t="s">
        <v>15</v>
      </c>
      <c r="D40" s="86" t="s">
        <v>16</v>
      </c>
      <c r="E40" s="116" t="str">
        <f t="shared" si="0"/>
        <v>Tododia Hidrante Desodorante Corporal Nóz Pecão e Cacau 400ml Refil</v>
      </c>
      <c r="F40" s="26" t="s">
        <v>44</v>
      </c>
      <c r="G40" s="28"/>
      <c r="H40" s="26" t="s">
        <v>18</v>
      </c>
      <c r="I40" s="46" t="s">
        <v>49</v>
      </c>
      <c r="J40" s="86" t="s">
        <v>20</v>
      </c>
      <c r="K40" s="152">
        <v>56.4</v>
      </c>
      <c r="L40" s="152">
        <v>56.4</v>
      </c>
    </row>
    <row r="41" spans="2:12" s="12" customFormat="1" ht="15" customHeight="1" x14ac:dyDescent="0.25">
      <c r="B41" s="89" t="s">
        <v>14</v>
      </c>
      <c r="C41" s="98" t="s">
        <v>15</v>
      </c>
      <c r="D41" s="86" t="s">
        <v>16</v>
      </c>
      <c r="E41" s="116" t="str">
        <f t="shared" si="0"/>
        <v>Tododia Hidrante Desodorante Corporal Romã e Flor de Amora 400ml Refil</v>
      </c>
      <c r="F41" s="26" t="s">
        <v>46</v>
      </c>
      <c r="G41" s="28"/>
      <c r="H41" s="26" t="s">
        <v>18</v>
      </c>
      <c r="I41" s="46" t="s">
        <v>49</v>
      </c>
      <c r="J41" s="86" t="s">
        <v>20</v>
      </c>
      <c r="K41" s="152">
        <v>56.4</v>
      </c>
      <c r="L41" s="152">
        <v>56.4</v>
      </c>
    </row>
    <row r="42" spans="2:12" s="12" customFormat="1" ht="15" customHeight="1" x14ac:dyDescent="0.25">
      <c r="B42" s="89" t="s">
        <v>14</v>
      </c>
      <c r="C42" s="98" t="s">
        <v>15</v>
      </c>
      <c r="D42" s="148" t="s">
        <v>16</v>
      </c>
      <c r="E42" s="116" t="str">
        <f t="shared" si="0"/>
        <v>Tododia Hidrante Desodorante Corporal Tâmara e Canela 400ml Refil</v>
      </c>
      <c r="F42" s="26" t="s">
        <v>47</v>
      </c>
      <c r="G42" s="28"/>
      <c r="H42" s="26" t="s">
        <v>18</v>
      </c>
      <c r="I42" s="46" t="s">
        <v>49</v>
      </c>
      <c r="J42" s="86" t="s">
        <v>20</v>
      </c>
      <c r="K42" s="152">
        <v>56.4</v>
      </c>
      <c r="L42" s="152">
        <v>56.4</v>
      </c>
    </row>
    <row r="43" spans="2:12" ht="15" customHeight="1" x14ac:dyDescent="0.25">
      <c r="B43" s="89" t="s">
        <v>14</v>
      </c>
      <c r="C43" s="98" t="s">
        <v>15</v>
      </c>
      <c r="D43" s="148" t="s">
        <v>51</v>
      </c>
      <c r="E43" s="116" t="str">
        <f t="shared" si="0"/>
        <v>Tododia Creme Hidratante Chá de Camomila e Lavanda 200ml Pote</v>
      </c>
      <c r="F43" s="26" t="s">
        <v>29</v>
      </c>
      <c r="G43" s="28"/>
      <c r="H43" s="26" t="s">
        <v>31</v>
      </c>
      <c r="I43" s="46" t="s">
        <v>52</v>
      </c>
      <c r="J43" s="3" t="s">
        <v>53</v>
      </c>
      <c r="K43" s="152">
        <v>81.900000000000006</v>
      </c>
      <c r="L43" s="152">
        <v>81.900000000000006</v>
      </c>
    </row>
    <row r="44" spans="2:12" ht="15" customHeight="1" x14ac:dyDescent="0.25">
      <c r="B44" s="89" t="s">
        <v>14</v>
      </c>
      <c r="C44" s="98" t="s">
        <v>15</v>
      </c>
      <c r="D44" s="148" t="s">
        <v>51</v>
      </c>
      <c r="E44" s="116" t="str">
        <f t="shared" si="0"/>
        <v>Tododia Creme Hidratante Cereja e Avelã 200ml Pote</v>
      </c>
      <c r="F44" s="26" t="s">
        <v>54</v>
      </c>
      <c r="G44" s="28"/>
      <c r="H44" s="26" t="s">
        <v>31</v>
      </c>
      <c r="I44" s="46" t="s">
        <v>55</v>
      </c>
      <c r="J44" s="3" t="s">
        <v>56</v>
      </c>
      <c r="K44" s="152"/>
      <c r="L44" s="152"/>
    </row>
    <row r="45" spans="2:12" ht="15" customHeight="1" x14ac:dyDescent="0.25">
      <c r="B45" s="89" t="s">
        <v>14</v>
      </c>
      <c r="C45" s="98" t="s">
        <v>15</v>
      </c>
      <c r="D45" s="148" t="s">
        <v>51</v>
      </c>
      <c r="E45" s="116" t="str">
        <f t="shared" si="0"/>
        <v>Tododia Creme Hidratante Cereja Negra e Praliné 250g Pote</v>
      </c>
      <c r="F45" s="26" t="s">
        <v>27</v>
      </c>
      <c r="G45" s="28"/>
      <c r="H45" s="26" t="s">
        <v>57</v>
      </c>
      <c r="I45" s="46" t="s">
        <v>52</v>
      </c>
      <c r="J45" s="3" t="s">
        <v>58</v>
      </c>
      <c r="K45" s="152">
        <v>81.900000000000006</v>
      </c>
      <c r="L45" s="152">
        <v>81.900000000000006</v>
      </c>
    </row>
    <row r="46" spans="2:12" s="12" customFormat="1" ht="15" customHeight="1" x14ac:dyDescent="0.25">
      <c r="B46" s="89" t="s">
        <v>14</v>
      </c>
      <c r="C46" s="98" t="s">
        <v>15</v>
      </c>
      <c r="D46" s="148" t="s">
        <v>59</v>
      </c>
      <c r="E46" s="116" t="str">
        <f t="shared" si="0"/>
        <v>Tododia Manteiga Creme Corporal Jambo Rosa e Flor De Caju 200g Pote</v>
      </c>
      <c r="F46" s="24" t="s">
        <v>38</v>
      </c>
      <c r="G46" s="28"/>
      <c r="H46" s="24" t="s">
        <v>60</v>
      </c>
      <c r="I46" s="47" t="s">
        <v>55</v>
      </c>
      <c r="J46" s="87" t="s">
        <v>61</v>
      </c>
      <c r="K46" s="153">
        <v>81.900000000000006</v>
      </c>
      <c r="L46" s="153">
        <v>81.900000000000006</v>
      </c>
    </row>
    <row r="47" spans="2:12" s="12" customFormat="1" ht="15" customHeight="1" x14ac:dyDescent="0.25">
      <c r="B47" s="89" t="s">
        <v>14</v>
      </c>
      <c r="C47" s="98" t="s">
        <v>15</v>
      </c>
      <c r="D47" s="148" t="s">
        <v>62</v>
      </c>
      <c r="E47" s="116" t="str">
        <f t="shared" si="0"/>
        <v>Tododia Oleo Creme Corporal Jambo Rosa e Flor De Caju 200ml Pote</v>
      </c>
      <c r="F47" s="24" t="s">
        <v>38</v>
      </c>
      <c r="G47" s="28"/>
      <c r="H47" s="24" t="s">
        <v>31</v>
      </c>
      <c r="I47" s="47" t="s">
        <v>55</v>
      </c>
      <c r="J47" s="25" t="s">
        <v>63</v>
      </c>
      <c r="K47" s="153">
        <v>81.900000000000006</v>
      </c>
      <c r="L47" s="153">
        <v>81.900000000000006</v>
      </c>
    </row>
    <row r="48" spans="2:12" ht="15" customHeight="1" x14ac:dyDescent="0.25">
      <c r="B48" s="89" t="s">
        <v>14</v>
      </c>
      <c r="C48" s="98" t="s">
        <v>15</v>
      </c>
      <c r="D48" s="148" t="s">
        <v>64</v>
      </c>
      <c r="E48" s="116" t="str">
        <f t="shared" si="0"/>
        <v>Tododia Oleo Corporal Cereja Negra e Praliné 120ml Frasco</v>
      </c>
      <c r="F48" s="26" t="s">
        <v>27</v>
      </c>
      <c r="G48" s="28"/>
      <c r="H48" s="26" t="s">
        <v>65</v>
      </c>
      <c r="I48" s="46" t="s">
        <v>19</v>
      </c>
      <c r="J48" s="3" t="s">
        <v>66</v>
      </c>
      <c r="K48" s="152">
        <v>43.9</v>
      </c>
      <c r="L48" s="152">
        <v>43.9</v>
      </c>
    </row>
    <row r="49" spans="2:12" ht="15" customHeight="1" x14ac:dyDescent="0.25">
      <c r="B49" s="89" t="s">
        <v>14</v>
      </c>
      <c r="C49" s="98" t="s">
        <v>15</v>
      </c>
      <c r="D49" s="148" t="s">
        <v>64</v>
      </c>
      <c r="E49" s="116" t="str">
        <f t="shared" si="0"/>
        <v>Tododia Oleo Corporal Cereja e Avelã 120ml Frasco</v>
      </c>
      <c r="F49" s="26" t="s">
        <v>54</v>
      </c>
      <c r="G49" s="28"/>
      <c r="H49" s="26" t="s">
        <v>65</v>
      </c>
      <c r="I49" s="46" t="s">
        <v>19</v>
      </c>
      <c r="J49" s="3" t="s">
        <v>66</v>
      </c>
      <c r="K49" s="152">
        <v>43.9</v>
      </c>
      <c r="L49" s="152">
        <v>43.9</v>
      </c>
    </row>
    <row r="50" spans="2:12" ht="15" customHeight="1" x14ac:dyDescent="0.25">
      <c r="B50" s="89" t="s">
        <v>14</v>
      </c>
      <c r="C50" s="98" t="s">
        <v>15</v>
      </c>
      <c r="D50" s="148" t="s">
        <v>64</v>
      </c>
      <c r="E50" s="116" t="str">
        <f t="shared" si="0"/>
        <v>Tododia Oleo Corporal Ameixa e Flor de Baunilha 120ml Frasco</v>
      </c>
      <c r="F50" s="26" t="s">
        <v>67</v>
      </c>
      <c r="G50" s="28"/>
      <c r="H50" s="26" t="s">
        <v>65</v>
      </c>
      <c r="I50" s="46" t="s">
        <v>19</v>
      </c>
      <c r="J50" s="3" t="s">
        <v>66</v>
      </c>
      <c r="K50" s="152">
        <v>43.9</v>
      </c>
      <c r="L50" s="152">
        <v>43.9</v>
      </c>
    </row>
    <row r="51" spans="2:12" ht="15" customHeight="1" x14ac:dyDescent="0.25">
      <c r="B51" s="89" t="s">
        <v>14</v>
      </c>
      <c r="C51" s="98" t="s">
        <v>15</v>
      </c>
      <c r="D51" s="148" t="s">
        <v>64</v>
      </c>
      <c r="E51" s="116" t="str">
        <f t="shared" si="0"/>
        <v>Tododia Oleo Corporal Tâmara e Canela 120ml Frasco</v>
      </c>
      <c r="F51" s="26" t="s">
        <v>47</v>
      </c>
      <c r="G51" s="28"/>
      <c r="H51" s="26" t="s">
        <v>65</v>
      </c>
      <c r="I51" s="46" t="s">
        <v>19</v>
      </c>
      <c r="J51" s="3" t="s">
        <v>66</v>
      </c>
      <c r="K51" s="152">
        <v>43.9</v>
      </c>
      <c r="L51" s="152">
        <v>43.9</v>
      </c>
    </row>
    <row r="52" spans="2:12" s="12" customFormat="1" ht="15" customHeight="1" x14ac:dyDescent="0.25">
      <c r="B52" s="89" t="s">
        <v>14</v>
      </c>
      <c r="C52" s="98" t="s">
        <v>15</v>
      </c>
      <c r="D52" s="148" t="s">
        <v>68</v>
      </c>
      <c r="E52" s="116" t="str">
        <f t="shared" si="0"/>
        <v>Tododia Concentrado Relaxante Chá de Camomila e Lavanda 800g Tubo</v>
      </c>
      <c r="F52" s="26" t="s">
        <v>29</v>
      </c>
      <c r="G52" s="28"/>
      <c r="H52" s="26" t="s">
        <v>69</v>
      </c>
      <c r="I52" s="46" t="s">
        <v>70</v>
      </c>
      <c r="J52" s="2" t="s">
        <v>71</v>
      </c>
      <c r="K52" s="28" t="s">
        <v>72</v>
      </c>
      <c r="L52" s="28" t="s">
        <v>72</v>
      </c>
    </row>
    <row r="53" spans="2:12" ht="15" customHeight="1" x14ac:dyDescent="0.25">
      <c r="B53" s="89" t="s">
        <v>14</v>
      </c>
      <c r="C53" s="98" t="s">
        <v>15</v>
      </c>
      <c r="D53" s="148" t="s">
        <v>73</v>
      </c>
      <c r="E53" s="116" t="str">
        <f t="shared" si="0"/>
        <v>Tododia Sabonete em barra puro vegetal Acerola e Hibisco 5x90g Caixa</v>
      </c>
      <c r="F53" s="26" t="s">
        <v>23</v>
      </c>
      <c r="G53" s="28">
        <v>5</v>
      </c>
      <c r="H53" s="75" t="s">
        <v>74</v>
      </c>
      <c r="I53" s="117" t="s">
        <v>75</v>
      </c>
      <c r="J53" s="3" t="s">
        <v>76</v>
      </c>
      <c r="K53" s="152">
        <v>33.9</v>
      </c>
      <c r="L53" s="152">
        <v>33.9</v>
      </c>
    </row>
    <row r="54" spans="2:12" ht="15" customHeight="1" x14ac:dyDescent="0.25">
      <c r="B54" s="89" t="s">
        <v>14</v>
      </c>
      <c r="C54" s="98" t="s">
        <v>15</v>
      </c>
      <c r="D54" s="2" t="s">
        <v>73</v>
      </c>
      <c r="E54" s="116" t="str">
        <f t="shared" si="0"/>
        <v>Tododia Sabonete em barra puro vegetal Algodão 5x90g Caixa</v>
      </c>
      <c r="F54" s="26" t="s">
        <v>77</v>
      </c>
      <c r="G54" s="28">
        <v>5</v>
      </c>
      <c r="H54" s="75" t="s">
        <v>74</v>
      </c>
      <c r="I54" s="117" t="s">
        <v>75</v>
      </c>
      <c r="J54" s="3" t="s">
        <v>78</v>
      </c>
      <c r="K54" s="152">
        <v>33.9</v>
      </c>
      <c r="L54" s="152">
        <v>33.9</v>
      </c>
    </row>
    <row r="55" spans="2:12" ht="15" customHeight="1" x14ac:dyDescent="0.25">
      <c r="B55" s="89" t="s">
        <v>14</v>
      </c>
      <c r="C55" s="98" t="s">
        <v>15</v>
      </c>
      <c r="D55" s="2" t="s">
        <v>73</v>
      </c>
      <c r="E55" s="116" t="str">
        <f t="shared" si="0"/>
        <v>Tododia Sabonete em barra puro vegetal Alecrim e Sálvia 5x90g Caixa</v>
      </c>
      <c r="F55" s="26" t="s">
        <v>79</v>
      </c>
      <c r="G55" s="28">
        <v>5</v>
      </c>
      <c r="H55" s="75" t="s">
        <v>74</v>
      </c>
      <c r="I55" s="117" t="s">
        <v>75</v>
      </c>
      <c r="J55" s="3" t="s">
        <v>76</v>
      </c>
      <c r="K55" s="152">
        <v>33.9</v>
      </c>
      <c r="L55" s="152">
        <v>33.9</v>
      </c>
    </row>
    <row r="56" spans="2:12" ht="15" customHeight="1" x14ac:dyDescent="0.25">
      <c r="B56" s="89" t="s">
        <v>14</v>
      </c>
      <c r="C56" s="98" t="s">
        <v>15</v>
      </c>
      <c r="D56" s="2" t="s">
        <v>73</v>
      </c>
      <c r="E56" s="116" t="str">
        <f t="shared" si="0"/>
        <v>Tododia Sabonete em barra puro vegetal Ameixa e Flor de Baunilha 5x90g Caixa</v>
      </c>
      <c r="F56" s="26" t="s">
        <v>67</v>
      </c>
      <c r="G56" s="28">
        <v>5</v>
      </c>
      <c r="H56" s="75" t="s">
        <v>74</v>
      </c>
      <c r="I56" s="117" t="s">
        <v>75</v>
      </c>
      <c r="J56" s="3" t="s">
        <v>76</v>
      </c>
      <c r="K56" s="152">
        <v>33.9</v>
      </c>
      <c r="L56" s="152">
        <v>33.9</v>
      </c>
    </row>
    <row r="57" spans="2:12" ht="15" customHeight="1" x14ac:dyDescent="0.25">
      <c r="B57" s="89" t="s">
        <v>14</v>
      </c>
      <c r="C57" s="98" t="s">
        <v>15</v>
      </c>
      <c r="D57" s="2" t="s">
        <v>73</v>
      </c>
      <c r="E57" s="116" t="str">
        <f t="shared" si="0"/>
        <v>Tododia Sabonete em barra puro vegetal Amora Vermelha e Jabuticaba 5x90g Caixa</v>
      </c>
      <c r="F57" s="26" t="s">
        <v>80</v>
      </c>
      <c r="G57" s="28">
        <v>5</v>
      </c>
      <c r="H57" s="75" t="s">
        <v>74</v>
      </c>
      <c r="I57" s="117" t="s">
        <v>75</v>
      </c>
      <c r="J57" s="3" t="s">
        <v>76</v>
      </c>
      <c r="K57" s="152">
        <v>33.9</v>
      </c>
      <c r="L57" s="152">
        <v>33.9</v>
      </c>
    </row>
    <row r="58" spans="2:12" ht="15" customHeight="1" x14ac:dyDescent="0.25">
      <c r="B58" s="89" t="s">
        <v>14</v>
      </c>
      <c r="C58" s="98" t="s">
        <v>15</v>
      </c>
      <c r="D58" s="2" t="s">
        <v>73</v>
      </c>
      <c r="E58" s="116" t="str">
        <f t="shared" si="0"/>
        <v>Tododia Sabonete em barra puro vegetal Avelã e Cassis 5x90g Caixa</v>
      </c>
      <c r="F58" s="26" t="s">
        <v>81</v>
      </c>
      <c r="G58" s="28">
        <v>5</v>
      </c>
      <c r="H58" s="75" t="s">
        <v>74</v>
      </c>
      <c r="I58" s="117" t="s">
        <v>75</v>
      </c>
      <c r="J58" s="3" t="s">
        <v>76</v>
      </c>
      <c r="K58" s="152">
        <v>33.9</v>
      </c>
      <c r="L58" s="152">
        <v>33.9</v>
      </c>
    </row>
    <row r="59" spans="2:12" ht="15" customHeight="1" x14ac:dyDescent="0.25">
      <c r="B59" s="89" t="s">
        <v>14</v>
      </c>
      <c r="C59" s="98" t="s">
        <v>15</v>
      </c>
      <c r="D59" s="2" t="s">
        <v>73</v>
      </c>
      <c r="E59" s="116" t="str">
        <f t="shared" si="0"/>
        <v>Tododia Sabonete em barra puro vegetal Capim Limao e Hortela 5x90g Caixa</v>
      </c>
      <c r="F59" s="26" t="s">
        <v>82</v>
      </c>
      <c r="G59" s="28">
        <v>5</v>
      </c>
      <c r="H59" s="75" t="s">
        <v>74</v>
      </c>
      <c r="I59" s="117" t="s">
        <v>75</v>
      </c>
      <c r="J59" s="3" t="s">
        <v>76</v>
      </c>
      <c r="K59" s="152">
        <v>33.9</v>
      </c>
      <c r="L59" s="152">
        <v>33.9</v>
      </c>
    </row>
    <row r="60" spans="2:12" ht="15" customHeight="1" x14ac:dyDescent="0.25">
      <c r="B60" s="89" t="s">
        <v>14</v>
      </c>
      <c r="C60" s="98" t="s">
        <v>15</v>
      </c>
      <c r="D60" s="2" t="s">
        <v>73</v>
      </c>
      <c r="E60" s="116" t="str">
        <f t="shared" si="0"/>
        <v>Tododia Sabonete em barra puro vegetal Cereja Negra e Pranilé 5x90g Caixa</v>
      </c>
      <c r="F60" s="26" t="s">
        <v>83</v>
      </c>
      <c r="G60" s="28">
        <v>5</v>
      </c>
      <c r="H60" s="75" t="s">
        <v>74</v>
      </c>
      <c r="I60" s="117" t="s">
        <v>75</v>
      </c>
      <c r="J60" s="3" t="s">
        <v>76</v>
      </c>
      <c r="K60" s="152">
        <v>33.9</v>
      </c>
      <c r="L60" s="152">
        <v>33.9</v>
      </c>
    </row>
    <row r="61" spans="2:12" ht="15" customHeight="1" x14ac:dyDescent="0.25">
      <c r="B61" s="89" t="s">
        <v>14</v>
      </c>
      <c r="C61" s="98" t="s">
        <v>15</v>
      </c>
      <c r="D61" s="2" t="s">
        <v>73</v>
      </c>
      <c r="E61" s="116" t="str">
        <f t="shared" si="0"/>
        <v>Tododia Sabonete em barra puro vegetal Cereja e Avelã 5x90g Caixa</v>
      </c>
      <c r="F61" s="26" t="s">
        <v>54</v>
      </c>
      <c r="G61" s="28">
        <v>5</v>
      </c>
      <c r="H61" s="75" t="s">
        <v>74</v>
      </c>
      <c r="I61" s="117" t="s">
        <v>75</v>
      </c>
      <c r="J61" s="3" t="s">
        <v>84</v>
      </c>
      <c r="K61" s="152">
        <v>33.9</v>
      </c>
      <c r="L61" s="152">
        <v>33.9</v>
      </c>
    </row>
    <row r="62" spans="2:12" ht="15" customHeight="1" x14ac:dyDescent="0.25">
      <c r="B62" s="89" t="s">
        <v>14</v>
      </c>
      <c r="C62" s="98" t="s">
        <v>15</v>
      </c>
      <c r="D62" s="2" t="s">
        <v>73</v>
      </c>
      <c r="E62" s="116" t="str">
        <f t="shared" si="0"/>
        <v>Tododia Sabonete em barra puro vegetal Chá de Camomila e Lavanda 5x90g Caixa</v>
      </c>
      <c r="F62" s="26" t="s">
        <v>29</v>
      </c>
      <c r="G62" s="28">
        <v>5</v>
      </c>
      <c r="H62" s="75" t="s">
        <v>74</v>
      </c>
      <c r="I62" s="117" t="s">
        <v>75</v>
      </c>
      <c r="J62" s="3" t="s">
        <v>85</v>
      </c>
      <c r="K62" s="152">
        <v>33.9</v>
      </c>
      <c r="L62" s="152">
        <v>33.9</v>
      </c>
    </row>
    <row r="63" spans="2:12" ht="15" customHeight="1" x14ac:dyDescent="0.25">
      <c r="B63" s="89" t="s">
        <v>14</v>
      </c>
      <c r="C63" s="98" t="s">
        <v>15</v>
      </c>
      <c r="D63" s="2" t="s">
        <v>73</v>
      </c>
      <c r="E63" s="116" t="str">
        <f t="shared" si="0"/>
        <v>Tododia Sabonete em barra puro vegetal Energ. Flor de Gengibre e Tangerina 5x90g Caixa</v>
      </c>
      <c r="F63" s="26" t="s">
        <v>86</v>
      </c>
      <c r="G63" s="28">
        <v>5</v>
      </c>
      <c r="H63" s="75" t="s">
        <v>74</v>
      </c>
      <c r="I63" s="117" t="s">
        <v>75</v>
      </c>
      <c r="J63" s="3" t="s">
        <v>87</v>
      </c>
      <c r="K63" s="152">
        <v>33.9</v>
      </c>
      <c r="L63" s="152">
        <v>33.9</v>
      </c>
    </row>
    <row r="64" spans="2:12" ht="15" customHeight="1" x14ac:dyDescent="0.25">
      <c r="B64" s="89" t="s">
        <v>14</v>
      </c>
      <c r="C64" s="98" t="s">
        <v>15</v>
      </c>
      <c r="D64" s="2" t="s">
        <v>73</v>
      </c>
      <c r="E64" s="116" t="str">
        <f t="shared" si="0"/>
        <v>Tododia Sabonete em barra puro vegetal Framboesa e PImenta Rosa 5x90g Caixa</v>
      </c>
      <c r="F64" s="26" t="s">
        <v>88</v>
      </c>
      <c r="G64" s="28">
        <v>5</v>
      </c>
      <c r="H64" s="75" t="s">
        <v>74</v>
      </c>
      <c r="I64" s="117" t="s">
        <v>75</v>
      </c>
      <c r="J64" s="3" t="s">
        <v>76</v>
      </c>
      <c r="K64" s="152">
        <v>33.9</v>
      </c>
      <c r="L64" s="152">
        <v>33.9</v>
      </c>
    </row>
    <row r="65" spans="2:12" ht="15" customHeight="1" x14ac:dyDescent="0.25">
      <c r="B65" s="89" t="s">
        <v>14</v>
      </c>
      <c r="C65" s="98" t="s">
        <v>15</v>
      </c>
      <c r="D65" s="2" t="s">
        <v>73</v>
      </c>
      <c r="E65" s="116" t="str">
        <f t="shared" si="0"/>
        <v>Tododia Sabonete em barra puro vegetal Frutas Vermelha 5x90g Caixa</v>
      </c>
      <c r="F65" s="26" t="s">
        <v>89</v>
      </c>
      <c r="G65" s="28">
        <v>5</v>
      </c>
      <c r="H65" s="75" t="s">
        <v>74</v>
      </c>
      <c r="I65" s="117" t="s">
        <v>75</v>
      </c>
      <c r="J65" s="3" t="s">
        <v>76</v>
      </c>
      <c r="K65" s="152">
        <v>33.9</v>
      </c>
      <c r="L65" s="152">
        <v>33.9</v>
      </c>
    </row>
    <row r="66" spans="2:12" ht="15" customHeight="1" x14ac:dyDescent="0.25">
      <c r="B66" s="89" t="s">
        <v>14</v>
      </c>
      <c r="C66" s="98" t="s">
        <v>15</v>
      </c>
      <c r="D66" s="2" t="s">
        <v>73</v>
      </c>
      <c r="E66" s="116" t="str">
        <f t="shared" si="0"/>
        <v>Tododia Sabonete em barra puro vegetal Jasmim e Bergamota 5x90g Caixa</v>
      </c>
      <c r="F66" s="26" t="s">
        <v>90</v>
      </c>
      <c r="G66" s="28">
        <v>5</v>
      </c>
      <c r="H66" s="75" t="s">
        <v>74</v>
      </c>
      <c r="I66" s="117" t="s">
        <v>75</v>
      </c>
      <c r="J66" s="3" t="s">
        <v>76</v>
      </c>
      <c r="K66" s="152">
        <v>33.9</v>
      </c>
      <c r="L66" s="152">
        <v>33.9</v>
      </c>
    </row>
    <row r="67" spans="2:12" ht="15" customHeight="1" x14ac:dyDescent="0.25">
      <c r="B67" s="89" t="s">
        <v>14</v>
      </c>
      <c r="C67" s="98" t="s">
        <v>15</v>
      </c>
      <c r="D67" s="2" t="s">
        <v>73</v>
      </c>
      <c r="E67" s="116" t="str">
        <f t="shared" ref="E67:E130" si="1">TRIM(CONCATENATE(C67, " ", D67, " ", F67, " ", IF(G67&gt;0, G67 &amp; "x" &amp; H67, H67), " ", I67))</f>
        <v>Tododia Sabonete em barra puro vegetal Manga Rosa e Àgua de Coco 5x90g Caixa</v>
      </c>
      <c r="F67" s="26" t="s">
        <v>43</v>
      </c>
      <c r="G67" s="28">
        <v>5</v>
      </c>
      <c r="H67" s="75" t="s">
        <v>74</v>
      </c>
      <c r="I67" s="117" t="s">
        <v>75</v>
      </c>
      <c r="J67" s="3" t="s">
        <v>76</v>
      </c>
      <c r="K67" s="152">
        <v>33.9</v>
      </c>
      <c r="L67" s="152">
        <v>33.9</v>
      </c>
    </row>
    <row r="68" spans="2:12" ht="15" customHeight="1" x14ac:dyDescent="0.25">
      <c r="B68" s="89" t="s">
        <v>14</v>
      </c>
      <c r="C68" s="98" t="s">
        <v>15</v>
      </c>
      <c r="D68" s="2" t="s">
        <v>73</v>
      </c>
      <c r="E68" s="116" t="str">
        <f t="shared" si="1"/>
        <v>Tododia Sabonete em barra puro vegetal Maçã Caramelada e Baunilha 5x90g Caixa</v>
      </c>
      <c r="F68" s="26" t="s">
        <v>91</v>
      </c>
      <c r="G68" s="28">
        <v>5</v>
      </c>
      <c r="H68" s="75" t="s">
        <v>74</v>
      </c>
      <c r="I68" s="117" t="s">
        <v>75</v>
      </c>
      <c r="J68" s="2" t="s">
        <v>42</v>
      </c>
      <c r="K68" s="152">
        <v>33.9</v>
      </c>
      <c r="L68" s="152">
        <v>33.9</v>
      </c>
    </row>
    <row r="69" spans="2:12" ht="15" customHeight="1" x14ac:dyDescent="0.25">
      <c r="B69" s="89" t="s">
        <v>14</v>
      </c>
      <c r="C69" s="98" t="s">
        <v>15</v>
      </c>
      <c r="D69" s="2" t="s">
        <v>73</v>
      </c>
      <c r="E69" s="116" t="str">
        <f t="shared" si="1"/>
        <v>Tododia Sabonete em barra puro vegetal Macadamia 5x90g Caixa</v>
      </c>
      <c r="F69" s="26" t="s">
        <v>92</v>
      </c>
      <c r="G69" s="28">
        <v>5</v>
      </c>
      <c r="H69" s="75" t="s">
        <v>74</v>
      </c>
      <c r="I69" s="117" t="s">
        <v>75</v>
      </c>
      <c r="J69" s="3" t="s">
        <v>76</v>
      </c>
      <c r="K69" s="152">
        <v>33.9</v>
      </c>
      <c r="L69" s="152">
        <v>33.9</v>
      </c>
    </row>
    <row r="70" spans="2:12" ht="15" customHeight="1" x14ac:dyDescent="0.25">
      <c r="B70" s="89" t="s">
        <v>14</v>
      </c>
      <c r="C70" s="100" t="s">
        <v>15</v>
      </c>
      <c r="D70" s="90" t="s">
        <v>73</v>
      </c>
      <c r="E70" s="116" t="str">
        <f t="shared" si="1"/>
        <v>Tododia Sabonete em barra puro vegetal Noz Pecã e Cacau 5x90g Caixa</v>
      </c>
      <c r="F70" s="26" t="s">
        <v>93</v>
      </c>
      <c r="G70" s="28">
        <v>5</v>
      </c>
      <c r="H70" s="75" t="s">
        <v>74</v>
      </c>
      <c r="I70" s="117" t="s">
        <v>75</v>
      </c>
      <c r="J70" s="3" t="s">
        <v>76</v>
      </c>
      <c r="K70" s="152">
        <v>33.9</v>
      </c>
      <c r="L70" s="152">
        <v>33.9</v>
      </c>
    </row>
    <row r="71" spans="2:12" ht="15" customHeight="1" x14ac:dyDescent="0.25">
      <c r="B71" s="89" t="s">
        <v>14</v>
      </c>
      <c r="C71" s="100" t="s">
        <v>15</v>
      </c>
      <c r="D71" s="90" t="s">
        <v>73</v>
      </c>
      <c r="E71" s="116" t="str">
        <f t="shared" si="1"/>
        <v>Tododia Sabonete em barra puro vegetal Roma e Salvia 5x90g Caixa</v>
      </c>
      <c r="F71" s="4" t="s">
        <v>45</v>
      </c>
      <c r="G71" s="28">
        <v>5</v>
      </c>
      <c r="H71" s="75" t="s">
        <v>74</v>
      </c>
      <c r="I71" s="117" t="s">
        <v>75</v>
      </c>
      <c r="J71" s="3" t="s">
        <v>76</v>
      </c>
      <c r="K71" s="152">
        <v>33.9</v>
      </c>
      <c r="L71" s="152">
        <v>33.9</v>
      </c>
    </row>
    <row r="72" spans="2:12" ht="15" customHeight="1" x14ac:dyDescent="0.25">
      <c r="B72" s="89" t="s">
        <v>14</v>
      </c>
      <c r="C72" s="100" t="s">
        <v>15</v>
      </c>
      <c r="D72" s="90" t="s">
        <v>73</v>
      </c>
      <c r="E72" s="116" t="str">
        <f t="shared" si="1"/>
        <v>Tododia Sabonete em barra puro vegetal Romã e Flor de Amora 5x90g Caixa</v>
      </c>
      <c r="F72" s="4" t="s">
        <v>94</v>
      </c>
      <c r="G72" s="28">
        <v>5</v>
      </c>
      <c r="H72" s="75" t="s">
        <v>74</v>
      </c>
      <c r="I72" s="117" t="s">
        <v>75</v>
      </c>
      <c r="J72" s="3" t="s">
        <v>76</v>
      </c>
      <c r="K72" s="152">
        <v>33.9</v>
      </c>
      <c r="L72" s="152">
        <v>33.9</v>
      </c>
    </row>
    <row r="73" spans="2:12" s="12" customFormat="1" ht="15" customHeight="1" x14ac:dyDescent="0.25">
      <c r="B73" s="89" t="s">
        <v>14</v>
      </c>
      <c r="C73" s="100" t="s">
        <v>15</v>
      </c>
      <c r="D73" s="90" t="s">
        <v>73</v>
      </c>
      <c r="E73" s="116" t="str">
        <f t="shared" si="1"/>
        <v>Tododia Sabonete em barra puro vegetal Tâmara e Canela 5x90g Caixa</v>
      </c>
      <c r="F73" s="11" t="s">
        <v>47</v>
      </c>
      <c r="G73" s="28">
        <v>5</v>
      </c>
      <c r="H73" s="75" t="s">
        <v>74</v>
      </c>
      <c r="I73" s="117" t="s">
        <v>75</v>
      </c>
      <c r="J73" s="3" t="s">
        <v>76</v>
      </c>
      <c r="K73" s="152">
        <v>33.9</v>
      </c>
      <c r="L73" s="152">
        <v>33.9</v>
      </c>
    </row>
    <row r="74" spans="2:12" ht="15" customHeight="1" x14ac:dyDescent="0.25">
      <c r="B74" s="89" t="s">
        <v>14</v>
      </c>
      <c r="C74" s="100" t="s">
        <v>15</v>
      </c>
      <c r="D74" s="90" t="s">
        <v>73</v>
      </c>
      <c r="E74" s="116" t="str">
        <f t="shared" si="1"/>
        <v>Tododia Sabonete em barra puro vegetal Roma e Uva Rosa, Alecrin e Salvia 5x90g Caixa</v>
      </c>
      <c r="F74" s="4" t="s">
        <v>95</v>
      </c>
      <c r="G74" s="28">
        <v>5</v>
      </c>
      <c r="H74" s="75" t="s">
        <v>74</v>
      </c>
      <c r="I74" s="45" t="s">
        <v>75</v>
      </c>
      <c r="J74" s="3" t="s">
        <v>76</v>
      </c>
      <c r="K74" s="154">
        <v>41.9</v>
      </c>
      <c r="L74" s="154">
        <v>41.9</v>
      </c>
    </row>
    <row r="75" spans="2:12" ht="15" customHeight="1" x14ac:dyDescent="0.25">
      <c r="B75" s="89" t="s">
        <v>14</v>
      </c>
      <c r="C75" s="100" t="s">
        <v>15</v>
      </c>
      <c r="D75" s="90" t="s">
        <v>73</v>
      </c>
      <c r="E75" s="116" t="str">
        <f t="shared" si="1"/>
        <v>Tododia Sabonete em barra puro vegetal Flor de Lis, Alecrim, Framboesa e Pimenta Vermelha, Macadamia, Frutas Vermelhas 5x90g Caixa</v>
      </c>
      <c r="F75" s="4" t="s">
        <v>96</v>
      </c>
      <c r="G75" s="28">
        <v>5</v>
      </c>
      <c r="H75" s="75" t="s">
        <v>74</v>
      </c>
      <c r="I75" s="45" t="s">
        <v>75</v>
      </c>
      <c r="J75" s="3" t="s">
        <v>76</v>
      </c>
      <c r="K75" s="154">
        <v>41.9</v>
      </c>
      <c r="L75" s="154">
        <v>41.9</v>
      </c>
    </row>
    <row r="76" spans="2:12" ht="15" customHeight="1" x14ac:dyDescent="0.25">
      <c r="B76" s="89" t="s">
        <v>14</v>
      </c>
      <c r="C76" s="100" t="s">
        <v>15</v>
      </c>
      <c r="D76" s="90" t="s">
        <v>73</v>
      </c>
      <c r="E76" s="116" t="str">
        <f t="shared" si="1"/>
        <v>Tododia Sabonete em barra puro vegetal Ameixa e flor de baunilha, Ameixa e Flor de Cereja eRroma e Flor de Amora 5x90g Caixa</v>
      </c>
      <c r="F76" s="4" t="s">
        <v>97</v>
      </c>
      <c r="G76" s="28">
        <v>5</v>
      </c>
      <c r="H76" s="75" t="s">
        <v>74</v>
      </c>
      <c r="I76" s="48" t="s">
        <v>75</v>
      </c>
      <c r="J76" s="3" t="s">
        <v>76</v>
      </c>
      <c r="K76" s="154">
        <v>41.9</v>
      </c>
      <c r="L76" s="154">
        <v>41.9</v>
      </c>
    </row>
    <row r="77" spans="2:12" ht="15.75" customHeight="1" x14ac:dyDescent="0.25">
      <c r="B77" s="89" t="s">
        <v>14</v>
      </c>
      <c r="C77" s="100" t="s">
        <v>15</v>
      </c>
      <c r="D77" s="90" t="s">
        <v>98</v>
      </c>
      <c r="E77" s="116" t="str">
        <f t="shared" si="1"/>
        <v>Tododia Sabonete Liquido Intimo Algodão, Suave, Conforto 200ml Frasco</v>
      </c>
      <c r="F77" s="4" t="s">
        <v>99</v>
      </c>
      <c r="G77" s="28"/>
      <c r="H77" s="13" t="s">
        <v>31</v>
      </c>
      <c r="I77" s="49" t="s">
        <v>32</v>
      </c>
      <c r="J77" s="4" t="s">
        <v>100</v>
      </c>
      <c r="K77" s="154">
        <v>49.9</v>
      </c>
      <c r="L77" s="154">
        <v>49.9</v>
      </c>
    </row>
    <row r="78" spans="2:12" ht="15.75" customHeight="1" x14ac:dyDescent="0.25">
      <c r="B78" s="89" t="s">
        <v>14</v>
      </c>
      <c r="C78" s="100" t="s">
        <v>15</v>
      </c>
      <c r="D78" s="90" t="s">
        <v>98</v>
      </c>
      <c r="E78" s="116" t="str">
        <f t="shared" si="1"/>
        <v>Tododia Sabonete Liquido Intimo Cereja e Avelã 200ml Frasco</v>
      </c>
      <c r="F78" s="4" t="s">
        <v>101</v>
      </c>
      <c r="G78" s="28"/>
      <c r="H78" s="13" t="s">
        <v>31</v>
      </c>
      <c r="I78" s="49" t="s">
        <v>32</v>
      </c>
      <c r="J78" s="4" t="s">
        <v>102</v>
      </c>
      <c r="K78" s="154">
        <v>49.9</v>
      </c>
      <c r="L78" s="154">
        <v>49.9</v>
      </c>
    </row>
    <row r="79" spans="2:12" ht="15" customHeight="1" x14ac:dyDescent="0.25">
      <c r="B79" s="89" t="s">
        <v>14</v>
      </c>
      <c r="C79" s="100" t="s">
        <v>15</v>
      </c>
      <c r="D79" s="90" t="s">
        <v>98</v>
      </c>
      <c r="E79" s="116" t="str">
        <f t="shared" si="1"/>
        <v>Tododia Sabonete Liquido Intimo Delicado e Frescor 200ml Frasco</v>
      </c>
      <c r="F79" s="4" t="s">
        <v>103</v>
      </c>
      <c r="G79" s="28"/>
      <c r="H79" s="13" t="s">
        <v>31</v>
      </c>
      <c r="I79" s="48" t="s">
        <v>32</v>
      </c>
      <c r="J79" s="4" t="s">
        <v>104</v>
      </c>
      <c r="K79" s="154">
        <v>49.9</v>
      </c>
      <c r="L79" s="154">
        <v>49.9</v>
      </c>
    </row>
    <row r="80" spans="2:12" ht="15" customHeight="1" x14ac:dyDescent="0.25">
      <c r="B80" s="89" t="s">
        <v>14</v>
      </c>
      <c r="C80" s="100" t="s">
        <v>15</v>
      </c>
      <c r="D80" s="91" t="s">
        <v>105</v>
      </c>
      <c r="E80" s="116" t="str">
        <f t="shared" si="1"/>
        <v>Tododia Sabonete Liquido Corpo e Esfoliante Limão e Hortelã 190g Frasco</v>
      </c>
      <c r="F80" s="4" t="s">
        <v>106</v>
      </c>
      <c r="G80" s="28"/>
      <c r="H80" s="13" t="s">
        <v>107</v>
      </c>
      <c r="I80" s="48" t="s">
        <v>32</v>
      </c>
      <c r="J80" s="5" t="s">
        <v>108</v>
      </c>
      <c r="K80" s="154">
        <v>49.9</v>
      </c>
      <c r="L80" s="154">
        <v>49.9</v>
      </c>
    </row>
    <row r="81" spans="2:12" ht="15" customHeight="1" x14ac:dyDescent="0.25">
      <c r="B81" s="89" t="s">
        <v>14</v>
      </c>
      <c r="C81" s="100" t="s">
        <v>15</v>
      </c>
      <c r="D81" s="91" t="s">
        <v>109</v>
      </c>
      <c r="E81" s="116" t="str">
        <f t="shared" si="1"/>
        <v>Tododia Esfoliante em Creme Corporal Macadâmia 200ml Frasco</v>
      </c>
      <c r="F81" s="4" t="s">
        <v>40</v>
      </c>
      <c r="G81" s="28"/>
      <c r="H81" s="13" t="s">
        <v>31</v>
      </c>
      <c r="I81" s="48" t="s">
        <v>32</v>
      </c>
      <c r="J81" s="5" t="s">
        <v>108</v>
      </c>
      <c r="K81" s="154">
        <v>49.9</v>
      </c>
      <c r="L81" s="154">
        <v>49.9</v>
      </c>
    </row>
    <row r="82" spans="2:12" ht="15" customHeight="1" x14ac:dyDescent="0.25">
      <c r="B82" s="89" t="s">
        <v>14</v>
      </c>
      <c r="C82" s="100" t="s">
        <v>15</v>
      </c>
      <c r="D82" s="90" t="s">
        <v>109</v>
      </c>
      <c r="E82" s="116" t="str">
        <f t="shared" si="1"/>
        <v>Tododia Esfoliante em Creme Corporal Jambo Rosa e Flor de Caju 190g Frasco</v>
      </c>
      <c r="F82" s="4" t="s">
        <v>110</v>
      </c>
      <c r="G82" s="28"/>
      <c r="H82" s="14" t="s">
        <v>107</v>
      </c>
      <c r="I82" s="48" t="s">
        <v>32</v>
      </c>
      <c r="J82" s="5" t="s">
        <v>111</v>
      </c>
      <c r="K82" s="154">
        <v>49.9</v>
      </c>
      <c r="L82" s="154">
        <v>49.9</v>
      </c>
    </row>
    <row r="83" spans="2:12" ht="15" customHeight="1" x14ac:dyDescent="0.25">
      <c r="B83" s="89" t="s">
        <v>14</v>
      </c>
      <c r="C83" s="100" t="s">
        <v>15</v>
      </c>
      <c r="D83" s="90" t="s">
        <v>112</v>
      </c>
      <c r="E83" s="116" t="str">
        <f t="shared" si="1"/>
        <v>Tododia Geleia Desodorante Iluminador Jambo Rosa e Flor de Caju 100g Frasco</v>
      </c>
      <c r="F83" s="4" t="s">
        <v>110</v>
      </c>
      <c r="G83" s="28"/>
      <c r="H83" s="14" t="s">
        <v>113</v>
      </c>
      <c r="I83" s="48" t="s">
        <v>32</v>
      </c>
      <c r="J83" s="5" t="s">
        <v>114</v>
      </c>
      <c r="K83" s="154" t="s">
        <v>115</v>
      </c>
      <c r="L83" s="154" t="s">
        <v>115</v>
      </c>
    </row>
    <row r="84" spans="2:12" ht="15" customHeight="1" x14ac:dyDescent="0.25">
      <c r="B84" s="89" t="s">
        <v>14</v>
      </c>
      <c r="C84" s="100" t="s">
        <v>15</v>
      </c>
      <c r="D84" s="90" t="s">
        <v>116</v>
      </c>
      <c r="E84" s="116" t="str">
        <f t="shared" si="1"/>
        <v>Tododia Agua pre-biotica para o corpo Manga Rosa e Água de Coco 150ml Frasco</v>
      </c>
      <c r="F84" s="4" t="s">
        <v>117</v>
      </c>
      <c r="G84" s="28"/>
      <c r="H84" s="14" t="s">
        <v>118</v>
      </c>
      <c r="I84" s="48" t="s">
        <v>32</v>
      </c>
      <c r="J84" s="5" t="s">
        <v>119</v>
      </c>
      <c r="K84" s="155" t="s">
        <v>120</v>
      </c>
      <c r="L84" s="155" t="s">
        <v>120</v>
      </c>
    </row>
    <row r="85" spans="2:12" ht="15" customHeight="1" x14ac:dyDescent="0.25">
      <c r="B85" s="89" t="s">
        <v>14</v>
      </c>
      <c r="C85" s="100" t="s">
        <v>15</v>
      </c>
      <c r="D85" s="90" t="s">
        <v>121</v>
      </c>
      <c r="E85" s="116" t="str">
        <f t="shared" si="1"/>
        <v>Tododia Bruma Facil Flor de Gengibre e Tangerina 100ml Frasco</v>
      </c>
      <c r="F85" s="4" t="s">
        <v>33</v>
      </c>
      <c r="G85" s="28"/>
      <c r="H85" s="14" t="s">
        <v>122</v>
      </c>
      <c r="I85" s="48" t="s">
        <v>32</v>
      </c>
      <c r="J85" s="13" t="s">
        <v>123</v>
      </c>
      <c r="K85" s="154">
        <v>49.9</v>
      </c>
      <c r="L85" s="154">
        <v>49.9</v>
      </c>
    </row>
    <row r="86" spans="2:12" ht="15" customHeight="1" x14ac:dyDescent="0.25">
      <c r="B86" s="89" t="s">
        <v>14</v>
      </c>
      <c r="C86" s="100" t="s">
        <v>15</v>
      </c>
      <c r="D86" s="90" t="s">
        <v>124</v>
      </c>
      <c r="E86" s="116" t="str">
        <f t="shared" si="1"/>
        <v>Tododia Creme Desodorante Flor de Gengibre e Tangerina 200ml Frasco</v>
      </c>
      <c r="F86" s="4" t="s">
        <v>33</v>
      </c>
      <c r="G86" s="28"/>
      <c r="H86" s="14" t="s">
        <v>31</v>
      </c>
      <c r="I86" s="48" t="s">
        <v>32</v>
      </c>
      <c r="J86" s="13" t="s">
        <v>125</v>
      </c>
      <c r="K86" s="154">
        <v>51.9</v>
      </c>
      <c r="L86" s="154">
        <v>51.9</v>
      </c>
    </row>
    <row r="87" spans="2:12" ht="15" customHeight="1" x14ac:dyDescent="0.25">
      <c r="B87" s="89" t="s">
        <v>14</v>
      </c>
      <c r="C87" s="100" t="s">
        <v>15</v>
      </c>
      <c r="D87" s="90" t="s">
        <v>126</v>
      </c>
      <c r="E87" s="116" t="str">
        <f t="shared" si="1"/>
        <v>Tododia Desodorante Antitranspirante Roll-on Aclarar 70ml Frasco</v>
      </c>
      <c r="F87" s="4" t="s">
        <v>127</v>
      </c>
      <c r="G87" s="28"/>
      <c r="H87" s="14" t="s">
        <v>128</v>
      </c>
      <c r="I87" s="48" t="s">
        <v>32</v>
      </c>
      <c r="J87" s="13"/>
      <c r="K87" s="154">
        <v>29.9</v>
      </c>
      <c r="L87" s="154">
        <v>29.9</v>
      </c>
    </row>
    <row r="88" spans="2:12" ht="15" customHeight="1" x14ac:dyDescent="0.25">
      <c r="B88" s="89" t="s">
        <v>14</v>
      </c>
      <c r="C88" s="100" t="s">
        <v>15</v>
      </c>
      <c r="D88" s="90" t="s">
        <v>126</v>
      </c>
      <c r="E88" s="116" t="str">
        <f t="shared" si="1"/>
        <v>Tododia Desodorante Antitranspirante Roll-on Algodão 70ml Frasco</v>
      </c>
      <c r="F88" s="4" t="s">
        <v>77</v>
      </c>
      <c r="G88" s="28"/>
      <c r="H88" s="14" t="s">
        <v>128</v>
      </c>
      <c r="I88" s="48" t="s">
        <v>32</v>
      </c>
      <c r="J88" s="13"/>
      <c r="K88" s="154">
        <v>29.9</v>
      </c>
      <c r="L88" s="154">
        <v>29.9</v>
      </c>
    </row>
    <row r="89" spans="2:12" ht="15" customHeight="1" x14ac:dyDescent="0.25">
      <c r="B89" s="89" t="s">
        <v>14</v>
      </c>
      <c r="C89" s="100" t="s">
        <v>15</v>
      </c>
      <c r="D89" s="90" t="s">
        <v>126</v>
      </c>
      <c r="E89" s="116" t="str">
        <f t="shared" si="1"/>
        <v>Tododia Desodorante Antitranspirante Roll-on Alecrim e Salvia 70ml Frasco</v>
      </c>
      <c r="F89" s="4" t="s">
        <v>129</v>
      </c>
      <c r="G89" s="28"/>
      <c r="H89" s="14" t="s">
        <v>128</v>
      </c>
      <c r="I89" s="48" t="s">
        <v>32</v>
      </c>
      <c r="J89" s="13" t="s">
        <v>130</v>
      </c>
      <c r="K89" s="154">
        <v>29.9</v>
      </c>
      <c r="L89" s="154">
        <v>29.9</v>
      </c>
    </row>
    <row r="90" spans="2:12" ht="15" customHeight="1" x14ac:dyDescent="0.25">
      <c r="B90" s="89" t="s">
        <v>14</v>
      </c>
      <c r="C90" s="100" t="s">
        <v>15</v>
      </c>
      <c r="D90" s="90" t="s">
        <v>126</v>
      </c>
      <c r="E90" s="116" t="str">
        <f t="shared" si="1"/>
        <v>Tododia Desodorante Antitranspirante Roll-on Ameixa e Flor de Baunilha 70ml Frasco</v>
      </c>
      <c r="F90" s="4" t="s">
        <v>21</v>
      </c>
      <c r="G90" s="28"/>
      <c r="H90" s="14" t="s">
        <v>128</v>
      </c>
      <c r="I90" s="48" t="s">
        <v>32</v>
      </c>
      <c r="J90" s="13" t="s">
        <v>131</v>
      </c>
      <c r="K90" s="154">
        <v>29.9</v>
      </c>
      <c r="L90" s="154">
        <v>29.9</v>
      </c>
    </row>
    <row r="91" spans="2:12" ht="15" customHeight="1" x14ac:dyDescent="0.25">
      <c r="B91" s="89" t="s">
        <v>14</v>
      </c>
      <c r="C91" s="100" t="s">
        <v>15</v>
      </c>
      <c r="D91" s="90" t="s">
        <v>126</v>
      </c>
      <c r="E91" s="116" t="str">
        <f t="shared" si="1"/>
        <v>Tododia Desodorante Antitranspirante Roll-on Amora Vermelha e Jabuticba 70ml Frasco</v>
      </c>
      <c r="F91" s="4" t="s">
        <v>132</v>
      </c>
      <c r="G91" s="28"/>
      <c r="H91" s="14" t="s">
        <v>128</v>
      </c>
      <c r="I91" s="48" t="s">
        <v>32</v>
      </c>
      <c r="J91" s="13" t="s">
        <v>131</v>
      </c>
      <c r="K91" s="154">
        <v>29.9</v>
      </c>
      <c r="L91" s="154">
        <v>29.9</v>
      </c>
    </row>
    <row r="92" spans="2:12" ht="15" customHeight="1" x14ac:dyDescent="0.25">
      <c r="B92" s="89" t="s">
        <v>14</v>
      </c>
      <c r="C92" s="100" t="s">
        <v>15</v>
      </c>
      <c r="D92" s="90" t="s">
        <v>126</v>
      </c>
      <c r="E92" s="116" t="str">
        <f t="shared" si="1"/>
        <v>Tododia Desodorante Antitranspirante Roll-on Capim Limão e Hortelã 70ml Frasco</v>
      </c>
      <c r="F92" s="4" t="s">
        <v>26</v>
      </c>
      <c r="G92" s="28"/>
      <c r="H92" s="14" t="s">
        <v>128</v>
      </c>
      <c r="I92" s="48" t="s">
        <v>32</v>
      </c>
      <c r="J92" s="13" t="s">
        <v>130</v>
      </c>
      <c r="K92" s="154">
        <v>29.9</v>
      </c>
      <c r="L92" s="154">
        <v>29.9</v>
      </c>
    </row>
    <row r="93" spans="2:12" ht="15" customHeight="1" x14ac:dyDescent="0.25">
      <c r="B93" s="89" t="s">
        <v>14</v>
      </c>
      <c r="C93" s="100" t="s">
        <v>15</v>
      </c>
      <c r="D93" s="90" t="s">
        <v>126</v>
      </c>
      <c r="E93" s="116" t="str">
        <f t="shared" si="1"/>
        <v>Tododia Desodorante Antitranspirante Roll-on Cereja e Avelã 70ml Frasco</v>
      </c>
      <c r="F93" s="4" t="s">
        <v>101</v>
      </c>
      <c r="G93" s="28"/>
      <c r="H93" s="14" t="s">
        <v>128</v>
      </c>
      <c r="I93" s="48" t="s">
        <v>32</v>
      </c>
      <c r="J93" s="13" t="s">
        <v>131</v>
      </c>
      <c r="K93" s="154">
        <v>29.9</v>
      </c>
      <c r="L93" s="154">
        <v>29.9</v>
      </c>
    </row>
    <row r="94" spans="2:12" ht="15" customHeight="1" x14ac:dyDescent="0.25">
      <c r="B94" s="89" t="s">
        <v>14</v>
      </c>
      <c r="C94" s="100" t="s">
        <v>15</v>
      </c>
      <c r="D94" s="90" t="s">
        <v>126</v>
      </c>
      <c r="E94" s="116" t="str">
        <f t="shared" si="1"/>
        <v>Tododia Desodorante Antitranspirante Roll-on Macadania 70ml Frasco</v>
      </c>
      <c r="F94" s="4" t="s">
        <v>133</v>
      </c>
      <c r="G94" s="28"/>
      <c r="H94" s="14" t="s">
        <v>128</v>
      </c>
      <c r="I94" s="48" t="s">
        <v>32</v>
      </c>
      <c r="J94" s="13" t="s">
        <v>131</v>
      </c>
      <c r="K94" s="154">
        <v>29.9</v>
      </c>
      <c r="L94" s="154">
        <v>29.9</v>
      </c>
    </row>
    <row r="95" spans="2:12" ht="15" customHeight="1" x14ac:dyDescent="0.25">
      <c r="B95" s="89" t="s">
        <v>14</v>
      </c>
      <c r="C95" s="100" t="s">
        <v>15</v>
      </c>
      <c r="D95" s="90" t="s">
        <v>126</v>
      </c>
      <c r="E95" s="116" t="str">
        <f t="shared" si="1"/>
        <v>Tododia Desodorante Antitranspirante Roll-on Tamara e Canela 70ml Frasco</v>
      </c>
      <c r="F95" s="5" t="s">
        <v>134</v>
      </c>
      <c r="G95" s="28"/>
      <c r="H95" s="14" t="s">
        <v>128</v>
      </c>
      <c r="I95" s="48" t="s">
        <v>32</v>
      </c>
      <c r="J95" s="13" t="s">
        <v>131</v>
      </c>
      <c r="K95" s="154">
        <v>29.9</v>
      </c>
      <c r="L95" s="154">
        <v>29.9</v>
      </c>
    </row>
    <row r="96" spans="2:12" ht="15" customHeight="1" x14ac:dyDescent="0.25">
      <c r="B96" s="89" t="s">
        <v>14</v>
      </c>
      <c r="C96" s="100" t="s">
        <v>15</v>
      </c>
      <c r="D96" s="90" t="s">
        <v>126</v>
      </c>
      <c r="E96" s="116" t="str">
        <f t="shared" si="1"/>
        <v>Tododia Desodorante Antitranspirante Roll-on Sem Perfume 70ml Frasco</v>
      </c>
      <c r="F96" s="5" t="s">
        <v>135</v>
      </c>
      <c r="G96" s="28"/>
      <c r="H96" s="14" t="s">
        <v>128</v>
      </c>
      <c r="I96" s="48" t="s">
        <v>32</v>
      </c>
      <c r="J96" s="13" t="s">
        <v>131</v>
      </c>
      <c r="K96" s="154">
        <v>29.9</v>
      </c>
      <c r="L96" s="154">
        <v>29.9</v>
      </c>
    </row>
    <row r="97" spans="2:12" ht="15" customHeight="1" x14ac:dyDescent="0.25">
      <c r="B97" s="89" t="s">
        <v>14</v>
      </c>
      <c r="C97" s="98" t="s">
        <v>15</v>
      </c>
      <c r="D97" s="2" t="s">
        <v>136</v>
      </c>
      <c r="E97" s="116" t="str">
        <f t="shared" si="1"/>
        <v>Tododia Desodorante Creme Ameixa e Flor de Baunilha 80g Frasco</v>
      </c>
      <c r="F97" s="7" t="s">
        <v>21</v>
      </c>
      <c r="G97" s="28"/>
      <c r="H97" s="88" t="s">
        <v>137</v>
      </c>
      <c r="I97" s="50" t="s">
        <v>32</v>
      </c>
      <c r="J97" s="13" t="s">
        <v>138</v>
      </c>
      <c r="K97" s="156">
        <v>30.9</v>
      </c>
      <c r="L97" s="156">
        <v>30.9</v>
      </c>
    </row>
    <row r="98" spans="2:12" ht="15" customHeight="1" x14ac:dyDescent="0.25">
      <c r="B98" s="89" t="s">
        <v>14</v>
      </c>
      <c r="C98" s="98" t="s">
        <v>15</v>
      </c>
      <c r="D98" s="2" t="s">
        <v>136</v>
      </c>
      <c r="E98" s="116" t="str">
        <f t="shared" si="1"/>
        <v>Tododia Desodorante Creme Cereja e Avela 80g Frasco</v>
      </c>
      <c r="F98" s="8" t="s">
        <v>139</v>
      </c>
      <c r="G98" s="28"/>
      <c r="H98" s="88" t="s">
        <v>137</v>
      </c>
      <c r="I98" s="50" t="s">
        <v>32</v>
      </c>
      <c r="J98" s="13" t="s">
        <v>138</v>
      </c>
      <c r="K98" s="156">
        <v>30.9</v>
      </c>
      <c r="L98" s="156">
        <v>30.9</v>
      </c>
    </row>
    <row r="99" spans="2:12" ht="15" customHeight="1" x14ac:dyDescent="0.25">
      <c r="B99" s="89" t="s">
        <v>14</v>
      </c>
      <c r="C99" s="98" t="s">
        <v>15</v>
      </c>
      <c r="D99" s="2" t="s">
        <v>136</v>
      </c>
      <c r="E99" s="116" t="str">
        <f t="shared" si="1"/>
        <v>Tododia Desodorante Creme Invisível 80g Frasco</v>
      </c>
      <c r="F99" s="8" t="s">
        <v>140</v>
      </c>
      <c r="G99" s="28"/>
      <c r="H99" s="88" t="s">
        <v>137</v>
      </c>
      <c r="I99" s="50" t="s">
        <v>32</v>
      </c>
      <c r="J99" s="13" t="s">
        <v>138</v>
      </c>
      <c r="K99" s="154">
        <v>30.9</v>
      </c>
      <c r="L99" s="154">
        <v>30.9</v>
      </c>
    </row>
    <row r="100" spans="2:12" ht="15" customHeight="1" x14ac:dyDescent="0.25">
      <c r="B100" s="89" t="s">
        <v>14</v>
      </c>
      <c r="C100" s="98" t="s">
        <v>15</v>
      </c>
      <c r="D100" s="2" t="s">
        <v>136</v>
      </c>
      <c r="E100" s="116" t="str">
        <f t="shared" si="1"/>
        <v>Tododia Desodorante Creme Leite de Algodao 80g Frasco</v>
      </c>
      <c r="F100" s="9" t="s">
        <v>141</v>
      </c>
      <c r="G100" s="28"/>
      <c r="H100" s="88" t="s">
        <v>137</v>
      </c>
      <c r="I100" s="50" t="s">
        <v>32</v>
      </c>
      <c r="J100" s="13" t="s">
        <v>138</v>
      </c>
      <c r="K100" s="157">
        <v>30.9</v>
      </c>
      <c r="L100" s="157">
        <v>30.9</v>
      </c>
    </row>
    <row r="101" spans="2:12" ht="15" customHeight="1" x14ac:dyDescent="0.25">
      <c r="B101" s="89" t="s">
        <v>14</v>
      </c>
      <c r="C101" s="100" t="s">
        <v>15</v>
      </c>
      <c r="D101" s="90" t="s">
        <v>136</v>
      </c>
      <c r="E101" s="116" t="str">
        <f t="shared" si="1"/>
        <v>Tododia Desodorante Creme Macadâmia 80g Frasco</v>
      </c>
      <c r="F101" s="4" t="s">
        <v>40</v>
      </c>
      <c r="G101" s="28"/>
      <c r="H101" s="88" t="s">
        <v>137</v>
      </c>
      <c r="I101" s="50" t="s">
        <v>32</v>
      </c>
      <c r="J101" s="13" t="s">
        <v>138</v>
      </c>
      <c r="K101" s="154">
        <v>30.9</v>
      </c>
      <c r="L101" s="154">
        <v>30.9</v>
      </c>
    </row>
    <row r="102" spans="2:12" ht="15" customHeight="1" x14ac:dyDescent="0.25">
      <c r="B102" s="89" t="s">
        <v>14</v>
      </c>
      <c r="C102" s="100" t="s">
        <v>15</v>
      </c>
      <c r="D102" s="90" t="s">
        <v>136</v>
      </c>
      <c r="E102" s="116" t="str">
        <f t="shared" si="1"/>
        <v>Tododia Desodorante Creme Manga Rosa e Aguá de Coco 80g Frasco</v>
      </c>
      <c r="F102" s="5" t="s">
        <v>142</v>
      </c>
      <c r="G102" s="28"/>
      <c r="H102" s="88" t="s">
        <v>137</v>
      </c>
      <c r="I102" s="50" t="s">
        <v>32</v>
      </c>
      <c r="J102" s="13" t="s">
        <v>138</v>
      </c>
      <c r="K102" s="154">
        <v>30.9</v>
      </c>
      <c r="L102" s="154">
        <v>30.9</v>
      </c>
    </row>
    <row r="103" spans="2:12" ht="15" customHeight="1" x14ac:dyDescent="0.25">
      <c r="B103" s="89" t="s">
        <v>14</v>
      </c>
      <c r="C103" s="100" t="s">
        <v>15</v>
      </c>
      <c r="D103" s="90" t="s">
        <v>136</v>
      </c>
      <c r="E103" s="116" t="str">
        <f t="shared" si="1"/>
        <v>Tododia Desodorante Creme Noz Pecã e Cacau 80g Frasco</v>
      </c>
      <c r="F103" s="5" t="s">
        <v>93</v>
      </c>
      <c r="G103" s="28"/>
      <c r="H103" s="88" t="s">
        <v>137</v>
      </c>
      <c r="I103" s="50" t="s">
        <v>32</v>
      </c>
      <c r="J103" s="13" t="s">
        <v>138</v>
      </c>
      <c r="K103" s="154">
        <v>30.9</v>
      </c>
      <c r="L103" s="154">
        <v>30.9</v>
      </c>
    </row>
    <row r="104" spans="2:12" s="12" customFormat="1" ht="15" customHeight="1" x14ac:dyDescent="0.25">
      <c r="B104" s="89" t="s">
        <v>14</v>
      </c>
      <c r="C104" s="100" t="s">
        <v>15</v>
      </c>
      <c r="D104" s="90" t="s">
        <v>143</v>
      </c>
      <c r="E104" s="116" t="str">
        <f t="shared" si="1"/>
        <v>Tododia Creme Para Maos e Pes Algodão 50ml Frasco</v>
      </c>
      <c r="F104" s="4" t="s">
        <v>77</v>
      </c>
      <c r="G104" s="28"/>
      <c r="H104" s="118" t="s">
        <v>144</v>
      </c>
      <c r="I104" s="51" t="s">
        <v>32</v>
      </c>
      <c r="J104" s="11" t="s">
        <v>145</v>
      </c>
      <c r="K104" s="154">
        <v>36.9</v>
      </c>
      <c r="L104" s="154">
        <v>36.9</v>
      </c>
    </row>
    <row r="105" spans="2:12" s="12" customFormat="1" ht="15" customHeight="1" x14ac:dyDescent="0.25">
      <c r="B105" s="89" t="s">
        <v>14</v>
      </c>
      <c r="C105" s="100" t="s">
        <v>15</v>
      </c>
      <c r="D105" s="90" t="s">
        <v>143</v>
      </c>
      <c r="E105" s="116" t="str">
        <f t="shared" si="1"/>
        <v>Tododia Creme Para Maos e Pes Ameixa e Flor de Baunilha 50ml Frasco</v>
      </c>
      <c r="F105" s="5" t="s">
        <v>21</v>
      </c>
      <c r="G105" s="28"/>
      <c r="H105" s="118" t="s">
        <v>144</v>
      </c>
      <c r="I105" s="51" t="s">
        <v>32</v>
      </c>
      <c r="J105" s="11" t="s">
        <v>145</v>
      </c>
      <c r="K105" s="154">
        <v>36.9</v>
      </c>
      <c r="L105" s="154">
        <v>36.9</v>
      </c>
    </row>
    <row r="106" spans="2:12" ht="15" customHeight="1" x14ac:dyDescent="0.25">
      <c r="B106" s="89" t="s">
        <v>14</v>
      </c>
      <c r="C106" s="100" t="s">
        <v>15</v>
      </c>
      <c r="D106" s="90" t="s">
        <v>143</v>
      </c>
      <c r="E106" s="116" t="str">
        <f t="shared" si="1"/>
        <v>Tododia Creme Para Maos e Pes Cereja e Avelã 50ml Frasco</v>
      </c>
      <c r="F106" s="4" t="s">
        <v>54</v>
      </c>
      <c r="G106" s="28"/>
      <c r="H106" s="118" t="s">
        <v>144</v>
      </c>
      <c r="I106" s="51" t="s">
        <v>32</v>
      </c>
      <c r="J106" s="11" t="s">
        <v>145</v>
      </c>
      <c r="K106" s="154">
        <v>36.9</v>
      </c>
      <c r="L106" s="154">
        <v>36.9</v>
      </c>
    </row>
    <row r="107" spans="2:12" ht="15" customHeight="1" x14ac:dyDescent="0.25">
      <c r="B107" s="89" t="s">
        <v>14</v>
      </c>
      <c r="C107" s="100" t="s">
        <v>15</v>
      </c>
      <c r="D107" s="90" t="s">
        <v>143</v>
      </c>
      <c r="E107" s="116" t="str">
        <f t="shared" si="1"/>
        <v>Tododia Creme Para Maos e Pes Noz Pecã e Cacau 50ml Frasco</v>
      </c>
      <c r="F107" s="118" t="s">
        <v>93</v>
      </c>
      <c r="G107" s="28"/>
      <c r="H107" s="120" t="s">
        <v>144</v>
      </c>
      <c r="I107" s="51" t="s">
        <v>32</v>
      </c>
      <c r="J107" s="118" t="s">
        <v>146</v>
      </c>
      <c r="K107" s="154">
        <v>36.9</v>
      </c>
      <c r="L107" s="154">
        <v>36.9</v>
      </c>
    </row>
    <row r="108" spans="2:12" ht="15" customHeight="1" x14ac:dyDescent="0.25">
      <c r="B108" s="89" t="s">
        <v>14</v>
      </c>
      <c r="C108" s="100" t="s">
        <v>15</v>
      </c>
      <c r="D108" s="90" t="s">
        <v>143</v>
      </c>
      <c r="E108" s="116" t="str">
        <f t="shared" si="1"/>
        <v>Tododia Creme Para Maos e Pes Tamara e Canela 50ml Frasco</v>
      </c>
      <c r="F108" s="5" t="s">
        <v>134</v>
      </c>
      <c r="G108" s="28"/>
      <c r="H108" s="118" t="s">
        <v>144</v>
      </c>
      <c r="I108" s="51" t="s">
        <v>32</v>
      </c>
      <c r="J108" s="11" t="s">
        <v>145</v>
      </c>
      <c r="K108" s="154">
        <v>36.9</v>
      </c>
      <c r="L108" s="154">
        <v>36.9</v>
      </c>
    </row>
    <row r="109" spans="2:12" s="12" customFormat="1" ht="15" customHeight="1" x14ac:dyDescent="0.25">
      <c r="B109" s="89" t="s">
        <v>14</v>
      </c>
      <c r="C109" s="100" t="s">
        <v>15</v>
      </c>
      <c r="D109" s="90" t="s">
        <v>143</v>
      </c>
      <c r="E109" s="116" t="str">
        <f t="shared" si="1"/>
        <v>Tododia Creme Para Maos e Pes Cereja e Avelã (Normal) 50ml Frasco</v>
      </c>
      <c r="F109" s="118" t="s">
        <v>147</v>
      </c>
      <c r="G109" s="28"/>
      <c r="H109" s="120" t="s">
        <v>144</v>
      </c>
      <c r="I109" s="51" t="s">
        <v>32</v>
      </c>
      <c r="J109" s="118" t="s">
        <v>146</v>
      </c>
      <c r="K109" s="154">
        <v>36.9</v>
      </c>
      <c r="L109" s="154">
        <v>36.9</v>
      </c>
    </row>
    <row r="110" spans="2:12" ht="15" customHeight="1" x14ac:dyDescent="0.25">
      <c r="B110" s="89" t="s">
        <v>14</v>
      </c>
      <c r="C110" s="100" t="s">
        <v>15</v>
      </c>
      <c r="D110" s="90" t="s">
        <v>143</v>
      </c>
      <c r="E110" s="116" t="str">
        <f t="shared" si="1"/>
        <v>Tododia Creme Para Maos e Pes Noz Pecã e Cacau (Com Desodorante) 50ml Frasco</v>
      </c>
      <c r="F110" s="118" t="s">
        <v>148</v>
      </c>
      <c r="G110" s="28"/>
      <c r="H110" s="120" t="s">
        <v>144</v>
      </c>
      <c r="I110" s="51" t="s">
        <v>32</v>
      </c>
      <c r="J110" s="118" t="s">
        <v>149</v>
      </c>
      <c r="K110" s="154">
        <v>36.9</v>
      </c>
      <c r="L110" s="154">
        <v>36.9</v>
      </c>
    </row>
    <row r="111" spans="2:12" ht="15" customHeight="1" x14ac:dyDescent="0.25">
      <c r="B111" s="89" t="s">
        <v>14</v>
      </c>
      <c r="C111" s="100" t="s">
        <v>15</v>
      </c>
      <c r="D111" s="90" t="s">
        <v>150</v>
      </c>
      <c r="E111" s="116" t="str">
        <f t="shared" si="1"/>
        <v>Tododia Sabonete Liquido em Gel Algodão 300ml Frasco</v>
      </c>
      <c r="F111" s="4" t="s">
        <v>77</v>
      </c>
      <c r="G111" s="28"/>
      <c r="H111" s="76" t="s">
        <v>151</v>
      </c>
      <c r="I111" s="51" t="s">
        <v>32</v>
      </c>
      <c r="J111" s="13" t="s">
        <v>152</v>
      </c>
      <c r="K111" s="5" t="s">
        <v>153</v>
      </c>
      <c r="L111" s="5" t="s">
        <v>153</v>
      </c>
    </row>
    <row r="112" spans="2:12" ht="15" customHeight="1" x14ac:dyDescent="0.25">
      <c r="B112" s="89" t="s">
        <v>14</v>
      </c>
      <c r="C112" s="100" t="s">
        <v>15</v>
      </c>
      <c r="D112" s="90" t="s">
        <v>150</v>
      </c>
      <c r="E112" s="116" t="str">
        <f t="shared" si="1"/>
        <v>Tododia Sabonete Liquido em Gel Alecrim e Salvia 300ml Frasco</v>
      </c>
      <c r="F112" s="4" t="s">
        <v>129</v>
      </c>
      <c r="G112" s="28"/>
      <c r="H112" s="76" t="s">
        <v>151</v>
      </c>
      <c r="I112" s="51" t="s">
        <v>32</v>
      </c>
      <c r="J112" s="13" t="s">
        <v>152</v>
      </c>
      <c r="K112" s="5" t="s">
        <v>153</v>
      </c>
      <c r="L112" s="5" t="s">
        <v>153</v>
      </c>
    </row>
    <row r="113" spans="2:12" ht="15" customHeight="1" x14ac:dyDescent="0.25">
      <c r="B113" s="89" t="s">
        <v>14</v>
      </c>
      <c r="C113" s="100" t="s">
        <v>15</v>
      </c>
      <c r="D113" s="90" t="s">
        <v>150</v>
      </c>
      <c r="E113" s="116" t="str">
        <f t="shared" si="1"/>
        <v>Tododia Sabonete Liquido em Gel Alecrim e Salvia 390g Frasco</v>
      </c>
      <c r="F113" s="4" t="s">
        <v>129</v>
      </c>
      <c r="G113" s="28"/>
      <c r="H113" s="76" t="s">
        <v>154</v>
      </c>
      <c r="I113" s="51" t="s">
        <v>32</v>
      </c>
      <c r="J113" s="13" t="s">
        <v>152</v>
      </c>
      <c r="K113" s="5" t="s">
        <v>155</v>
      </c>
      <c r="L113" s="5" t="s">
        <v>155</v>
      </c>
    </row>
    <row r="114" spans="2:12" ht="15" customHeight="1" x14ac:dyDescent="0.25">
      <c r="B114" s="89" t="s">
        <v>14</v>
      </c>
      <c r="C114" s="100" t="s">
        <v>15</v>
      </c>
      <c r="D114" s="90" t="s">
        <v>150</v>
      </c>
      <c r="E114" s="116" t="str">
        <f t="shared" si="1"/>
        <v>Tododia Sabonete Liquido em Gel Ameixa e Flor de Baunilha 300ml Frasco</v>
      </c>
      <c r="F114" s="5" t="s">
        <v>21</v>
      </c>
      <c r="G114" s="28"/>
      <c r="H114" s="76" t="s">
        <v>151</v>
      </c>
      <c r="I114" s="51" t="s">
        <v>32</v>
      </c>
      <c r="J114" s="13" t="s">
        <v>152</v>
      </c>
      <c r="K114" s="5" t="s">
        <v>153</v>
      </c>
      <c r="L114" s="5" t="s">
        <v>153</v>
      </c>
    </row>
    <row r="115" spans="2:12" ht="15" customHeight="1" x14ac:dyDescent="0.25">
      <c r="B115" s="89" t="s">
        <v>14</v>
      </c>
      <c r="C115" s="100" t="s">
        <v>15</v>
      </c>
      <c r="D115" s="90" t="s">
        <v>150</v>
      </c>
      <c r="E115" s="116" t="str">
        <f t="shared" si="1"/>
        <v>Tododia Sabonete Liquido em Gel Amora Vermelha e Jabuticaba 300ml Frasco</v>
      </c>
      <c r="F115" s="5" t="s">
        <v>25</v>
      </c>
      <c r="G115" s="28"/>
      <c r="H115" s="76" t="s">
        <v>151</v>
      </c>
      <c r="I115" s="51" t="s">
        <v>32</v>
      </c>
      <c r="J115" s="13" t="s">
        <v>152</v>
      </c>
      <c r="K115" s="5" t="s">
        <v>153</v>
      </c>
      <c r="L115" s="5" t="s">
        <v>153</v>
      </c>
    </row>
    <row r="116" spans="2:12" ht="15" customHeight="1" x14ac:dyDescent="0.25">
      <c r="B116" s="89" t="s">
        <v>14</v>
      </c>
      <c r="C116" s="100" t="s">
        <v>15</v>
      </c>
      <c r="D116" s="90" t="s">
        <v>150</v>
      </c>
      <c r="E116" s="116" t="str">
        <f t="shared" si="1"/>
        <v>Tododia Sabonete Liquido em Gel Cereja e Avelã 300ml Frasco</v>
      </c>
      <c r="F116" s="5" t="s">
        <v>54</v>
      </c>
      <c r="G116" s="28"/>
      <c r="H116" s="76" t="s">
        <v>151</v>
      </c>
      <c r="I116" s="51" t="s">
        <v>32</v>
      </c>
      <c r="J116" s="13" t="s">
        <v>152</v>
      </c>
      <c r="K116" s="5" t="s">
        <v>153</v>
      </c>
      <c r="L116" s="5" t="s">
        <v>153</v>
      </c>
    </row>
    <row r="117" spans="2:12" ht="15" customHeight="1" x14ac:dyDescent="0.25">
      <c r="B117" s="89" t="s">
        <v>14</v>
      </c>
      <c r="C117" s="100" t="s">
        <v>15</v>
      </c>
      <c r="D117" s="90" t="s">
        <v>150</v>
      </c>
      <c r="E117" s="116" t="str">
        <f t="shared" si="1"/>
        <v>Tododia Sabonete Liquido em Gel Chá de Camomila e Lavanda 300ml Frasco</v>
      </c>
      <c r="F117" s="4" t="s">
        <v>156</v>
      </c>
      <c r="G117" s="28"/>
      <c r="H117" s="76" t="s">
        <v>151</v>
      </c>
      <c r="I117" s="51" t="s">
        <v>32</v>
      </c>
      <c r="J117" s="13" t="s">
        <v>157</v>
      </c>
      <c r="K117" s="5" t="s">
        <v>153</v>
      </c>
      <c r="L117" s="5" t="s">
        <v>153</v>
      </c>
    </row>
    <row r="118" spans="2:12" ht="15" customHeight="1" x14ac:dyDescent="0.25">
      <c r="B118" s="89" t="s">
        <v>14</v>
      </c>
      <c r="C118" s="100" t="s">
        <v>15</v>
      </c>
      <c r="D118" s="90" t="s">
        <v>150</v>
      </c>
      <c r="E118" s="116" t="str">
        <f t="shared" si="1"/>
        <v>Tododia Sabonete Liquido em Gel Flor de Gengibre e Tangerina 300ml Frasco</v>
      </c>
      <c r="F118" s="4" t="s">
        <v>33</v>
      </c>
      <c r="G118" s="28"/>
      <c r="H118" s="76" t="s">
        <v>151</v>
      </c>
      <c r="I118" s="51" t="s">
        <v>32</v>
      </c>
      <c r="J118" s="13" t="s">
        <v>158</v>
      </c>
      <c r="K118" s="5" t="s">
        <v>153</v>
      </c>
      <c r="L118" s="5" t="s">
        <v>153</v>
      </c>
    </row>
    <row r="119" spans="2:12" ht="15" customHeight="1" x14ac:dyDescent="0.25">
      <c r="B119" s="89" t="s">
        <v>14</v>
      </c>
      <c r="C119" s="100" t="s">
        <v>15</v>
      </c>
      <c r="D119" s="90" t="s">
        <v>150</v>
      </c>
      <c r="E119" s="116" t="str">
        <f t="shared" si="1"/>
        <v>Tododia Sabonete Liquido em Gel Macadamia 300ml Frasco</v>
      </c>
      <c r="F119" s="4" t="s">
        <v>92</v>
      </c>
      <c r="G119" s="28"/>
      <c r="H119" s="76" t="s">
        <v>151</v>
      </c>
      <c r="I119" s="51" t="s">
        <v>32</v>
      </c>
      <c r="J119" s="13" t="s">
        <v>152</v>
      </c>
      <c r="K119" s="5" t="s">
        <v>153</v>
      </c>
      <c r="L119" s="5" t="s">
        <v>153</v>
      </c>
    </row>
    <row r="120" spans="2:12" ht="15" customHeight="1" x14ac:dyDescent="0.25">
      <c r="B120" s="89" t="s">
        <v>14</v>
      </c>
      <c r="C120" s="100" t="s">
        <v>15</v>
      </c>
      <c r="D120" s="92" t="s">
        <v>150</v>
      </c>
      <c r="E120" s="116" t="str">
        <f t="shared" si="1"/>
        <v>Tododia Sabonete Liquido em Gel Noz Pecã e Cacau 300ml Frasco</v>
      </c>
      <c r="F120" s="4" t="s">
        <v>159</v>
      </c>
      <c r="G120" s="28"/>
      <c r="H120" s="76" t="s">
        <v>151</v>
      </c>
      <c r="I120" s="51" t="s">
        <v>32</v>
      </c>
      <c r="J120" s="13" t="s">
        <v>152</v>
      </c>
      <c r="K120" s="5" t="s">
        <v>153</v>
      </c>
      <c r="L120" s="5" t="s">
        <v>153</v>
      </c>
    </row>
    <row r="121" spans="2:12" ht="15" customHeight="1" x14ac:dyDescent="0.25">
      <c r="B121" s="89" t="s">
        <v>14</v>
      </c>
      <c r="C121" s="100" t="s">
        <v>15</v>
      </c>
      <c r="D121" s="90" t="s">
        <v>150</v>
      </c>
      <c r="E121" s="116" t="str">
        <f t="shared" si="1"/>
        <v>Tododia Sabonete Liquido em Gel Tamara e Canela 300ml Frasco</v>
      </c>
      <c r="F121" s="4" t="s">
        <v>134</v>
      </c>
      <c r="G121" s="28"/>
      <c r="H121" s="76" t="s">
        <v>151</v>
      </c>
      <c r="I121" s="51" t="s">
        <v>32</v>
      </c>
      <c r="J121" s="13" t="s">
        <v>152</v>
      </c>
      <c r="K121" s="5" t="s">
        <v>153</v>
      </c>
      <c r="L121" s="5" t="s">
        <v>153</v>
      </c>
    </row>
    <row r="122" spans="2:12" s="12" customFormat="1" ht="15" customHeight="1" x14ac:dyDescent="0.25">
      <c r="B122" s="89" t="s">
        <v>14</v>
      </c>
      <c r="C122" s="100" t="s">
        <v>15</v>
      </c>
      <c r="D122" s="92" t="s">
        <v>150</v>
      </c>
      <c r="E122" s="116" t="str">
        <f t="shared" si="1"/>
        <v>Tododia Sabonete Liquido em Gel Algodão 300ml Refil</v>
      </c>
      <c r="F122" s="4" t="s">
        <v>77</v>
      </c>
      <c r="G122" s="28"/>
      <c r="H122" s="76" t="s">
        <v>151</v>
      </c>
      <c r="I122" s="51" t="s">
        <v>49</v>
      </c>
      <c r="J122" s="13" t="s">
        <v>152</v>
      </c>
      <c r="K122" s="22" t="s">
        <v>160</v>
      </c>
      <c r="L122" s="22" t="s">
        <v>160</v>
      </c>
    </row>
    <row r="123" spans="2:12" s="12" customFormat="1" ht="15" customHeight="1" x14ac:dyDescent="0.25">
      <c r="B123" s="89" t="s">
        <v>14</v>
      </c>
      <c r="C123" s="100" t="s">
        <v>15</v>
      </c>
      <c r="D123" s="92" t="s">
        <v>150</v>
      </c>
      <c r="E123" s="116" t="str">
        <f t="shared" si="1"/>
        <v>Tododia Sabonete Liquido em Gel Alecrim e Salvia 300ml Refil</v>
      </c>
      <c r="F123" s="4" t="s">
        <v>129</v>
      </c>
      <c r="G123" s="28"/>
      <c r="H123" s="76" t="s">
        <v>151</v>
      </c>
      <c r="I123" s="51" t="s">
        <v>49</v>
      </c>
      <c r="J123" s="13" t="s">
        <v>152</v>
      </c>
      <c r="K123" s="22" t="s">
        <v>160</v>
      </c>
      <c r="L123" s="22" t="s">
        <v>160</v>
      </c>
    </row>
    <row r="124" spans="2:12" s="12" customFormat="1" ht="15" customHeight="1" x14ac:dyDescent="0.25">
      <c r="B124" s="89" t="s">
        <v>14</v>
      </c>
      <c r="C124" s="100" t="s">
        <v>15</v>
      </c>
      <c r="D124" s="92" t="s">
        <v>150</v>
      </c>
      <c r="E124" s="116" t="str">
        <f t="shared" si="1"/>
        <v>Tododia Sabonete Liquido em Gel Alecrim e Salvia 300ml Refil</v>
      </c>
      <c r="F124" s="4" t="s">
        <v>129</v>
      </c>
      <c r="G124" s="28"/>
      <c r="H124" s="76" t="s">
        <v>151</v>
      </c>
      <c r="I124" s="51" t="s">
        <v>49</v>
      </c>
      <c r="J124" s="13" t="s">
        <v>161</v>
      </c>
      <c r="K124" s="158">
        <v>58.9</v>
      </c>
      <c r="L124" s="158">
        <v>58.9</v>
      </c>
    </row>
    <row r="125" spans="2:12" s="12" customFormat="1" ht="15" customHeight="1" x14ac:dyDescent="0.25">
      <c r="B125" s="89" t="s">
        <v>14</v>
      </c>
      <c r="C125" s="100" t="s">
        <v>15</v>
      </c>
      <c r="D125" s="92" t="s">
        <v>150</v>
      </c>
      <c r="E125" s="116" t="str">
        <f t="shared" si="1"/>
        <v>Tododia Sabonete Liquido em Gel Ameixa e Flor de Baunilha 300ml Refil</v>
      </c>
      <c r="F125" s="5" t="s">
        <v>21</v>
      </c>
      <c r="G125" s="28"/>
      <c r="H125" s="76" t="s">
        <v>151</v>
      </c>
      <c r="I125" s="51" t="s">
        <v>49</v>
      </c>
      <c r="J125" s="13" t="s">
        <v>152</v>
      </c>
      <c r="K125" s="22" t="s">
        <v>160</v>
      </c>
      <c r="L125" s="22" t="s">
        <v>160</v>
      </c>
    </row>
    <row r="126" spans="2:12" s="12" customFormat="1" ht="15" customHeight="1" x14ac:dyDescent="0.25">
      <c r="B126" s="89" t="s">
        <v>14</v>
      </c>
      <c r="C126" s="100" t="s">
        <v>15</v>
      </c>
      <c r="D126" s="92" t="s">
        <v>150</v>
      </c>
      <c r="E126" s="116" t="str">
        <f t="shared" si="1"/>
        <v>Tododia Sabonete Liquido em Gel Amora Vermelha e Jabuticaba 300ml Refil</v>
      </c>
      <c r="F126" s="5" t="s">
        <v>25</v>
      </c>
      <c r="G126" s="28"/>
      <c r="H126" s="76" t="s">
        <v>151</v>
      </c>
      <c r="I126" s="51" t="s">
        <v>49</v>
      </c>
      <c r="J126" s="13" t="s">
        <v>152</v>
      </c>
      <c r="K126" s="22" t="s">
        <v>160</v>
      </c>
      <c r="L126" s="22" t="s">
        <v>160</v>
      </c>
    </row>
    <row r="127" spans="2:12" s="12" customFormat="1" ht="15" customHeight="1" x14ac:dyDescent="0.25">
      <c r="B127" s="89" t="s">
        <v>14</v>
      </c>
      <c r="C127" s="100" t="s">
        <v>15</v>
      </c>
      <c r="D127" s="92" t="s">
        <v>150</v>
      </c>
      <c r="E127" s="116" t="str">
        <f t="shared" si="1"/>
        <v>Tododia Sabonete Liquido em Gel Cereja e Avelã 300ml Refil</v>
      </c>
      <c r="F127" s="5" t="s">
        <v>54</v>
      </c>
      <c r="G127" s="28"/>
      <c r="H127" s="76" t="s">
        <v>151</v>
      </c>
      <c r="I127" s="51" t="s">
        <v>49</v>
      </c>
      <c r="J127" s="13" t="s">
        <v>152</v>
      </c>
      <c r="K127" s="22" t="s">
        <v>160</v>
      </c>
      <c r="L127" s="22" t="s">
        <v>160</v>
      </c>
    </row>
    <row r="128" spans="2:12" s="12" customFormat="1" ht="15" customHeight="1" x14ac:dyDescent="0.25">
      <c r="B128" s="89" t="s">
        <v>14</v>
      </c>
      <c r="C128" s="100" t="s">
        <v>15</v>
      </c>
      <c r="D128" s="92" t="s">
        <v>150</v>
      </c>
      <c r="E128" s="116" t="str">
        <f t="shared" si="1"/>
        <v>Tododia Sabonete Liquido em Gel Chá de Camomila e Lavanda 300ml Refil</v>
      </c>
      <c r="F128" s="4" t="s">
        <v>156</v>
      </c>
      <c r="G128" s="28"/>
      <c r="H128" s="76" t="s">
        <v>151</v>
      </c>
      <c r="I128" s="51" t="s">
        <v>49</v>
      </c>
      <c r="J128" s="14" t="s">
        <v>162</v>
      </c>
      <c r="K128" s="22" t="s">
        <v>160</v>
      </c>
      <c r="L128" s="22" t="s">
        <v>160</v>
      </c>
    </row>
    <row r="129" spans="2:12" s="12" customFormat="1" ht="15" customHeight="1" x14ac:dyDescent="0.25">
      <c r="B129" s="89" t="s">
        <v>14</v>
      </c>
      <c r="C129" s="100" t="s">
        <v>15</v>
      </c>
      <c r="D129" s="92" t="s">
        <v>150</v>
      </c>
      <c r="E129" s="116" t="str">
        <f t="shared" si="1"/>
        <v>Tododia Sabonete Liquido em Gel Flor de Gengibre e Tangerina 300ml Refil</v>
      </c>
      <c r="F129" s="4" t="s">
        <v>33</v>
      </c>
      <c r="G129" s="28"/>
      <c r="H129" s="76" t="s">
        <v>151</v>
      </c>
      <c r="I129" s="51" t="s">
        <v>49</v>
      </c>
      <c r="J129" s="13" t="s">
        <v>158</v>
      </c>
      <c r="K129" s="22" t="s">
        <v>160</v>
      </c>
      <c r="L129" s="22" t="s">
        <v>160</v>
      </c>
    </row>
    <row r="130" spans="2:12" s="12" customFormat="1" ht="15" customHeight="1" x14ac:dyDescent="0.25">
      <c r="B130" s="89" t="s">
        <v>14</v>
      </c>
      <c r="C130" s="100" t="s">
        <v>15</v>
      </c>
      <c r="D130" s="92" t="s">
        <v>150</v>
      </c>
      <c r="E130" s="116" t="str">
        <f t="shared" si="1"/>
        <v>Tododia Sabonete Liquido em Gel Macadamia 300ml Refil</v>
      </c>
      <c r="F130" s="4" t="s">
        <v>92</v>
      </c>
      <c r="G130" s="28"/>
      <c r="H130" s="76" t="s">
        <v>151</v>
      </c>
      <c r="I130" s="51" t="s">
        <v>49</v>
      </c>
      <c r="J130" s="13" t="s">
        <v>152</v>
      </c>
      <c r="K130" s="22" t="s">
        <v>160</v>
      </c>
      <c r="L130" s="22" t="s">
        <v>160</v>
      </c>
    </row>
    <row r="131" spans="2:12" s="12" customFormat="1" ht="15" customHeight="1" x14ac:dyDescent="0.25">
      <c r="B131" s="89" t="s">
        <v>14</v>
      </c>
      <c r="C131" s="100" t="s">
        <v>15</v>
      </c>
      <c r="D131" s="92" t="s">
        <v>150</v>
      </c>
      <c r="E131" s="116" t="str">
        <f t="shared" ref="E131:E194" si="2">TRIM(CONCATENATE(C131, " ", D131, " ", F131, " ", IF(G131&gt;0, G131 &amp; "x" &amp; H131, H131), " ", I131))</f>
        <v>Tododia Sabonete Liquido em Gel Noz Pecã e Cacau 300ml Refil</v>
      </c>
      <c r="F131" s="4" t="s">
        <v>159</v>
      </c>
      <c r="G131" s="28"/>
      <c r="H131" s="76" t="s">
        <v>151</v>
      </c>
      <c r="I131" s="51" t="s">
        <v>49</v>
      </c>
      <c r="J131" s="13" t="s">
        <v>152</v>
      </c>
      <c r="K131" s="22" t="s">
        <v>160</v>
      </c>
      <c r="L131" s="22" t="s">
        <v>160</v>
      </c>
    </row>
    <row r="132" spans="2:12" s="12" customFormat="1" ht="15" customHeight="1" x14ac:dyDescent="0.25">
      <c r="B132" s="89" t="s">
        <v>14</v>
      </c>
      <c r="C132" s="100" t="s">
        <v>15</v>
      </c>
      <c r="D132" s="92" t="s">
        <v>150</v>
      </c>
      <c r="E132" s="116" t="str">
        <f t="shared" si="2"/>
        <v>Tododia Sabonete Liquido em Gel Tamara e Canela 300ml Refil</v>
      </c>
      <c r="F132" s="4" t="s">
        <v>134</v>
      </c>
      <c r="G132" s="28"/>
      <c r="H132" s="76" t="s">
        <v>151</v>
      </c>
      <c r="I132" s="51" t="s">
        <v>49</v>
      </c>
      <c r="J132" s="13" t="s">
        <v>152</v>
      </c>
      <c r="K132" s="22" t="s">
        <v>160</v>
      </c>
      <c r="L132" s="22" t="s">
        <v>160</v>
      </c>
    </row>
    <row r="133" spans="2:12" s="12" customFormat="1" ht="15" customHeight="1" x14ac:dyDescent="0.25">
      <c r="B133" s="89" t="s">
        <v>14</v>
      </c>
      <c r="C133" s="100" t="s">
        <v>15</v>
      </c>
      <c r="D133" s="90" t="s">
        <v>163</v>
      </c>
      <c r="E133" s="116" t="str">
        <f t="shared" si="2"/>
        <v>Tododia Sabonete em Barra Chá de Camomila e Lavanda 5x80g Caixa</v>
      </c>
      <c r="F133" s="11" t="s">
        <v>156</v>
      </c>
      <c r="G133" s="28">
        <v>5</v>
      </c>
      <c r="H133" s="77" t="s">
        <v>137</v>
      </c>
      <c r="I133" s="121" t="s">
        <v>75</v>
      </c>
      <c r="J133" s="13" t="s">
        <v>164</v>
      </c>
      <c r="K133" s="158">
        <v>19.899999999999999</v>
      </c>
      <c r="L133" s="158">
        <v>19.899999999999999</v>
      </c>
    </row>
    <row r="134" spans="2:12" s="12" customFormat="1" ht="15" customHeight="1" x14ac:dyDescent="0.25">
      <c r="B134" s="89" t="s">
        <v>14</v>
      </c>
      <c r="C134" s="100" t="s">
        <v>15</v>
      </c>
      <c r="D134" s="90" t="s">
        <v>165</v>
      </c>
      <c r="E134" s="116" t="str">
        <f t="shared" si="2"/>
        <v>Tododia Sabonete em Barra Flor de Gengibre e Tangerina 5x80g Caixa</v>
      </c>
      <c r="F134" s="11" t="s">
        <v>33</v>
      </c>
      <c r="G134" s="28">
        <v>5</v>
      </c>
      <c r="H134" s="77" t="s">
        <v>137</v>
      </c>
      <c r="I134" s="121" t="s">
        <v>75</v>
      </c>
      <c r="J134" s="13" t="s">
        <v>158</v>
      </c>
      <c r="K134" s="158">
        <v>19.899999999999999</v>
      </c>
      <c r="L134" s="158">
        <v>19.899999999999999</v>
      </c>
    </row>
    <row r="135" spans="2:12" s="12" customFormat="1" ht="15" customHeight="1" x14ac:dyDescent="0.25">
      <c r="B135" s="89" t="s">
        <v>14</v>
      </c>
      <c r="C135" s="100" t="s">
        <v>15</v>
      </c>
      <c r="D135" s="90" t="s">
        <v>166</v>
      </c>
      <c r="E135" s="116" t="str">
        <f t="shared" si="2"/>
        <v>Tododia Body Splash Algodão 200ml Frasco</v>
      </c>
      <c r="F135" s="11" t="s">
        <v>77</v>
      </c>
      <c r="G135" s="28"/>
      <c r="H135" s="13" t="s">
        <v>31</v>
      </c>
      <c r="I135" s="48" t="s">
        <v>32</v>
      </c>
      <c r="J135" s="11" t="s">
        <v>167</v>
      </c>
      <c r="K135" s="159">
        <v>87.9</v>
      </c>
      <c r="L135" s="159">
        <v>87.9</v>
      </c>
    </row>
    <row r="136" spans="2:12" ht="15.75" customHeight="1" x14ac:dyDescent="0.25">
      <c r="B136" s="89" t="s">
        <v>14</v>
      </c>
      <c r="C136" s="100" t="s">
        <v>15</v>
      </c>
      <c r="D136" s="90" t="s">
        <v>166</v>
      </c>
      <c r="E136" s="116" t="str">
        <f t="shared" si="2"/>
        <v>Tododia Body Splash Ameixa e Flor de Baunilha 200ml Frasco</v>
      </c>
      <c r="F136" s="5" t="s">
        <v>21</v>
      </c>
      <c r="G136" s="28"/>
      <c r="H136" s="13" t="s">
        <v>31</v>
      </c>
      <c r="I136" s="48" t="s">
        <v>32</v>
      </c>
      <c r="J136" s="13" t="s">
        <v>168</v>
      </c>
      <c r="K136" s="159">
        <v>87.9</v>
      </c>
      <c r="L136" s="159">
        <v>87.9</v>
      </c>
    </row>
    <row r="137" spans="2:12" ht="15.75" customHeight="1" x14ac:dyDescent="0.25">
      <c r="B137" s="89" t="s">
        <v>14</v>
      </c>
      <c r="C137" s="100" t="s">
        <v>15</v>
      </c>
      <c r="D137" s="90" t="s">
        <v>166</v>
      </c>
      <c r="E137" s="116" t="str">
        <f t="shared" si="2"/>
        <v>Tododia Body Splash Amora Vermelha e Jabuticaba 200ml Frasco</v>
      </c>
      <c r="F137" s="5" t="s">
        <v>80</v>
      </c>
      <c r="G137" s="28"/>
      <c r="H137" s="13" t="s">
        <v>31</v>
      </c>
      <c r="I137" s="48" t="s">
        <v>32</v>
      </c>
      <c r="J137" s="13" t="s">
        <v>169</v>
      </c>
      <c r="K137" s="159">
        <v>87.9</v>
      </c>
      <c r="L137" s="159">
        <v>87.9</v>
      </c>
    </row>
    <row r="138" spans="2:12" ht="15.75" customHeight="1" x14ac:dyDescent="0.25">
      <c r="B138" s="89" t="s">
        <v>14</v>
      </c>
      <c r="C138" s="100" t="s">
        <v>15</v>
      </c>
      <c r="D138" s="90" t="s">
        <v>166</v>
      </c>
      <c r="E138" s="116" t="str">
        <f t="shared" si="2"/>
        <v>Tododia Body Splash Cereja Negra e Pranilé 200ml Frasco</v>
      </c>
      <c r="F138" s="5" t="s">
        <v>83</v>
      </c>
      <c r="G138" s="28"/>
      <c r="H138" s="13" t="s">
        <v>31</v>
      </c>
      <c r="I138" s="48" t="s">
        <v>32</v>
      </c>
      <c r="J138" s="13" t="s">
        <v>170</v>
      </c>
      <c r="K138" s="159">
        <v>87.9</v>
      </c>
      <c r="L138" s="159">
        <v>87.9</v>
      </c>
    </row>
    <row r="139" spans="2:12" ht="15" customHeight="1" x14ac:dyDescent="0.25">
      <c r="B139" s="89" t="s">
        <v>14</v>
      </c>
      <c r="C139" s="100" t="s">
        <v>15</v>
      </c>
      <c r="D139" s="90" t="s">
        <v>166</v>
      </c>
      <c r="E139" s="116" t="str">
        <f t="shared" si="2"/>
        <v>Tododia Body Splash Cereja e Avelã 200ml Frasco</v>
      </c>
      <c r="F139" s="4" t="s">
        <v>54</v>
      </c>
      <c r="G139" s="28"/>
      <c r="H139" s="13" t="s">
        <v>31</v>
      </c>
      <c r="I139" s="48" t="s">
        <v>32</v>
      </c>
      <c r="J139" s="13" t="s">
        <v>171</v>
      </c>
      <c r="K139" s="159">
        <v>87.9</v>
      </c>
      <c r="L139" s="159">
        <v>87.9</v>
      </c>
    </row>
    <row r="140" spans="2:12" ht="15" customHeight="1" x14ac:dyDescent="0.25">
      <c r="B140" s="89" t="s">
        <v>14</v>
      </c>
      <c r="C140" s="100" t="s">
        <v>15</v>
      </c>
      <c r="D140" s="90" t="s">
        <v>166</v>
      </c>
      <c r="E140" s="116" t="str">
        <f t="shared" si="2"/>
        <v>Tododia Body Splash Cha Camomila e Lavanda 200ml Frasco</v>
      </c>
      <c r="F140" s="4" t="s">
        <v>172</v>
      </c>
      <c r="G140" s="28"/>
      <c r="H140" s="13" t="s">
        <v>31</v>
      </c>
      <c r="I140" s="48" t="s">
        <v>32</v>
      </c>
      <c r="J140" s="14" t="s">
        <v>173</v>
      </c>
      <c r="K140" s="159">
        <v>87.9</v>
      </c>
      <c r="L140" s="159">
        <v>87.9</v>
      </c>
    </row>
    <row r="141" spans="2:12" ht="15" customHeight="1" x14ac:dyDescent="0.25">
      <c r="B141" s="89" t="s">
        <v>14</v>
      </c>
      <c r="C141" s="100" t="s">
        <v>15</v>
      </c>
      <c r="D141" s="90" t="s">
        <v>166</v>
      </c>
      <c r="E141" s="116" t="str">
        <f t="shared" si="2"/>
        <v>Tododia Body Splash Flor de Pera e Melissa 200ml Frasco</v>
      </c>
      <c r="F141" s="4" t="s">
        <v>36</v>
      </c>
      <c r="G141" s="28"/>
      <c r="H141" s="13" t="s">
        <v>31</v>
      </c>
      <c r="I141" s="48" t="s">
        <v>32</v>
      </c>
      <c r="J141" s="13" t="s">
        <v>174</v>
      </c>
      <c r="K141" s="159">
        <v>87.9</v>
      </c>
      <c r="L141" s="159">
        <v>87.9</v>
      </c>
    </row>
    <row r="142" spans="2:12" ht="15" customHeight="1" x14ac:dyDescent="0.25">
      <c r="B142" s="89" t="s">
        <v>14</v>
      </c>
      <c r="C142" s="100" t="s">
        <v>15</v>
      </c>
      <c r="D142" s="90" t="s">
        <v>166</v>
      </c>
      <c r="E142" s="116" t="str">
        <f t="shared" si="2"/>
        <v>Tododia Body Splash Flor de Gengibre e Tangerina 200ml Frasco</v>
      </c>
      <c r="F142" s="4" t="s">
        <v>33</v>
      </c>
      <c r="G142" s="28"/>
      <c r="H142" s="13" t="s">
        <v>31</v>
      </c>
      <c r="I142" s="48" t="s">
        <v>32</v>
      </c>
      <c r="J142" s="4" t="s">
        <v>175</v>
      </c>
      <c r="K142" s="159">
        <v>87.9</v>
      </c>
      <c r="L142" s="159">
        <v>87.9</v>
      </c>
    </row>
    <row r="143" spans="2:12" ht="15" customHeight="1" x14ac:dyDescent="0.25">
      <c r="B143" s="89" t="s">
        <v>14</v>
      </c>
      <c r="C143" s="100" t="s">
        <v>15</v>
      </c>
      <c r="D143" s="90" t="s">
        <v>166</v>
      </c>
      <c r="E143" s="116" t="str">
        <f t="shared" si="2"/>
        <v>Tododia Body Splash Frambuesa e Pimenta Vermelha 200ml Frasco</v>
      </c>
      <c r="F143" s="4" t="s">
        <v>176</v>
      </c>
      <c r="G143" s="28"/>
      <c r="H143" s="13" t="s">
        <v>31</v>
      </c>
      <c r="I143" s="48" t="s">
        <v>32</v>
      </c>
      <c r="J143" s="4" t="s">
        <v>169</v>
      </c>
      <c r="K143" s="159">
        <v>87.9</v>
      </c>
      <c r="L143" s="159">
        <v>87.9</v>
      </c>
    </row>
    <row r="144" spans="2:12" ht="15" customHeight="1" x14ac:dyDescent="0.25">
      <c r="B144" s="89" t="s">
        <v>14</v>
      </c>
      <c r="C144" s="100" t="s">
        <v>15</v>
      </c>
      <c r="D144" s="90" t="s">
        <v>166</v>
      </c>
      <c r="E144" s="116" t="str">
        <f t="shared" si="2"/>
        <v>Tododia Body Splash Jambo Rosa e Flor De Caju 200ml Frasco</v>
      </c>
      <c r="F144" s="4" t="s">
        <v>38</v>
      </c>
      <c r="G144" s="28"/>
      <c r="H144" s="13" t="s">
        <v>31</v>
      </c>
      <c r="I144" s="48" t="s">
        <v>32</v>
      </c>
      <c r="J144" s="4" t="s">
        <v>177</v>
      </c>
      <c r="K144" s="159">
        <v>87.9</v>
      </c>
      <c r="L144" s="159">
        <v>87.9</v>
      </c>
    </row>
    <row r="145" spans="2:12" ht="15" customHeight="1" x14ac:dyDescent="0.25">
      <c r="B145" s="89" t="s">
        <v>14</v>
      </c>
      <c r="C145" s="100" t="s">
        <v>15</v>
      </c>
      <c r="D145" s="90" t="s">
        <v>166</v>
      </c>
      <c r="E145" s="116" t="str">
        <f t="shared" si="2"/>
        <v>Tododia Body Splash Maça Caramelada e Baunilha 200ml Frasco</v>
      </c>
      <c r="F145" s="4" t="s">
        <v>41</v>
      </c>
      <c r="G145" s="28"/>
      <c r="H145" s="13" t="s">
        <v>31</v>
      </c>
      <c r="I145" s="48" t="s">
        <v>32</v>
      </c>
      <c r="J145" s="26" t="s">
        <v>178</v>
      </c>
      <c r="K145" s="159">
        <v>87.9</v>
      </c>
      <c r="L145" s="159">
        <v>87.9</v>
      </c>
    </row>
    <row r="146" spans="2:12" ht="15" customHeight="1" x14ac:dyDescent="0.25">
      <c r="B146" s="89" t="s">
        <v>14</v>
      </c>
      <c r="C146" s="100" t="s">
        <v>15</v>
      </c>
      <c r="D146" s="90" t="s">
        <v>166</v>
      </c>
      <c r="E146" s="116" t="str">
        <f t="shared" si="2"/>
        <v>Tododia Body Splash Noz pecã e cacau 200ml Frasco</v>
      </c>
      <c r="F146" s="4" t="s">
        <v>179</v>
      </c>
      <c r="G146" s="28"/>
      <c r="H146" s="13" t="s">
        <v>31</v>
      </c>
      <c r="I146" s="48" t="s">
        <v>32</v>
      </c>
      <c r="J146" s="4"/>
      <c r="K146" s="159">
        <v>87.9</v>
      </c>
      <c r="L146" s="159">
        <v>87.9</v>
      </c>
    </row>
    <row r="147" spans="2:12" ht="15" customHeight="1" x14ac:dyDescent="0.25">
      <c r="B147" s="89" t="s">
        <v>14</v>
      </c>
      <c r="C147" s="100" t="s">
        <v>15</v>
      </c>
      <c r="D147" s="90" t="s">
        <v>166</v>
      </c>
      <c r="E147" s="116" t="str">
        <f t="shared" si="2"/>
        <v>Tododia Body Splash Romã e Flor de Amora 200ml Frasco</v>
      </c>
      <c r="F147" s="4" t="s">
        <v>46</v>
      </c>
      <c r="G147" s="28"/>
      <c r="H147" s="13" t="s">
        <v>31</v>
      </c>
      <c r="I147" s="48" t="s">
        <v>32</v>
      </c>
      <c r="J147" s="4" t="s">
        <v>180</v>
      </c>
      <c r="K147" s="159">
        <v>87.9</v>
      </c>
      <c r="L147" s="159">
        <v>87.9</v>
      </c>
    </row>
    <row r="148" spans="2:12" ht="15" customHeight="1" x14ac:dyDescent="0.25">
      <c r="B148" s="89" t="s">
        <v>14</v>
      </c>
      <c r="C148" s="100" t="s">
        <v>15</v>
      </c>
      <c r="D148" s="90" t="s">
        <v>181</v>
      </c>
      <c r="E148" s="116" t="str">
        <f t="shared" si="2"/>
        <v>Tododia Spray de Ambientes Cha Camomila e Lavanda 200ml Frasco</v>
      </c>
      <c r="F148" s="4" t="s">
        <v>172</v>
      </c>
      <c r="G148" s="28"/>
      <c r="H148" s="13" t="s">
        <v>31</v>
      </c>
      <c r="I148" s="48" t="s">
        <v>32</v>
      </c>
      <c r="J148" s="26" t="s">
        <v>182</v>
      </c>
      <c r="K148" s="160">
        <v>83.9</v>
      </c>
      <c r="L148" s="160">
        <v>83.9</v>
      </c>
    </row>
    <row r="149" spans="2:12" ht="15" customHeight="1" x14ac:dyDescent="0.25">
      <c r="B149" s="89" t="s">
        <v>14</v>
      </c>
      <c r="C149" s="100" t="s">
        <v>15</v>
      </c>
      <c r="D149" s="90" t="s">
        <v>181</v>
      </c>
      <c r="E149" s="116" t="str">
        <f t="shared" si="2"/>
        <v>Tododia Spray de Ambientes Cha Camomila e Lavanda 200ml Refil</v>
      </c>
      <c r="F149" s="4" t="s">
        <v>172</v>
      </c>
      <c r="G149" s="28"/>
      <c r="H149" s="13" t="s">
        <v>31</v>
      </c>
      <c r="I149" s="48" t="s">
        <v>183</v>
      </c>
      <c r="J149" s="22" t="s">
        <v>184</v>
      </c>
      <c r="K149" s="160">
        <v>58.9</v>
      </c>
      <c r="L149" s="160">
        <v>58.9</v>
      </c>
    </row>
    <row r="150" spans="2:12" ht="15" customHeight="1" x14ac:dyDescent="0.25">
      <c r="B150" s="89" t="s">
        <v>14</v>
      </c>
      <c r="C150" s="100" t="s">
        <v>15</v>
      </c>
      <c r="D150" s="90" t="s">
        <v>185</v>
      </c>
      <c r="E150" s="116" t="str">
        <f t="shared" si="2"/>
        <v>Tododia Shampoo Amora e Oleo De Coco 300ml Frasco</v>
      </c>
      <c r="F150" s="4" t="s">
        <v>186</v>
      </c>
      <c r="G150" s="28"/>
      <c r="H150" s="4" t="s">
        <v>151</v>
      </c>
      <c r="I150" s="48" t="s">
        <v>32</v>
      </c>
      <c r="J150" s="26" t="s">
        <v>187</v>
      </c>
      <c r="K150" s="4" t="s">
        <v>188</v>
      </c>
      <c r="L150" s="4" t="s">
        <v>188</v>
      </c>
    </row>
    <row r="151" spans="2:12" ht="15" customHeight="1" x14ac:dyDescent="0.25">
      <c r="B151" s="89" t="s">
        <v>14</v>
      </c>
      <c r="C151" s="100" t="s">
        <v>15</v>
      </c>
      <c r="D151" s="90" t="s">
        <v>185</v>
      </c>
      <c r="E151" s="116" t="str">
        <f t="shared" si="2"/>
        <v>Tododia Shampoo Flor de Cereja e Abacate 300ml Frasco</v>
      </c>
      <c r="F151" s="4" t="s">
        <v>189</v>
      </c>
      <c r="G151" s="28"/>
      <c r="H151" s="4" t="s">
        <v>151</v>
      </c>
      <c r="I151" s="48" t="s">
        <v>32</v>
      </c>
      <c r="J151" s="13" t="s">
        <v>190</v>
      </c>
      <c r="K151" s="4" t="s">
        <v>188</v>
      </c>
      <c r="L151" s="4" t="s">
        <v>188</v>
      </c>
    </row>
    <row r="152" spans="2:12" ht="15" customHeight="1" x14ac:dyDescent="0.25">
      <c r="B152" s="89" t="s">
        <v>14</v>
      </c>
      <c r="C152" s="98" t="s">
        <v>15</v>
      </c>
      <c r="D152" s="90" t="s">
        <v>185</v>
      </c>
      <c r="E152" s="116" t="str">
        <f t="shared" si="2"/>
        <v>Tododia Shampoo Maçã Verde e Aloe Vera 300ml Frasco</v>
      </c>
      <c r="F152" s="4" t="s">
        <v>191</v>
      </c>
      <c r="G152" s="28"/>
      <c r="H152" s="4" t="s">
        <v>151</v>
      </c>
      <c r="I152" s="48" t="s">
        <v>32</v>
      </c>
      <c r="J152" s="4" t="s">
        <v>192</v>
      </c>
      <c r="K152" s="4" t="s">
        <v>188</v>
      </c>
      <c r="L152" s="4" t="s">
        <v>188</v>
      </c>
    </row>
    <row r="153" spans="2:12" ht="15" customHeight="1" x14ac:dyDescent="0.25">
      <c r="B153" s="89" t="s">
        <v>14</v>
      </c>
      <c r="C153" s="98" t="s">
        <v>15</v>
      </c>
      <c r="D153" s="90" t="s">
        <v>185</v>
      </c>
      <c r="E153" s="116" t="str">
        <f t="shared" si="2"/>
        <v>Tododia Shampoo Pessego e Amendoa 300ml Frasco</v>
      </c>
      <c r="F153" s="26" t="s">
        <v>193</v>
      </c>
      <c r="G153" s="28"/>
      <c r="H153" s="4" t="s">
        <v>151</v>
      </c>
      <c r="I153" s="48" t="s">
        <v>32</v>
      </c>
      <c r="J153" s="26" t="s">
        <v>194</v>
      </c>
      <c r="K153" s="4" t="s">
        <v>188</v>
      </c>
      <c r="L153" s="4" t="s">
        <v>188</v>
      </c>
    </row>
    <row r="154" spans="2:12" ht="15" customHeight="1" x14ac:dyDescent="0.25">
      <c r="B154" s="89" t="s">
        <v>14</v>
      </c>
      <c r="C154" s="98" t="s">
        <v>15</v>
      </c>
      <c r="D154" s="90" t="s">
        <v>185</v>
      </c>
      <c r="E154" s="116" t="str">
        <f t="shared" si="2"/>
        <v>Tododia Shampoo Amora e Oleo De Coco 300ml Refil</v>
      </c>
      <c r="F154" s="4" t="s">
        <v>186</v>
      </c>
      <c r="G154" s="28"/>
      <c r="H154" s="4" t="s">
        <v>151</v>
      </c>
      <c r="I154" s="48" t="s">
        <v>183</v>
      </c>
      <c r="J154" s="26" t="s">
        <v>187</v>
      </c>
      <c r="K154" s="161">
        <v>26.9</v>
      </c>
      <c r="L154" s="161">
        <v>26.9</v>
      </c>
    </row>
    <row r="155" spans="2:12" ht="15" customHeight="1" x14ac:dyDescent="0.25">
      <c r="B155" s="89" t="s">
        <v>14</v>
      </c>
      <c r="C155" s="98" t="s">
        <v>15</v>
      </c>
      <c r="D155" s="90" t="s">
        <v>185</v>
      </c>
      <c r="E155" s="116" t="str">
        <f t="shared" si="2"/>
        <v>Tododia Shampoo Flor de Cereja e Abacate 300ml Refil</v>
      </c>
      <c r="F155" s="4" t="s">
        <v>189</v>
      </c>
      <c r="G155" s="28"/>
      <c r="H155" s="4" t="s">
        <v>151</v>
      </c>
      <c r="I155" s="48" t="s">
        <v>183</v>
      </c>
      <c r="J155" s="13" t="s">
        <v>190</v>
      </c>
      <c r="K155" s="161">
        <v>26.9</v>
      </c>
      <c r="L155" s="161">
        <v>26.9</v>
      </c>
    </row>
    <row r="156" spans="2:12" ht="15" customHeight="1" x14ac:dyDescent="0.25">
      <c r="B156" s="89" t="s">
        <v>14</v>
      </c>
      <c r="C156" s="98" t="s">
        <v>15</v>
      </c>
      <c r="D156" s="90" t="s">
        <v>185</v>
      </c>
      <c r="E156" s="116" t="str">
        <f t="shared" si="2"/>
        <v>Tododia Shampoo Maçã Verde e Aloe Vera 300ml Refil</v>
      </c>
      <c r="F156" s="4" t="s">
        <v>191</v>
      </c>
      <c r="G156" s="28"/>
      <c r="H156" s="4" t="s">
        <v>151</v>
      </c>
      <c r="I156" s="48" t="s">
        <v>183</v>
      </c>
      <c r="J156" s="4" t="s">
        <v>192</v>
      </c>
      <c r="K156" s="161">
        <v>26.9</v>
      </c>
      <c r="L156" s="161">
        <v>26.9</v>
      </c>
    </row>
    <row r="157" spans="2:12" ht="15" customHeight="1" x14ac:dyDescent="0.25">
      <c r="B157" s="89" t="s">
        <v>14</v>
      </c>
      <c r="C157" s="98" t="s">
        <v>15</v>
      </c>
      <c r="D157" s="90" t="s">
        <v>185</v>
      </c>
      <c r="E157" s="116" t="str">
        <f t="shared" si="2"/>
        <v>Tododia Shampoo Pessego e Amendoa 300ml Refil</v>
      </c>
      <c r="F157" s="26" t="s">
        <v>193</v>
      </c>
      <c r="G157" s="28"/>
      <c r="H157" s="4" t="s">
        <v>151</v>
      </c>
      <c r="I157" s="48" t="s">
        <v>183</v>
      </c>
      <c r="J157" s="26" t="s">
        <v>194</v>
      </c>
      <c r="K157" s="161">
        <v>26.9</v>
      </c>
      <c r="L157" s="161">
        <v>26.9</v>
      </c>
    </row>
    <row r="158" spans="2:12" ht="15" customHeight="1" x14ac:dyDescent="0.25">
      <c r="B158" s="89" t="s">
        <v>14</v>
      </c>
      <c r="C158" s="98" t="s">
        <v>15</v>
      </c>
      <c r="D158" s="2" t="s">
        <v>195</v>
      </c>
      <c r="E158" s="116" t="str">
        <f t="shared" si="2"/>
        <v>Tododia Condicionador Amora e Oleo De Coco 280ml Frasco</v>
      </c>
      <c r="F158" s="26" t="s">
        <v>186</v>
      </c>
      <c r="G158" s="28"/>
      <c r="H158" s="26" t="s">
        <v>196</v>
      </c>
      <c r="I158" s="46" t="s">
        <v>32</v>
      </c>
      <c r="J158" s="26" t="s">
        <v>197</v>
      </c>
      <c r="K158" s="152">
        <v>35.9</v>
      </c>
      <c r="L158" s="152">
        <v>35.9</v>
      </c>
    </row>
    <row r="159" spans="2:12" ht="15" customHeight="1" x14ac:dyDescent="0.25">
      <c r="B159" s="89" t="s">
        <v>14</v>
      </c>
      <c r="C159" s="98" t="s">
        <v>15</v>
      </c>
      <c r="D159" s="2" t="s">
        <v>195</v>
      </c>
      <c r="E159" s="116" t="str">
        <f t="shared" si="2"/>
        <v>Tododia Condicionador Flor de Cereja e Abacate 280ml Frasco</v>
      </c>
      <c r="F159" s="26" t="s">
        <v>189</v>
      </c>
      <c r="G159" s="28"/>
      <c r="H159" s="26" t="s">
        <v>196</v>
      </c>
      <c r="I159" s="46" t="s">
        <v>32</v>
      </c>
      <c r="J159" s="13" t="s">
        <v>198</v>
      </c>
      <c r="K159" s="152">
        <v>35.9</v>
      </c>
      <c r="L159" s="152">
        <v>35.9</v>
      </c>
    </row>
    <row r="160" spans="2:12" ht="15" customHeight="1" x14ac:dyDescent="0.25">
      <c r="B160" s="89" t="s">
        <v>14</v>
      </c>
      <c r="C160" s="98" t="s">
        <v>15</v>
      </c>
      <c r="D160" s="2" t="s">
        <v>195</v>
      </c>
      <c r="E160" s="116" t="str">
        <f t="shared" si="2"/>
        <v>Tododia Condicionador Maçã Verde e Aloe Vera 280ml Frasco</v>
      </c>
      <c r="F160" s="26" t="s">
        <v>191</v>
      </c>
      <c r="G160" s="28"/>
      <c r="H160" s="26" t="s">
        <v>196</v>
      </c>
      <c r="I160" s="46" t="s">
        <v>32</v>
      </c>
      <c r="J160" s="4" t="s">
        <v>199</v>
      </c>
      <c r="K160" s="152">
        <v>35.9</v>
      </c>
      <c r="L160" s="152">
        <v>35.9</v>
      </c>
    </row>
    <row r="161" spans="2:12" ht="15" customHeight="1" x14ac:dyDescent="0.25">
      <c r="B161" s="89" t="s">
        <v>14</v>
      </c>
      <c r="C161" s="98" t="s">
        <v>15</v>
      </c>
      <c r="D161" s="2" t="s">
        <v>195</v>
      </c>
      <c r="E161" s="116" t="str">
        <f t="shared" si="2"/>
        <v>Tododia Condicionador Pessego e Amendoa 280ml Frasco</v>
      </c>
      <c r="F161" s="26" t="s">
        <v>193</v>
      </c>
      <c r="G161" s="28"/>
      <c r="H161" s="26" t="s">
        <v>196</v>
      </c>
      <c r="I161" s="46" t="s">
        <v>32</v>
      </c>
      <c r="J161" s="26" t="s">
        <v>200</v>
      </c>
      <c r="K161" s="152">
        <v>35.9</v>
      </c>
      <c r="L161" s="152">
        <v>35.9</v>
      </c>
    </row>
    <row r="162" spans="2:12" ht="15" customHeight="1" x14ac:dyDescent="0.25">
      <c r="B162" s="89" t="s">
        <v>14</v>
      </c>
      <c r="C162" s="98" t="s">
        <v>15</v>
      </c>
      <c r="D162" s="2" t="s">
        <v>195</v>
      </c>
      <c r="E162" s="116" t="str">
        <f t="shared" si="2"/>
        <v>Tododia Condicionador Amora e Oleo De Coco 280ml Refil</v>
      </c>
      <c r="F162" s="26" t="s">
        <v>186</v>
      </c>
      <c r="G162" s="28"/>
      <c r="H162" s="26" t="s">
        <v>196</v>
      </c>
      <c r="I162" s="46" t="s">
        <v>183</v>
      </c>
      <c r="J162" s="26" t="s">
        <v>197</v>
      </c>
      <c r="K162" s="152">
        <v>27.9</v>
      </c>
      <c r="L162" s="152">
        <v>27.9</v>
      </c>
    </row>
    <row r="163" spans="2:12" ht="15" customHeight="1" x14ac:dyDescent="0.25">
      <c r="B163" s="89" t="s">
        <v>14</v>
      </c>
      <c r="C163" s="98" t="s">
        <v>15</v>
      </c>
      <c r="D163" s="2" t="s">
        <v>195</v>
      </c>
      <c r="E163" s="116" t="str">
        <f t="shared" si="2"/>
        <v>Tododia Condicionador Flor de Cereja e Abacate 280ml Refil</v>
      </c>
      <c r="F163" s="26" t="s">
        <v>189</v>
      </c>
      <c r="G163" s="28"/>
      <c r="H163" s="26" t="s">
        <v>196</v>
      </c>
      <c r="I163" s="46" t="s">
        <v>183</v>
      </c>
      <c r="J163" s="13" t="s">
        <v>198</v>
      </c>
      <c r="K163" s="152">
        <v>27.9</v>
      </c>
      <c r="L163" s="152">
        <v>27.9</v>
      </c>
    </row>
    <row r="164" spans="2:12" ht="15" customHeight="1" x14ac:dyDescent="0.25">
      <c r="B164" s="89" t="s">
        <v>14</v>
      </c>
      <c r="C164" s="98" t="s">
        <v>15</v>
      </c>
      <c r="D164" s="2" t="s">
        <v>195</v>
      </c>
      <c r="E164" s="116" t="str">
        <f t="shared" si="2"/>
        <v>Tododia Condicionador Maçã Verde e Aloe Vera 280ml Refil</v>
      </c>
      <c r="F164" s="26" t="s">
        <v>191</v>
      </c>
      <c r="G164" s="28"/>
      <c r="H164" s="26" t="s">
        <v>196</v>
      </c>
      <c r="I164" s="46" t="s">
        <v>183</v>
      </c>
      <c r="J164" s="4" t="s">
        <v>199</v>
      </c>
      <c r="K164" s="152">
        <v>27.9</v>
      </c>
      <c r="L164" s="152">
        <v>27.9</v>
      </c>
    </row>
    <row r="165" spans="2:12" ht="15" customHeight="1" x14ac:dyDescent="0.25">
      <c r="B165" s="89" t="s">
        <v>14</v>
      </c>
      <c r="C165" s="98" t="s">
        <v>15</v>
      </c>
      <c r="D165" s="2" t="s">
        <v>195</v>
      </c>
      <c r="E165" s="116" t="str">
        <f t="shared" si="2"/>
        <v>Tododia Condicionador Pessego e Amendoa 280ml Refil</v>
      </c>
      <c r="F165" s="26" t="s">
        <v>193</v>
      </c>
      <c r="G165" s="28"/>
      <c r="H165" s="26" t="s">
        <v>196</v>
      </c>
      <c r="I165" s="46" t="s">
        <v>183</v>
      </c>
      <c r="J165" s="26" t="s">
        <v>200</v>
      </c>
      <c r="K165" s="152">
        <v>27.9</v>
      </c>
      <c r="L165" s="152">
        <v>27.9</v>
      </c>
    </row>
    <row r="166" spans="2:12" ht="15" customHeight="1" x14ac:dyDescent="0.25">
      <c r="B166" s="89" t="s">
        <v>14</v>
      </c>
      <c r="C166" s="98" t="s">
        <v>15</v>
      </c>
      <c r="D166" s="2" t="s">
        <v>201</v>
      </c>
      <c r="E166" s="116" t="str">
        <f t="shared" si="2"/>
        <v>Tododia Mascara Concentrada Cronograma Capilar Flor de Cereja e Abacate 250ml Frasco</v>
      </c>
      <c r="F166" s="66" t="s">
        <v>189</v>
      </c>
      <c r="G166" s="28"/>
      <c r="H166" s="21" t="s">
        <v>202</v>
      </c>
      <c r="I166" s="52" t="s">
        <v>32</v>
      </c>
      <c r="J166" s="21" t="s">
        <v>203</v>
      </c>
      <c r="K166" s="152">
        <v>45.9</v>
      </c>
      <c r="L166" s="152">
        <v>45.9</v>
      </c>
    </row>
    <row r="167" spans="2:12" ht="15" customHeight="1" x14ac:dyDescent="0.25">
      <c r="B167" s="89" t="s">
        <v>14</v>
      </c>
      <c r="C167" s="98" t="s">
        <v>15</v>
      </c>
      <c r="D167" s="2" t="s">
        <v>201</v>
      </c>
      <c r="E167" s="116" t="str">
        <f t="shared" si="2"/>
        <v>Tododia Mascara Concentrada Cronograma Capilar Maçã Verde e Aloe Vera 250ml Frasco</v>
      </c>
      <c r="F167" s="67" t="s">
        <v>191</v>
      </c>
      <c r="G167" s="28"/>
      <c r="H167" s="21" t="s">
        <v>202</v>
      </c>
      <c r="I167" s="52" t="s">
        <v>32</v>
      </c>
      <c r="J167" s="21" t="s">
        <v>204</v>
      </c>
      <c r="K167" s="152">
        <v>45.9</v>
      </c>
      <c r="L167" s="152">
        <v>45.9</v>
      </c>
    </row>
    <row r="168" spans="2:12" ht="15" customHeight="1" x14ac:dyDescent="0.25">
      <c r="B168" s="89" t="s">
        <v>14</v>
      </c>
      <c r="C168" s="98" t="s">
        <v>15</v>
      </c>
      <c r="D168" s="2" t="s">
        <v>201</v>
      </c>
      <c r="E168" s="116" t="str">
        <f t="shared" si="2"/>
        <v>Tododia Mascara Concentrada Cronograma Capilar Pessego e Amendoa 250ml Frasco</v>
      </c>
      <c r="F168" s="68" t="s">
        <v>193</v>
      </c>
      <c r="G168" s="28"/>
      <c r="H168" s="21" t="s">
        <v>202</v>
      </c>
      <c r="I168" s="52" t="s">
        <v>32</v>
      </c>
      <c r="J168" s="21" t="s">
        <v>205</v>
      </c>
      <c r="K168" s="152">
        <v>45.9</v>
      </c>
      <c r="L168" s="152">
        <v>45.9</v>
      </c>
    </row>
    <row r="169" spans="2:12" ht="15" customHeight="1" x14ac:dyDescent="0.25">
      <c r="B169" s="89" t="s">
        <v>14</v>
      </c>
      <c r="C169" s="98" t="s">
        <v>15</v>
      </c>
      <c r="D169" s="2" t="s">
        <v>201</v>
      </c>
      <c r="E169" s="116" t="str">
        <f t="shared" si="2"/>
        <v>Tododia Mascara Concentrada Cronograma Capilar Flor de Cereja e Abacate 250ml Refil</v>
      </c>
      <c r="F169" s="66" t="s">
        <v>189</v>
      </c>
      <c r="G169" s="28"/>
      <c r="H169" s="21" t="s">
        <v>202</v>
      </c>
      <c r="I169" s="52" t="s">
        <v>183</v>
      </c>
      <c r="J169" s="21" t="s">
        <v>203</v>
      </c>
      <c r="K169" s="162">
        <v>35.9</v>
      </c>
      <c r="L169" s="162">
        <v>35.9</v>
      </c>
    </row>
    <row r="170" spans="2:12" ht="15" customHeight="1" x14ac:dyDescent="0.25">
      <c r="B170" s="89" t="s">
        <v>14</v>
      </c>
      <c r="C170" s="98" t="s">
        <v>15</v>
      </c>
      <c r="D170" s="2" t="s">
        <v>201</v>
      </c>
      <c r="E170" s="116" t="str">
        <f t="shared" si="2"/>
        <v>Tododia Mascara Concentrada Cronograma Capilar Maçã Verde e Aloe Vera 250ml Refil</v>
      </c>
      <c r="F170" s="67" t="s">
        <v>191</v>
      </c>
      <c r="G170" s="28"/>
      <c r="H170" s="21" t="s">
        <v>202</v>
      </c>
      <c r="I170" s="52" t="s">
        <v>183</v>
      </c>
      <c r="J170" s="21" t="s">
        <v>204</v>
      </c>
      <c r="K170" s="162">
        <v>35.9</v>
      </c>
      <c r="L170" s="162">
        <v>35.9</v>
      </c>
    </row>
    <row r="171" spans="2:12" ht="15" customHeight="1" x14ac:dyDescent="0.25">
      <c r="B171" s="89" t="s">
        <v>14</v>
      </c>
      <c r="C171" s="98" t="s">
        <v>15</v>
      </c>
      <c r="D171" s="2" t="s">
        <v>201</v>
      </c>
      <c r="E171" s="116" t="str">
        <f t="shared" si="2"/>
        <v>Tododia Mascara Concentrada Cronograma Capilar Pessego e Amendoa 250ml Refil</v>
      </c>
      <c r="F171" s="68" t="s">
        <v>193</v>
      </c>
      <c r="G171" s="28"/>
      <c r="H171" s="21" t="s">
        <v>202</v>
      </c>
      <c r="I171" s="52" t="s">
        <v>183</v>
      </c>
      <c r="J171" s="21" t="s">
        <v>205</v>
      </c>
      <c r="K171" s="162">
        <v>35.9</v>
      </c>
      <c r="L171" s="162">
        <v>35.9</v>
      </c>
    </row>
    <row r="172" spans="2:12" ht="15" customHeight="1" x14ac:dyDescent="0.25">
      <c r="B172" s="89" t="s">
        <v>14</v>
      </c>
      <c r="C172" s="98" t="s">
        <v>15</v>
      </c>
      <c r="D172" s="2" t="s">
        <v>206</v>
      </c>
      <c r="E172" s="116" t="str">
        <f t="shared" si="2"/>
        <v>Tododia Creme para pentear Amora e Oléo Coco (Crespo) 280ml Frasco</v>
      </c>
      <c r="F172" s="116" t="s">
        <v>207</v>
      </c>
      <c r="G172" s="28"/>
      <c r="H172" s="26" t="s">
        <v>196</v>
      </c>
      <c r="I172" s="52" t="s">
        <v>32</v>
      </c>
      <c r="J172" s="21" t="s">
        <v>208</v>
      </c>
      <c r="K172" s="152">
        <v>37.9</v>
      </c>
      <c r="L172" s="152">
        <v>37.9</v>
      </c>
    </row>
    <row r="173" spans="2:12" ht="15" customHeight="1" x14ac:dyDescent="0.25">
      <c r="B173" s="89" t="s">
        <v>14</v>
      </c>
      <c r="C173" s="98" t="s">
        <v>15</v>
      </c>
      <c r="D173" s="2" t="s">
        <v>206</v>
      </c>
      <c r="E173" s="116" t="str">
        <f t="shared" si="2"/>
        <v>Tododia Creme para pentear Amora e Oléo Coco (Cachos) 280ml Frasco</v>
      </c>
      <c r="F173" s="116" t="s">
        <v>209</v>
      </c>
      <c r="G173" s="28"/>
      <c r="H173" s="26" t="s">
        <v>196</v>
      </c>
      <c r="I173" s="52" t="s">
        <v>32</v>
      </c>
      <c r="J173" s="21" t="s">
        <v>210</v>
      </c>
      <c r="K173" s="152">
        <v>37.9</v>
      </c>
      <c r="L173" s="152">
        <v>37.9</v>
      </c>
    </row>
    <row r="174" spans="2:12" ht="15" customHeight="1" x14ac:dyDescent="0.25">
      <c r="B174" s="89" t="s">
        <v>14</v>
      </c>
      <c r="C174" s="98" t="s">
        <v>15</v>
      </c>
      <c r="D174" s="2" t="s">
        <v>206</v>
      </c>
      <c r="E174" s="116" t="str">
        <f t="shared" si="2"/>
        <v>Tododia Creme para pentear Flor de Cereja e Abacate 180ml Frasco</v>
      </c>
      <c r="F174" s="69" t="s">
        <v>189</v>
      </c>
      <c r="G174" s="28"/>
      <c r="H174" s="21" t="s">
        <v>211</v>
      </c>
      <c r="I174" s="52" t="s">
        <v>32</v>
      </c>
      <c r="J174" s="26" t="s">
        <v>212</v>
      </c>
      <c r="K174" s="152">
        <v>35.9</v>
      </c>
      <c r="L174" s="152">
        <v>35.9</v>
      </c>
    </row>
    <row r="175" spans="2:12" ht="15" customHeight="1" x14ac:dyDescent="0.25">
      <c r="B175" s="89" t="s">
        <v>14</v>
      </c>
      <c r="C175" s="98" t="s">
        <v>15</v>
      </c>
      <c r="D175" s="2" t="s">
        <v>206</v>
      </c>
      <c r="E175" s="116" t="str">
        <f t="shared" si="2"/>
        <v>Tododia Creme para pentear Pessego e Amendoa 180ml Frasco</v>
      </c>
      <c r="F175" s="26" t="s">
        <v>193</v>
      </c>
      <c r="G175" s="28"/>
      <c r="H175" s="26" t="s">
        <v>211</v>
      </c>
      <c r="I175" s="52" t="s">
        <v>32</v>
      </c>
      <c r="J175" s="21" t="s">
        <v>213</v>
      </c>
      <c r="K175" s="152">
        <v>35.9</v>
      </c>
      <c r="L175" s="152">
        <v>35.9</v>
      </c>
    </row>
    <row r="176" spans="2:12" ht="15" customHeight="1" x14ac:dyDescent="0.25">
      <c r="B176" s="89" t="s">
        <v>14</v>
      </c>
      <c r="C176" s="98" t="s">
        <v>15</v>
      </c>
      <c r="D176" s="2" t="s">
        <v>206</v>
      </c>
      <c r="E176" s="116" t="str">
        <f t="shared" si="2"/>
        <v>Tododia Creme para pentear Amora e Oléo Coco (Crespo) 280ml Refil</v>
      </c>
      <c r="F176" s="116" t="s">
        <v>214</v>
      </c>
      <c r="G176" s="28"/>
      <c r="H176" s="26" t="s">
        <v>196</v>
      </c>
      <c r="I176" s="52" t="s">
        <v>183</v>
      </c>
      <c r="J176" s="21" t="s">
        <v>208</v>
      </c>
      <c r="K176" s="152">
        <v>29.9</v>
      </c>
      <c r="L176" s="152">
        <v>29.9</v>
      </c>
    </row>
    <row r="177" spans="2:12" ht="15" customHeight="1" x14ac:dyDescent="0.25">
      <c r="B177" s="89" t="s">
        <v>14</v>
      </c>
      <c r="C177" s="98" t="s">
        <v>15</v>
      </c>
      <c r="D177" s="2" t="s">
        <v>206</v>
      </c>
      <c r="E177" s="116" t="str">
        <f t="shared" si="2"/>
        <v>Tododia Creme para pentear Amora e Oléo Coco (Cachos) 280ml Refil</v>
      </c>
      <c r="F177" s="116" t="s">
        <v>209</v>
      </c>
      <c r="G177" s="28"/>
      <c r="H177" s="26" t="s">
        <v>196</v>
      </c>
      <c r="I177" s="52" t="s">
        <v>183</v>
      </c>
      <c r="J177" s="21" t="s">
        <v>210</v>
      </c>
      <c r="K177" s="152">
        <v>29.9</v>
      </c>
      <c r="L177" s="152">
        <v>29.9</v>
      </c>
    </row>
    <row r="178" spans="2:12" ht="15" customHeight="1" x14ac:dyDescent="0.25">
      <c r="B178" s="89" t="s">
        <v>14</v>
      </c>
      <c r="C178" s="98" t="s">
        <v>15</v>
      </c>
      <c r="D178" s="2" t="s">
        <v>206</v>
      </c>
      <c r="E178" s="116" t="str">
        <f t="shared" si="2"/>
        <v>Tododia Creme para pentear Flor de Cereja e Abacate 180ml Refil</v>
      </c>
      <c r="F178" s="15" t="s">
        <v>189</v>
      </c>
      <c r="G178" s="28"/>
      <c r="H178" s="21" t="s">
        <v>211</v>
      </c>
      <c r="I178" s="52" t="s">
        <v>183</v>
      </c>
      <c r="J178" s="26" t="s">
        <v>212</v>
      </c>
      <c r="K178" s="152">
        <v>29.9</v>
      </c>
      <c r="L178" s="152">
        <v>29.9</v>
      </c>
    </row>
    <row r="179" spans="2:12" ht="15" customHeight="1" x14ac:dyDescent="0.25">
      <c r="B179" s="89" t="s">
        <v>14</v>
      </c>
      <c r="C179" s="98" t="s">
        <v>15</v>
      </c>
      <c r="D179" s="2" t="s">
        <v>206</v>
      </c>
      <c r="E179" s="116" t="str">
        <f t="shared" si="2"/>
        <v>Tododia Creme para pentear Pessego e Amendoa 180ml Refil</v>
      </c>
      <c r="F179" s="26" t="s">
        <v>193</v>
      </c>
      <c r="G179" s="28"/>
      <c r="H179" s="21" t="s">
        <v>211</v>
      </c>
      <c r="I179" s="52" t="s">
        <v>183</v>
      </c>
      <c r="J179" s="21" t="s">
        <v>213</v>
      </c>
      <c r="K179" s="152">
        <v>29.9</v>
      </c>
      <c r="L179" s="152">
        <v>29.9</v>
      </c>
    </row>
    <row r="180" spans="2:12" ht="15" customHeight="1" x14ac:dyDescent="0.25">
      <c r="B180" s="89" t="s">
        <v>14</v>
      </c>
      <c r="C180" s="98" t="s">
        <v>15</v>
      </c>
      <c r="D180" s="2" t="s">
        <v>215</v>
      </c>
      <c r="E180" s="116" t="str">
        <f t="shared" si="2"/>
        <v>Tododia Spray para Cabelos Amora e Oléo Coco ( Reativador de Cachos ) 200ml Frasco</v>
      </c>
      <c r="F180" s="116" t="s">
        <v>216</v>
      </c>
      <c r="G180" s="28"/>
      <c r="H180" s="26" t="s">
        <v>31</v>
      </c>
      <c r="I180" s="62" t="s">
        <v>32</v>
      </c>
      <c r="J180" s="88" t="s">
        <v>217</v>
      </c>
      <c r="K180" s="152">
        <v>37.9</v>
      </c>
      <c r="L180" s="152">
        <v>37.9</v>
      </c>
    </row>
    <row r="181" spans="2:12" ht="15" customHeight="1" x14ac:dyDescent="0.25">
      <c r="B181" s="89" t="s">
        <v>14</v>
      </c>
      <c r="C181" s="100" t="s">
        <v>15</v>
      </c>
      <c r="D181" s="2" t="s">
        <v>215</v>
      </c>
      <c r="E181" s="116" t="str">
        <f t="shared" si="2"/>
        <v>Tododia Spray para Cabelos Maça verde e Aloe Vera (Hidrataçao antifrizz) 200ml Frasco</v>
      </c>
      <c r="F181" s="126" t="s">
        <v>218</v>
      </c>
      <c r="G181" s="28"/>
      <c r="H181" s="26" t="s">
        <v>31</v>
      </c>
      <c r="I181" s="62" t="s">
        <v>32</v>
      </c>
      <c r="J181" s="88" t="s">
        <v>219</v>
      </c>
      <c r="K181" s="152">
        <v>37.9</v>
      </c>
      <c r="L181" s="152">
        <v>37.9</v>
      </c>
    </row>
    <row r="182" spans="2:12" ht="15" customHeight="1" x14ac:dyDescent="0.25">
      <c r="B182" s="89" t="s">
        <v>14</v>
      </c>
      <c r="C182" s="100" t="s">
        <v>15</v>
      </c>
      <c r="D182" s="2" t="s">
        <v>220</v>
      </c>
      <c r="E182" s="116" t="str">
        <f t="shared" si="2"/>
        <v>Tododia Gelatina Cachos e Crespos Amora e Oléo Coco 240g Pote</v>
      </c>
      <c r="F182" s="26" t="s">
        <v>221</v>
      </c>
      <c r="G182" s="28"/>
      <c r="H182" s="63" t="s">
        <v>222</v>
      </c>
      <c r="I182" s="64" t="s">
        <v>55</v>
      </c>
      <c r="J182" s="21" t="s">
        <v>223</v>
      </c>
      <c r="K182" s="17"/>
      <c r="L182" s="17"/>
    </row>
    <row r="183" spans="2:12" ht="15" customHeight="1" x14ac:dyDescent="0.25">
      <c r="B183" s="89" t="s">
        <v>14</v>
      </c>
      <c r="C183" s="98" t="s">
        <v>15</v>
      </c>
      <c r="D183" s="2" t="s">
        <v>224</v>
      </c>
      <c r="E183" s="116" t="str">
        <f t="shared" si="2"/>
        <v>Tododia Essencia para os Cabelos Flor De Ameixa 60ml Frasco</v>
      </c>
      <c r="F183" s="26" t="s">
        <v>225</v>
      </c>
      <c r="G183" s="28"/>
      <c r="H183" s="63" t="s">
        <v>226</v>
      </c>
      <c r="I183" s="64" t="s">
        <v>32</v>
      </c>
      <c r="J183" s="21" t="s">
        <v>227</v>
      </c>
      <c r="K183" s="152">
        <v>49.9</v>
      </c>
      <c r="L183" s="152">
        <v>49.9</v>
      </c>
    </row>
    <row r="184" spans="2:12" ht="15" customHeight="1" x14ac:dyDescent="0.25">
      <c r="B184" s="89" t="s">
        <v>14</v>
      </c>
      <c r="C184" s="98" t="s">
        <v>15</v>
      </c>
      <c r="D184" s="2" t="s">
        <v>224</v>
      </c>
      <c r="E184" s="116" t="str">
        <f t="shared" si="2"/>
        <v>Tododia Essencia para os Cabelos Cereja e Avelã 60ml Frasco</v>
      </c>
      <c r="F184" s="26" t="s">
        <v>101</v>
      </c>
      <c r="G184" s="28"/>
      <c r="H184" s="63" t="s">
        <v>226</v>
      </c>
      <c r="I184" s="65" t="s">
        <v>32</v>
      </c>
      <c r="J184" s="21" t="s">
        <v>227</v>
      </c>
      <c r="K184" s="152">
        <v>49.9</v>
      </c>
      <c r="L184" s="152">
        <v>49.9</v>
      </c>
    </row>
    <row r="185" spans="2:12" ht="15" customHeight="1" x14ac:dyDescent="0.25">
      <c r="B185" s="89" t="s">
        <v>14</v>
      </c>
      <c r="C185" s="101" t="s">
        <v>228</v>
      </c>
      <c r="D185" s="86" t="s">
        <v>229</v>
      </c>
      <c r="E185" s="116" t="str">
        <f t="shared" si="2"/>
        <v>Ekos Polpa Hidrante Açaí 75g Frasco</v>
      </c>
      <c r="F185" s="26" t="s">
        <v>230</v>
      </c>
      <c r="G185" s="28"/>
      <c r="H185" s="61" t="s">
        <v>231</v>
      </c>
      <c r="I185" s="163" t="s">
        <v>32</v>
      </c>
      <c r="J185" s="21" t="s">
        <v>232</v>
      </c>
      <c r="K185" s="152">
        <v>57.9</v>
      </c>
      <c r="L185" s="152">
        <v>57.9</v>
      </c>
    </row>
    <row r="186" spans="2:12" ht="15" customHeight="1" x14ac:dyDescent="0.25">
      <c r="B186" s="89" t="s">
        <v>14</v>
      </c>
      <c r="C186" s="101" t="s">
        <v>228</v>
      </c>
      <c r="D186" s="86" t="s">
        <v>229</v>
      </c>
      <c r="E186" s="116" t="str">
        <f t="shared" si="2"/>
        <v>Ekos Polpa Hidrante Andiroba 75g Frasco</v>
      </c>
      <c r="F186" s="26" t="s">
        <v>233</v>
      </c>
      <c r="G186" s="28"/>
      <c r="H186" s="61" t="s">
        <v>231</v>
      </c>
      <c r="I186" s="163" t="s">
        <v>32</v>
      </c>
      <c r="J186" s="21" t="s">
        <v>232</v>
      </c>
      <c r="K186" s="152">
        <v>57.9</v>
      </c>
      <c r="L186" s="152">
        <v>57.9</v>
      </c>
    </row>
    <row r="187" spans="2:12" ht="15" customHeight="1" x14ac:dyDescent="0.25">
      <c r="B187" s="89" t="s">
        <v>14</v>
      </c>
      <c r="C187" s="101" t="s">
        <v>228</v>
      </c>
      <c r="D187" s="86" t="s">
        <v>234</v>
      </c>
      <c r="E187" s="116" t="str">
        <f t="shared" si="2"/>
        <v>Ekos Polpa Hidrante para Maos Castanha 75g Frasco</v>
      </c>
      <c r="F187" s="26" t="s">
        <v>235</v>
      </c>
      <c r="G187" s="28"/>
      <c r="H187" s="61" t="s">
        <v>231</v>
      </c>
      <c r="I187" s="163" t="s">
        <v>32</v>
      </c>
      <c r="J187" s="21" t="s">
        <v>232</v>
      </c>
      <c r="K187" s="152">
        <v>57.9</v>
      </c>
      <c r="L187" s="152">
        <v>57.9</v>
      </c>
    </row>
    <row r="188" spans="2:12" ht="15" customHeight="1" x14ac:dyDescent="0.25">
      <c r="B188" s="89" t="s">
        <v>14</v>
      </c>
      <c r="C188" s="101" t="s">
        <v>228</v>
      </c>
      <c r="D188" s="86" t="s">
        <v>236</v>
      </c>
      <c r="E188" s="116" t="str">
        <f t="shared" si="2"/>
        <v>Ekos Polpa Hidrante para os Pes Castanha 75g Frasco</v>
      </c>
      <c r="F188" s="26" t="s">
        <v>235</v>
      </c>
      <c r="G188" s="28"/>
      <c r="H188" s="61" t="s">
        <v>231</v>
      </c>
      <c r="I188" s="163" t="s">
        <v>32</v>
      </c>
      <c r="J188" s="21" t="s">
        <v>237</v>
      </c>
      <c r="K188" s="152">
        <v>57.9</v>
      </c>
      <c r="L188" s="152">
        <v>57.9</v>
      </c>
    </row>
    <row r="189" spans="2:12" ht="15" customHeight="1" x14ac:dyDescent="0.25">
      <c r="B189" s="89" t="s">
        <v>14</v>
      </c>
      <c r="C189" s="101" t="s">
        <v>228</v>
      </c>
      <c r="D189" s="86" t="s">
        <v>234</v>
      </c>
      <c r="E189" s="116" t="str">
        <f t="shared" si="2"/>
        <v>Ekos Polpa Hidrante para Maos Cacau 75g Frasco</v>
      </c>
      <c r="F189" s="16" t="s">
        <v>238</v>
      </c>
      <c r="G189" s="28"/>
      <c r="H189" s="61" t="s">
        <v>231</v>
      </c>
      <c r="I189" s="163" t="s">
        <v>32</v>
      </c>
      <c r="J189" s="21" t="s">
        <v>239</v>
      </c>
      <c r="K189" s="152">
        <v>57.9</v>
      </c>
      <c r="L189" s="152">
        <v>57.9</v>
      </c>
    </row>
    <row r="190" spans="2:12" ht="15" customHeight="1" x14ac:dyDescent="0.25">
      <c r="B190" s="89" t="s">
        <v>14</v>
      </c>
      <c r="C190" s="101" t="s">
        <v>228</v>
      </c>
      <c r="D190" s="86" t="s">
        <v>240</v>
      </c>
      <c r="E190" s="116" t="str">
        <f t="shared" si="2"/>
        <v>Ekos Nectar Hidrante Maracujá 75g Frasco</v>
      </c>
      <c r="F190" s="26" t="s">
        <v>241</v>
      </c>
      <c r="G190" s="28"/>
      <c r="H190" s="61" t="s">
        <v>231</v>
      </c>
      <c r="I190" s="163" t="s">
        <v>32</v>
      </c>
      <c r="J190" s="21" t="s">
        <v>232</v>
      </c>
      <c r="K190" s="152">
        <v>57.9</v>
      </c>
      <c r="L190" s="152">
        <v>57.9</v>
      </c>
    </row>
    <row r="191" spans="2:12" ht="15" customHeight="1" x14ac:dyDescent="0.25">
      <c r="B191" s="89" t="s">
        <v>14</v>
      </c>
      <c r="C191" s="101" t="s">
        <v>228</v>
      </c>
      <c r="D191" s="86" t="s">
        <v>229</v>
      </c>
      <c r="E191" s="116" t="str">
        <f t="shared" si="2"/>
        <v>Ekos Polpa Hidrante Tukumã 75g Frasco</v>
      </c>
      <c r="F191" s="26" t="s">
        <v>242</v>
      </c>
      <c r="G191" s="28"/>
      <c r="H191" s="61" t="s">
        <v>231</v>
      </c>
      <c r="I191" s="163" t="s">
        <v>32</v>
      </c>
      <c r="J191" s="21" t="s">
        <v>232</v>
      </c>
      <c r="K191" s="152">
        <v>57.9</v>
      </c>
      <c r="L191" s="152">
        <v>57.9</v>
      </c>
    </row>
    <row r="192" spans="2:12" ht="15" customHeight="1" x14ac:dyDescent="0.25">
      <c r="B192" s="89" t="s">
        <v>14</v>
      </c>
      <c r="C192" s="101" t="s">
        <v>228</v>
      </c>
      <c r="D192" s="86" t="s">
        <v>243</v>
      </c>
      <c r="E192" s="116" t="str">
        <f t="shared" si="2"/>
        <v>Ekos Creme de massagem Andirobá 100g Frasco</v>
      </c>
      <c r="F192" s="26" t="s">
        <v>244</v>
      </c>
      <c r="G192" s="28"/>
      <c r="H192" s="61" t="s">
        <v>113</v>
      </c>
      <c r="I192" s="62" t="s">
        <v>32</v>
      </c>
      <c r="J192" s="26" t="s">
        <v>245</v>
      </c>
      <c r="K192" s="152">
        <v>76.900000000000006</v>
      </c>
      <c r="L192" s="152">
        <v>76.900000000000006</v>
      </c>
    </row>
    <row r="193" spans="2:12" ht="15" customHeight="1" x14ac:dyDescent="0.25">
      <c r="B193" s="89" t="s">
        <v>14</v>
      </c>
      <c r="C193" s="101" t="s">
        <v>228</v>
      </c>
      <c r="D193" s="2" t="s">
        <v>246</v>
      </c>
      <c r="E193" s="116" t="str">
        <f t="shared" si="2"/>
        <v>Ekos Balsamo polpa concentrada Tukumã 200g Pote</v>
      </c>
      <c r="F193" s="116" t="s">
        <v>247</v>
      </c>
      <c r="G193" s="28"/>
      <c r="H193" s="61" t="s">
        <v>60</v>
      </c>
      <c r="I193" s="45" t="s">
        <v>55</v>
      </c>
      <c r="J193" s="116" t="s">
        <v>248</v>
      </c>
      <c r="K193" s="152">
        <v>97.9</v>
      </c>
      <c r="L193" s="152">
        <v>97.9</v>
      </c>
    </row>
    <row r="194" spans="2:12" ht="15" customHeight="1" x14ac:dyDescent="0.25">
      <c r="B194" s="89" t="s">
        <v>14</v>
      </c>
      <c r="C194" s="101" t="s">
        <v>228</v>
      </c>
      <c r="D194" s="86" t="s">
        <v>249</v>
      </c>
      <c r="E194" s="116" t="str">
        <f t="shared" si="2"/>
        <v>Ekos Polpa Desodorante Hidratante Andiroba 200ml Frasco</v>
      </c>
      <c r="F194" s="26" t="s">
        <v>233</v>
      </c>
      <c r="G194" s="28"/>
      <c r="H194" s="60" t="s">
        <v>31</v>
      </c>
      <c r="I194" s="46" t="s">
        <v>32</v>
      </c>
      <c r="J194" s="26" t="s">
        <v>250</v>
      </c>
      <c r="K194" s="152">
        <v>63.9</v>
      </c>
      <c r="L194" s="152">
        <v>63.9</v>
      </c>
    </row>
    <row r="195" spans="2:12" ht="15" customHeight="1" x14ac:dyDescent="0.25">
      <c r="B195" s="89" t="s">
        <v>14</v>
      </c>
      <c r="C195" s="101" t="s">
        <v>228</v>
      </c>
      <c r="D195" s="86" t="s">
        <v>249</v>
      </c>
      <c r="E195" s="116" t="str">
        <f t="shared" ref="E195:E258" si="3">TRIM(CONCATENATE(C195, " ", D195, " ", F195, " ", IF(G195&gt;0, G195 &amp; "x" &amp; H195, H195), " ", I195))</f>
        <v>Ekos Polpa Desodorante Hidratante Açaí 200 ml Frasco</v>
      </c>
      <c r="F195" s="26" t="s">
        <v>230</v>
      </c>
      <c r="G195" s="28"/>
      <c r="H195" s="60" t="s">
        <v>251</v>
      </c>
      <c r="I195" s="46" t="s">
        <v>32</v>
      </c>
      <c r="J195" s="26" t="s">
        <v>250</v>
      </c>
      <c r="K195" s="152">
        <v>63.9</v>
      </c>
      <c r="L195" s="152">
        <v>63.9</v>
      </c>
    </row>
    <row r="196" spans="2:12" ht="15" customHeight="1" x14ac:dyDescent="0.25">
      <c r="B196" s="89" t="s">
        <v>14</v>
      </c>
      <c r="C196" s="101" t="s">
        <v>228</v>
      </c>
      <c r="D196" s="86" t="s">
        <v>249</v>
      </c>
      <c r="E196" s="116" t="str">
        <f t="shared" si="3"/>
        <v>Ekos Polpa Desodorante Hidratante Cacau 200 ml Frasco</v>
      </c>
      <c r="F196" s="26" t="s">
        <v>238</v>
      </c>
      <c r="G196" s="28"/>
      <c r="H196" s="60" t="s">
        <v>251</v>
      </c>
      <c r="I196" s="46" t="s">
        <v>32</v>
      </c>
      <c r="J196" s="26" t="s">
        <v>250</v>
      </c>
      <c r="K196" s="152">
        <v>67.900000000000006</v>
      </c>
      <c r="L196" s="152">
        <v>67.900000000000006</v>
      </c>
    </row>
    <row r="197" spans="2:12" ht="15" customHeight="1" x14ac:dyDescent="0.25">
      <c r="B197" s="89" t="s">
        <v>14</v>
      </c>
      <c r="C197" s="101" t="s">
        <v>228</v>
      </c>
      <c r="D197" s="86" t="s">
        <v>249</v>
      </c>
      <c r="E197" s="116" t="str">
        <f t="shared" si="3"/>
        <v>Ekos Polpa Desodorante Hidratante Castanha 200 ml Frasco</v>
      </c>
      <c r="F197" s="26" t="s">
        <v>235</v>
      </c>
      <c r="G197" s="28"/>
      <c r="H197" s="60" t="s">
        <v>251</v>
      </c>
      <c r="I197" s="46" t="s">
        <v>32</v>
      </c>
      <c r="J197" s="26" t="s">
        <v>250</v>
      </c>
      <c r="K197" s="152">
        <v>63.9</v>
      </c>
      <c r="L197" s="152">
        <v>63.9</v>
      </c>
    </row>
    <row r="198" spans="2:12" ht="15" customHeight="1" x14ac:dyDescent="0.25">
      <c r="B198" s="89" t="s">
        <v>14</v>
      </c>
      <c r="C198" s="101" t="s">
        <v>228</v>
      </c>
      <c r="D198" s="86" t="s">
        <v>249</v>
      </c>
      <c r="E198" s="116" t="str">
        <f t="shared" si="3"/>
        <v>Ekos Polpa Desodorante Hidratante Flor do Luar 200 ml Frasco</v>
      </c>
      <c r="F198" s="26" t="s">
        <v>252</v>
      </c>
      <c r="G198" s="28"/>
      <c r="H198" s="60" t="s">
        <v>251</v>
      </c>
      <c r="I198" s="46" t="s">
        <v>32</v>
      </c>
      <c r="J198" s="26" t="s">
        <v>250</v>
      </c>
      <c r="K198" s="152">
        <v>63.9</v>
      </c>
      <c r="L198" s="152">
        <v>63.9</v>
      </c>
    </row>
    <row r="199" spans="2:12" ht="15" customHeight="1" x14ac:dyDescent="0.25">
      <c r="B199" s="89" t="s">
        <v>14</v>
      </c>
      <c r="C199" s="101" t="s">
        <v>228</v>
      </c>
      <c r="D199" s="86" t="s">
        <v>249</v>
      </c>
      <c r="E199" s="116" t="str">
        <f t="shared" si="3"/>
        <v>Ekos Polpa Desodorante Hidratante Maracujá 200 ml Frasco</v>
      </c>
      <c r="F199" s="43" t="s">
        <v>241</v>
      </c>
      <c r="G199" s="28"/>
      <c r="H199" s="60" t="s">
        <v>251</v>
      </c>
      <c r="I199" s="46" t="s">
        <v>32</v>
      </c>
      <c r="J199" s="26" t="s">
        <v>250</v>
      </c>
      <c r="K199" s="152">
        <v>63.9</v>
      </c>
      <c r="L199" s="152">
        <v>63.9</v>
      </c>
    </row>
    <row r="200" spans="2:12" ht="15" customHeight="1" x14ac:dyDescent="0.25">
      <c r="B200" s="89" t="s">
        <v>14</v>
      </c>
      <c r="C200" s="101" t="s">
        <v>228</v>
      </c>
      <c r="D200" s="86" t="s">
        <v>249</v>
      </c>
      <c r="E200" s="116" t="str">
        <f t="shared" si="3"/>
        <v>Ekos Polpa Desodorante Hidratante Madeira em Flor 200 ml Frasco</v>
      </c>
      <c r="F200" s="16" t="s">
        <v>253</v>
      </c>
      <c r="G200" s="28"/>
      <c r="H200" s="60" t="s">
        <v>251</v>
      </c>
      <c r="I200" s="46" t="s">
        <v>32</v>
      </c>
      <c r="J200" s="26" t="s">
        <v>250</v>
      </c>
      <c r="K200" s="152">
        <v>63.9</v>
      </c>
      <c r="L200" s="152">
        <v>63.9</v>
      </c>
    </row>
    <row r="201" spans="2:12" ht="15" customHeight="1" x14ac:dyDescent="0.25">
      <c r="B201" s="89" t="s">
        <v>14</v>
      </c>
      <c r="C201" s="101" t="s">
        <v>228</v>
      </c>
      <c r="D201" s="86" t="s">
        <v>249</v>
      </c>
      <c r="E201" s="116" t="str">
        <f t="shared" si="3"/>
        <v>Ekos Polpa Desodorante Hidratante Tukumã 200 ml Frasco</v>
      </c>
      <c r="F201" s="44" t="s">
        <v>242</v>
      </c>
      <c r="G201" s="28"/>
      <c r="H201" s="60" t="s">
        <v>251</v>
      </c>
      <c r="I201" s="46" t="s">
        <v>32</v>
      </c>
      <c r="J201" s="26" t="s">
        <v>250</v>
      </c>
      <c r="K201" s="152">
        <v>63.9</v>
      </c>
      <c r="L201" s="152">
        <v>63.9</v>
      </c>
    </row>
    <row r="202" spans="2:12" ht="15" customHeight="1" x14ac:dyDescent="0.25">
      <c r="B202" s="89" t="s">
        <v>14</v>
      </c>
      <c r="C202" s="101" t="s">
        <v>228</v>
      </c>
      <c r="D202" s="86" t="s">
        <v>249</v>
      </c>
      <c r="E202" s="116" t="str">
        <f t="shared" si="3"/>
        <v>Ekos Polpa Desodorante Hidratante Andiroba 400ml Frasco</v>
      </c>
      <c r="F202" s="26" t="s">
        <v>254</v>
      </c>
      <c r="G202" s="28"/>
      <c r="H202" s="26" t="s">
        <v>255</v>
      </c>
      <c r="I202" s="46" t="s">
        <v>32</v>
      </c>
      <c r="J202" s="26" t="s">
        <v>250</v>
      </c>
      <c r="K202" s="21" t="s">
        <v>256</v>
      </c>
      <c r="L202" s="21" t="s">
        <v>256</v>
      </c>
    </row>
    <row r="203" spans="2:12" ht="15" customHeight="1" x14ac:dyDescent="0.25">
      <c r="B203" s="89" t="s">
        <v>14</v>
      </c>
      <c r="C203" s="101" t="s">
        <v>228</v>
      </c>
      <c r="D203" s="86" t="s">
        <v>249</v>
      </c>
      <c r="E203" s="116" t="str">
        <f t="shared" si="3"/>
        <v>Ekos Polpa Desodorante Hidratante Açai 400ml Frasco</v>
      </c>
      <c r="F203" s="26" t="s">
        <v>257</v>
      </c>
      <c r="G203" s="28"/>
      <c r="H203" s="26" t="s">
        <v>255</v>
      </c>
      <c r="I203" s="46" t="s">
        <v>32</v>
      </c>
      <c r="J203" s="26" t="s">
        <v>250</v>
      </c>
      <c r="K203" s="21" t="s">
        <v>256</v>
      </c>
      <c r="L203" s="21" t="s">
        <v>256</v>
      </c>
    </row>
    <row r="204" spans="2:12" ht="15" customHeight="1" x14ac:dyDescent="0.25">
      <c r="B204" s="89" t="s">
        <v>14</v>
      </c>
      <c r="C204" s="101" t="s">
        <v>228</v>
      </c>
      <c r="D204" s="86" t="s">
        <v>249</v>
      </c>
      <c r="E204" s="116" t="str">
        <f t="shared" si="3"/>
        <v>Ekos Polpa Desodorante Hidratante Cacau 400ml Frasco</v>
      </c>
      <c r="F204" s="26" t="s">
        <v>238</v>
      </c>
      <c r="G204" s="28"/>
      <c r="H204" s="26" t="s">
        <v>255</v>
      </c>
      <c r="I204" s="46" t="s">
        <v>32</v>
      </c>
      <c r="J204" s="26" t="s">
        <v>250</v>
      </c>
      <c r="K204" s="21" t="s">
        <v>256</v>
      </c>
      <c r="L204" s="21" t="s">
        <v>256</v>
      </c>
    </row>
    <row r="205" spans="2:12" ht="15" customHeight="1" x14ac:dyDescent="0.25">
      <c r="B205" s="89" t="s">
        <v>14</v>
      </c>
      <c r="C205" s="101" t="s">
        <v>228</v>
      </c>
      <c r="D205" s="86" t="s">
        <v>249</v>
      </c>
      <c r="E205" s="116" t="str">
        <f t="shared" si="3"/>
        <v>Ekos Polpa Desodorante Hidratante Castanha 400ml Frasco</v>
      </c>
      <c r="F205" s="26" t="s">
        <v>235</v>
      </c>
      <c r="G205" s="28"/>
      <c r="H205" s="26" t="s">
        <v>255</v>
      </c>
      <c r="I205" s="46" t="s">
        <v>32</v>
      </c>
      <c r="J205" s="26" t="s">
        <v>250</v>
      </c>
      <c r="K205" s="21" t="s">
        <v>256</v>
      </c>
      <c r="L205" s="21" t="s">
        <v>256</v>
      </c>
    </row>
    <row r="206" spans="2:12" ht="15" customHeight="1" x14ac:dyDescent="0.25">
      <c r="B206" s="89" t="s">
        <v>14</v>
      </c>
      <c r="C206" s="101" t="s">
        <v>228</v>
      </c>
      <c r="D206" s="86" t="s">
        <v>249</v>
      </c>
      <c r="E206" s="116" t="str">
        <f t="shared" si="3"/>
        <v>Ekos Polpa Desodorante Hidratante Flor de Luar 400ml Frasco</v>
      </c>
      <c r="F206" s="26" t="s">
        <v>258</v>
      </c>
      <c r="G206" s="28"/>
      <c r="H206" s="26" t="s">
        <v>255</v>
      </c>
      <c r="I206" s="46" t="s">
        <v>32</v>
      </c>
      <c r="J206" s="26" t="s">
        <v>250</v>
      </c>
      <c r="K206" s="21" t="s">
        <v>256</v>
      </c>
      <c r="L206" s="21" t="s">
        <v>256</v>
      </c>
    </row>
    <row r="207" spans="2:12" ht="15" customHeight="1" x14ac:dyDescent="0.25">
      <c r="B207" s="89" t="s">
        <v>14</v>
      </c>
      <c r="C207" s="101" t="s">
        <v>228</v>
      </c>
      <c r="D207" s="86" t="s">
        <v>249</v>
      </c>
      <c r="E207" s="116" t="str">
        <f t="shared" si="3"/>
        <v>Ekos Polpa Desodorante Hidratante Flor de Madereira 400ml Frasco</v>
      </c>
      <c r="F207" s="26" t="s">
        <v>259</v>
      </c>
      <c r="G207" s="28"/>
      <c r="H207" s="26" t="s">
        <v>255</v>
      </c>
      <c r="I207" s="46" t="s">
        <v>32</v>
      </c>
      <c r="J207" s="26" t="s">
        <v>250</v>
      </c>
      <c r="K207" s="21" t="s">
        <v>256</v>
      </c>
      <c r="L207" s="21" t="s">
        <v>256</v>
      </c>
    </row>
    <row r="208" spans="2:12" ht="15" customHeight="1" x14ac:dyDescent="0.25">
      <c r="B208" s="89" t="s">
        <v>14</v>
      </c>
      <c r="C208" s="101" t="s">
        <v>228</v>
      </c>
      <c r="D208" s="86" t="s">
        <v>249</v>
      </c>
      <c r="E208" s="116" t="str">
        <f t="shared" si="3"/>
        <v>Ekos Polpa Desodorante Hidratante Maracujá 400ml Frasco</v>
      </c>
      <c r="F208" s="26" t="s">
        <v>241</v>
      </c>
      <c r="G208" s="28"/>
      <c r="H208" s="26" t="s">
        <v>255</v>
      </c>
      <c r="I208" s="46" t="s">
        <v>32</v>
      </c>
      <c r="J208" s="26" t="s">
        <v>250</v>
      </c>
      <c r="K208" s="21" t="s">
        <v>256</v>
      </c>
      <c r="L208" s="21" t="s">
        <v>256</v>
      </c>
    </row>
    <row r="209" spans="2:12" ht="15" customHeight="1" x14ac:dyDescent="0.25">
      <c r="B209" s="89" t="s">
        <v>14</v>
      </c>
      <c r="C209" s="101" t="s">
        <v>228</v>
      </c>
      <c r="D209" s="86" t="s">
        <v>249</v>
      </c>
      <c r="E209" s="116" t="str">
        <f t="shared" si="3"/>
        <v>Ekos Polpa Desodorante Hidratante Tukumã 400ml Frasco</v>
      </c>
      <c r="F209" s="26" t="s">
        <v>242</v>
      </c>
      <c r="G209" s="28"/>
      <c r="H209" s="26" t="s">
        <v>255</v>
      </c>
      <c r="I209" s="46" t="s">
        <v>32</v>
      </c>
      <c r="J209" s="26" t="s">
        <v>250</v>
      </c>
      <c r="K209" s="21" t="s">
        <v>256</v>
      </c>
      <c r="L209" s="21" t="s">
        <v>256</v>
      </c>
    </row>
    <row r="210" spans="2:12" ht="15" customHeight="1" x14ac:dyDescent="0.25">
      <c r="B210" s="89" t="s">
        <v>14</v>
      </c>
      <c r="C210" s="101" t="s">
        <v>228</v>
      </c>
      <c r="D210" s="2" t="s">
        <v>260</v>
      </c>
      <c r="E210" s="116" t="str">
        <f t="shared" si="3"/>
        <v>Ekos Dou Esfoliante Multicamadas Maracujá 200g Pote</v>
      </c>
      <c r="F210" s="26" t="s">
        <v>241</v>
      </c>
      <c r="G210" s="28"/>
      <c r="H210" s="26" t="s">
        <v>60</v>
      </c>
      <c r="I210" s="46" t="s">
        <v>55</v>
      </c>
      <c r="J210" s="26" t="s">
        <v>261</v>
      </c>
      <c r="K210" s="152">
        <v>95.9</v>
      </c>
      <c r="L210" s="152">
        <v>95.9</v>
      </c>
    </row>
    <row r="211" spans="2:12" ht="15" customHeight="1" x14ac:dyDescent="0.25">
      <c r="B211" s="89" t="s">
        <v>14</v>
      </c>
      <c r="C211" s="101" t="s">
        <v>228</v>
      </c>
      <c r="D211" s="2" t="s">
        <v>262</v>
      </c>
      <c r="E211" s="116" t="str">
        <f t="shared" si="3"/>
        <v>Ekos Esfoliante Hidrata e Renovação Castanha 200g Pote</v>
      </c>
      <c r="F211" s="26" t="s">
        <v>235</v>
      </c>
      <c r="G211" s="28"/>
      <c r="H211" s="26" t="s">
        <v>60</v>
      </c>
      <c r="I211" s="46" t="s">
        <v>55</v>
      </c>
      <c r="J211" s="26" t="s">
        <v>263</v>
      </c>
      <c r="K211" s="152">
        <v>95.9</v>
      </c>
      <c r="L211" s="152">
        <v>95.9</v>
      </c>
    </row>
    <row r="212" spans="2:12" ht="15" customHeight="1" x14ac:dyDescent="0.25">
      <c r="B212" s="89" t="s">
        <v>14</v>
      </c>
      <c r="C212" s="101" t="s">
        <v>228</v>
      </c>
      <c r="D212" s="2" t="s">
        <v>264</v>
      </c>
      <c r="E212" s="116" t="str">
        <f t="shared" si="3"/>
        <v>Ekos Oleo Trifasico e Desodorante Açaí 200ml Frasco</v>
      </c>
      <c r="F212" s="26" t="s">
        <v>230</v>
      </c>
      <c r="G212" s="28"/>
      <c r="H212" s="26" t="s">
        <v>31</v>
      </c>
      <c r="I212" s="46" t="s">
        <v>32</v>
      </c>
      <c r="J212" s="26" t="s">
        <v>265</v>
      </c>
      <c r="K212" s="152">
        <v>96.9</v>
      </c>
      <c r="L212" s="152">
        <v>96.9</v>
      </c>
    </row>
    <row r="213" spans="2:12" ht="15" customHeight="1" x14ac:dyDescent="0.25">
      <c r="B213" s="89" t="s">
        <v>14</v>
      </c>
      <c r="C213" s="101" t="s">
        <v>228</v>
      </c>
      <c r="D213" s="2" t="s">
        <v>264</v>
      </c>
      <c r="E213" s="116" t="str">
        <f t="shared" si="3"/>
        <v>Ekos Oleo Trifasico e Desodorante Andiroba 200ml Frasco</v>
      </c>
      <c r="F213" s="26" t="s">
        <v>233</v>
      </c>
      <c r="G213" s="28"/>
      <c r="H213" s="26" t="s">
        <v>31</v>
      </c>
      <c r="I213" s="46" t="s">
        <v>32</v>
      </c>
      <c r="J213" s="26" t="s">
        <v>265</v>
      </c>
      <c r="K213" s="152">
        <v>96.9</v>
      </c>
      <c r="L213" s="152">
        <v>96.9</v>
      </c>
    </row>
    <row r="214" spans="2:12" ht="15" customHeight="1" x14ac:dyDescent="0.25">
      <c r="B214" s="89" t="s">
        <v>14</v>
      </c>
      <c r="C214" s="101" t="s">
        <v>228</v>
      </c>
      <c r="D214" s="2" t="s">
        <v>264</v>
      </c>
      <c r="E214" s="116" t="str">
        <f t="shared" si="3"/>
        <v>Ekos Oleo Trifasico e Desodorante Castanha 200ml Frasco</v>
      </c>
      <c r="F214" s="26" t="s">
        <v>266</v>
      </c>
      <c r="G214" s="28"/>
      <c r="H214" s="26" t="s">
        <v>31</v>
      </c>
      <c r="I214" s="46" t="s">
        <v>32</v>
      </c>
      <c r="J214" s="26" t="s">
        <v>265</v>
      </c>
      <c r="K214" s="152">
        <v>96.9</v>
      </c>
      <c r="L214" s="152">
        <v>96.9</v>
      </c>
    </row>
    <row r="215" spans="2:12" ht="15" customHeight="1" x14ac:dyDescent="0.25">
      <c r="B215" s="89" t="s">
        <v>14</v>
      </c>
      <c r="C215" s="101" t="s">
        <v>228</v>
      </c>
      <c r="D215" s="2" t="s">
        <v>264</v>
      </c>
      <c r="E215" s="116" t="str">
        <f t="shared" si="3"/>
        <v>Ekos Oleo Trifasico e Desodorante Maracujá 200ml Frasco</v>
      </c>
      <c r="F215" s="26" t="s">
        <v>241</v>
      </c>
      <c r="G215" s="28"/>
      <c r="H215" s="26" t="s">
        <v>31</v>
      </c>
      <c r="I215" s="46" t="s">
        <v>32</v>
      </c>
      <c r="J215" s="26" t="s">
        <v>265</v>
      </c>
      <c r="K215" s="152">
        <v>96.9</v>
      </c>
      <c r="L215" s="152">
        <v>96.9</v>
      </c>
    </row>
    <row r="216" spans="2:12" ht="15" customHeight="1" x14ac:dyDescent="0.25">
      <c r="B216" s="89" t="s">
        <v>14</v>
      </c>
      <c r="C216" s="101" t="s">
        <v>228</v>
      </c>
      <c r="D216" s="2" t="s">
        <v>264</v>
      </c>
      <c r="E216" s="116" t="str">
        <f t="shared" si="3"/>
        <v>Ekos Oleo Trifasico e Desodorante Tukumã 200ml Frasco</v>
      </c>
      <c r="F216" s="4" t="s">
        <v>242</v>
      </c>
      <c r="G216" s="28"/>
      <c r="H216" s="26" t="s">
        <v>31</v>
      </c>
      <c r="I216" s="46" t="s">
        <v>32</v>
      </c>
      <c r="J216" s="26" t="s">
        <v>265</v>
      </c>
      <c r="K216" s="152">
        <v>96.9</v>
      </c>
      <c r="L216" s="152">
        <v>96.9</v>
      </c>
    </row>
    <row r="217" spans="2:12" ht="15" customHeight="1" x14ac:dyDescent="0.25">
      <c r="B217" s="89" t="s">
        <v>14</v>
      </c>
      <c r="C217" s="101" t="s">
        <v>228</v>
      </c>
      <c r="D217" s="2" t="s">
        <v>264</v>
      </c>
      <c r="E217" s="116" t="str">
        <f t="shared" si="3"/>
        <v>Ekos Oleo Trifasico e Desodorante Açaí 200ml Refil</v>
      </c>
      <c r="F217" s="26" t="s">
        <v>230</v>
      </c>
      <c r="G217" s="28"/>
      <c r="H217" s="26" t="s">
        <v>31</v>
      </c>
      <c r="I217" s="46" t="s">
        <v>49</v>
      </c>
      <c r="J217" s="26" t="s">
        <v>265</v>
      </c>
      <c r="K217" s="162">
        <v>77.900000000000006</v>
      </c>
      <c r="L217" s="162">
        <v>77.900000000000006</v>
      </c>
    </row>
    <row r="218" spans="2:12" ht="15" customHeight="1" x14ac:dyDescent="0.25">
      <c r="B218" s="89" t="s">
        <v>14</v>
      </c>
      <c r="C218" s="101" t="s">
        <v>228</v>
      </c>
      <c r="D218" s="2" t="s">
        <v>264</v>
      </c>
      <c r="E218" s="116" t="str">
        <f t="shared" si="3"/>
        <v>Ekos Oleo Trifasico e Desodorante Andiroba 200ml Refil</v>
      </c>
      <c r="F218" s="26" t="s">
        <v>233</v>
      </c>
      <c r="G218" s="28"/>
      <c r="H218" s="26" t="s">
        <v>31</v>
      </c>
      <c r="I218" s="46" t="s">
        <v>49</v>
      </c>
      <c r="J218" s="26" t="s">
        <v>265</v>
      </c>
      <c r="K218" s="162">
        <v>77.900000000000006</v>
      </c>
      <c r="L218" s="162">
        <v>77.900000000000006</v>
      </c>
    </row>
    <row r="219" spans="2:12" ht="15" customHeight="1" x14ac:dyDescent="0.25">
      <c r="B219" s="89" t="s">
        <v>14</v>
      </c>
      <c r="C219" s="101" t="s">
        <v>228</v>
      </c>
      <c r="D219" s="2" t="s">
        <v>264</v>
      </c>
      <c r="E219" s="116" t="str">
        <f t="shared" si="3"/>
        <v>Ekos Oleo Trifasico e Desodorante Castanha 200ml Refil</v>
      </c>
      <c r="F219" s="26" t="s">
        <v>266</v>
      </c>
      <c r="G219" s="28"/>
      <c r="H219" s="26" t="s">
        <v>31</v>
      </c>
      <c r="I219" s="46" t="s">
        <v>49</v>
      </c>
      <c r="J219" s="26" t="s">
        <v>265</v>
      </c>
      <c r="K219" s="162">
        <v>77.900000000000006</v>
      </c>
      <c r="L219" s="162">
        <v>77.900000000000006</v>
      </c>
    </row>
    <row r="220" spans="2:12" ht="15" customHeight="1" x14ac:dyDescent="0.25">
      <c r="B220" s="89" t="s">
        <v>14</v>
      </c>
      <c r="C220" s="101" t="s">
        <v>228</v>
      </c>
      <c r="D220" s="2" t="s">
        <v>264</v>
      </c>
      <c r="E220" s="116" t="str">
        <f t="shared" si="3"/>
        <v>Ekos Oleo Trifasico e Desodorante Maracujá 200ml Refil</v>
      </c>
      <c r="F220" s="26" t="s">
        <v>241</v>
      </c>
      <c r="G220" s="28"/>
      <c r="H220" s="26" t="s">
        <v>31</v>
      </c>
      <c r="I220" s="46" t="s">
        <v>49</v>
      </c>
      <c r="J220" s="26" t="s">
        <v>265</v>
      </c>
      <c r="K220" s="162">
        <v>77.900000000000006</v>
      </c>
      <c r="L220" s="162">
        <v>77.900000000000006</v>
      </c>
    </row>
    <row r="221" spans="2:12" ht="15" customHeight="1" x14ac:dyDescent="0.25">
      <c r="B221" s="89" t="s">
        <v>14</v>
      </c>
      <c r="C221" s="102" t="s">
        <v>228</v>
      </c>
      <c r="D221" s="2" t="s">
        <v>264</v>
      </c>
      <c r="E221" s="116" t="str">
        <f t="shared" si="3"/>
        <v>Ekos Oleo Trifasico e Desodorante Tukumã 200ml Refil</v>
      </c>
      <c r="F221" s="4" t="s">
        <v>242</v>
      </c>
      <c r="G221" s="28"/>
      <c r="H221" s="26" t="s">
        <v>31</v>
      </c>
      <c r="I221" s="46" t="s">
        <v>49</v>
      </c>
      <c r="J221" s="26" t="s">
        <v>265</v>
      </c>
      <c r="K221" s="162">
        <v>77.900000000000006</v>
      </c>
      <c r="L221" s="162">
        <v>77.900000000000006</v>
      </c>
    </row>
    <row r="222" spans="2:12" ht="15" customHeight="1" x14ac:dyDescent="0.25">
      <c r="B222" s="89" t="s">
        <v>14</v>
      </c>
      <c r="C222" s="101" t="s">
        <v>228</v>
      </c>
      <c r="D222" s="90" t="s">
        <v>229</v>
      </c>
      <c r="E222" s="116" t="str">
        <f t="shared" si="3"/>
        <v>Ekos Polpa Hidrante Açaí 400ml Refil</v>
      </c>
      <c r="F222" s="4" t="s">
        <v>267</v>
      </c>
      <c r="G222" s="28"/>
      <c r="H222" s="13" t="s">
        <v>255</v>
      </c>
      <c r="I222" s="48" t="s">
        <v>49</v>
      </c>
      <c r="J222" s="26" t="s">
        <v>250</v>
      </c>
      <c r="K222" s="154">
        <v>67.900000000000006</v>
      </c>
      <c r="L222" s="154">
        <v>67.900000000000006</v>
      </c>
    </row>
    <row r="223" spans="2:12" ht="15" customHeight="1" x14ac:dyDescent="0.25">
      <c r="B223" s="89" t="s">
        <v>14</v>
      </c>
      <c r="C223" s="101" t="s">
        <v>228</v>
      </c>
      <c r="D223" s="90" t="s">
        <v>229</v>
      </c>
      <c r="E223" s="116" t="str">
        <f t="shared" si="3"/>
        <v>Ekos Polpa Hidrante Andiroba 400ml Refil</v>
      </c>
      <c r="F223" s="4" t="s">
        <v>254</v>
      </c>
      <c r="G223" s="28"/>
      <c r="H223" s="13" t="s">
        <v>255</v>
      </c>
      <c r="I223" s="48" t="s">
        <v>49</v>
      </c>
      <c r="J223" s="26" t="s">
        <v>250</v>
      </c>
      <c r="K223" s="154">
        <v>67.900000000000006</v>
      </c>
      <c r="L223" s="154">
        <v>67.900000000000006</v>
      </c>
    </row>
    <row r="224" spans="2:12" ht="15" customHeight="1" x14ac:dyDescent="0.25">
      <c r="B224" s="89" t="s">
        <v>14</v>
      </c>
      <c r="C224" s="101" t="s">
        <v>228</v>
      </c>
      <c r="D224" s="90" t="s">
        <v>229</v>
      </c>
      <c r="E224" s="116" t="str">
        <f t="shared" si="3"/>
        <v>Ekos Polpa Hidrante Castanha 400ml Refil</v>
      </c>
      <c r="F224" s="4" t="s">
        <v>235</v>
      </c>
      <c r="G224" s="28"/>
      <c r="H224" s="13" t="s">
        <v>255</v>
      </c>
      <c r="I224" s="48" t="s">
        <v>49</v>
      </c>
      <c r="J224" s="26" t="s">
        <v>250</v>
      </c>
      <c r="K224" s="154">
        <v>67.900000000000006</v>
      </c>
      <c r="L224" s="154">
        <v>67.900000000000006</v>
      </c>
    </row>
    <row r="225" spans="2:12" ht="15" customHeight="1" x14ac:dyDescent="0.25">
      <c r="B225" s="89" t="s">
        <v>14</v>
      </c>
      <c r="C225" s="101" t="s">
        <v>228</v>
      </c>
      <c r="D225" s="90" t="s">
        <v>229</v>
      </c>
      <c r="E225" s="116" t="str">
        <f t="shared" si="3"/>
        <v>Ekos Polpa Hidrante Cacau 400ml Refil</v>
      </c>
      <c r="F225" s="5" t="s">
        <v>238</v>
      </c>
      <c r="G225" s="28"/>
      <c r="H225" s="13" t="s">
        <v>255</v>
      </c>
      <c r="I225" s="48" t="s">
        <v>49</v>
      </c>
      <c r="J225" s="26" t="s">
        <v>250</v>
      </c>
      <c r="K225" s="154">
        <v>67.900000000000006</v>
      </c>
      <c r="L225" s="154">
        <v>67.900000000000006</v>
      </c>
    </row>
    <row r="226" spans="2:12" ht="15" customHeight="1" x14ac:dyDescent="0.25">
      <c r="B226" s="89" t="s">
        <v>14</v>
      </c>
      <c r="C226" s="101" t="s">
        <v>228</v>
      </c>
      <c r="D226" s="90" t="s">
        <v>229</v>
      </c>
      <c r="E226" s="116" t="str">
        <f t="shared" si="3"/>
        <v>Ekos Polpa Hidrante Flor do Luar 400ml Refil</v>
      </c>
      <c r="F226" s="4" t="s">
        <v>252</v>
      </c>
      <c r="G226" s="28"/>
      <c r="H226" s="13" t="s">
        <v>255</v>
      </c>
      <c r="I226" s="48" t="s">
        <v>49</v>
      </c>
      <c r="J226" s="26" t="s">
        <v>250</v>
      </c>
      <c r="K226" s="154">
        <v>67.900000000000006</v>
      </c>
      <c r="L226" s="154">
        <v>67.900000000000006</v>
      </c>
    </row>
    <row r="227" spans="2:12" ht="15" customHeight="1" x14ac:dyDescent="0.25">
      <c r="B227" s="89" t="s">
        <v>14</v>
      </c>
      <c r="C227" s="101" t="s">
        <v>228</v>
      </c>
      <c r="D227" s="90" t="s">
        <v>229</v>
      </c>
      <c r="E227" s="116" t="str">
        <f t="shared" si="3"/>
        <v>Ekos Polpa Hidrante Maracujá 400ml Refil</v>
      </c>
      <c r="F227" s="4" t="s">
        <v>268</v>
      </c>
      <c r="G227" s="28"/>
      <c r="H227" s="13" t="s">
        <v>255</v>
      </c>
      <c r="I227" s="48" t="s">
        <v>49</v>
      </c>
      <c r="J227" s="26" t="s">
        <v>250</v>
      </c>
      <c r="K227" s="154">
        <v>67.900000000000006</v>
      </c>
      <c r="L227" s="154">
        <v>67.900000000000006</v>
      </c>
    </row>
    <row r="228" spans="2:12" ht="15" customHeight="1" x14ac:dyDescent="0.25">
      <c r="B228" s="89" t="s">
        <v>14</v>
      </c>
      <c r="C228" s="101" t="s">
        <v>228</v>
      </c>
      <c r="D228" s="90" t="s">
        <v>229</v>
      </c>
      <c r="E228" s="116" t="str">
        <f t="shared" si="3"/>
        <v>Ekos Polpa Hidrante Tukumã 400ml Refil</v>
      </c>
      <c r="F228" s="4" t="s">
        <v>247</v>
      </c>
      <c r="G228" s="28"/>
      <c r="H228" s="13" t="s">
        <v>255</v>
      </c>
      <c r="I228" s="48" t="s">
        <v>49</v>
      </c>
      <c r="J228" s="26" t="s">
        <v>250</v>
      </c>
      <c r="K228" s="154">
        <v>67.900000000000006</v>
      </c>
      <c r="L228" s="154">
        <v>67.900000000000006</v>
      </c>
    </row>
    <row r="229" spans="2:12" ht="15" customHeight="1" x14ac:dyDescent="0.25">
      <c r="B229" s="89" t="s">
        <v>14</v>
      </c>
      <c r="C229" s="101" t="s">
        <v>228</v>
      </c>
      <c r="D229" s="93" t="s">
        <v>269</v>
      </c>
      <c r="E229" s="116" t="str">
        <f t="shared" si="3"/>
        <v>Ekos Sabonete Barra Açaí 4x100g Caixa</v>
      </c>
      <c r="F229" s="4" t="s">
        <v>230</v>
      </c>
      <c r="G229" s="28">
        <v>4</v>
      </c>
      <c r="H229" s="11" t="s">
        <v>113</v>
      </c>
      <c r="I229" s="52" t="s">
        <v>270</v>
      </c>
      <c r="J229" s="11" t="s">
        <v>271</v>
      </c>
      <c r="K229" s="164">
        <v>44.4</v>
      </c>
      <c r="L229" s="164">
        <v>44.4</v>
      </c>
    </row>
    <row r="230" spans="2:12" ht="15" customHeight="1" x14ac:dyDescent="0.25">
      <c r="B230" s="89" t="s">
        <v>14</v>
      </c>
      <c r="C230" s="101" t="s">
        <v>228</v>
      </c>
      <c r="D230" s="93" t="s">
        <v>269</v>
      </c>
      <c r="E230" s="116" t="str">
        <f t="shared" si="3"/>
        <v>Ekos Sabonete Barra Cacau 4x100g Caixa</v>
      </c>
      <c r="F230" s="11" t="s">
        <v>238</v>
      </c>
      <c r="G230" s="28">
        <v>4</v>
      </c>
      <c r="H230" s="11" t="s">
        <v>113</v>
      </c>
      <c r="I230" s="52" t="s">
        <v>270</v>
      </c>
      <c r="J230" s="11" t="s">
        <v>271</v>
      </c>
      <c r="K230" s="164">
        <v>44.4</v>
      </c>
      <c r="L230" s="164">
        <v>44.4</v>
      </c>
    </row>
    <row r="231" spans="2:12" s="12" customFormat="1" ht="15" customHeight="1" x14ac:dyDescent="0.25">
      <c r="B231" s="89" t="s">
        <v>14</v>
      </c>
      <c r="C231" s="101" t="s">
        <v>228</v>
      </c>
      <c r="D231" s="93" t="s">
        <v>269</v>
      </c>
      <c r="E231" s="116" t="str">
        <f t="shared" si="3"/>
        <v>Ekos Sabonete Barra Castanha 4x100g Caixa</v>
      </c>
      <c r="F231" s="11" t="s">
        <v>235</v>
      </c>
      <c r="G231" s="28">
        <v>4</v>
      </c>
      <c r="H231" s="11" t="s">
        <v>113</v>
      </c>
      <c r="I231" s="52" t="s">
        <v>270</v>
      </c>
      <c r="J231" s="11" t="s">
        <v>271</v>
      </c>
      <c r="K231" s="164">
        <v>44.4</v>
      </c>
      <c r="L231" s="164">
        <v>44.4</v>
      </c>
    </row>
    <row r="232" spans="2:12" s="12" customFormat="1" ht="15" customHeight="1" x14ac:dyDescent="0.25">
      <c r="B232" s="89" t="s">
        <v>14</v>
      </c>
      <c r="C232" s="101" t="s">
        <v>228</v>
      </c>
      <c r="D232" s="93" t="s">
        <v>269</v>
      </c>
      <c r="E232" s="116" t="str">
        <f t="shared" si="3"/>
        <v>Ekos Sabonete Barra Flor do Luar 4x100g Caixa</v>
      </c>
      <c r="F232" s="4" t="s">
        <v>252</v>
      </c>
      <c r="G232" s="28">
        <v>4</v>
      </c>
      <c r="H232" s="11" t="s">
        <v>113</v>
      </c>
      <c r="I232" s="52" t="s">
        <v>270</v>
      </c>
      <c r="J232" s="11" t="s">
        <v>271</v>
      </c>
      <c r="K232" s="164">
        <v>44.4</v>
      </c>
      <c r="L232" s="164">
        <v>44.4</v>
      </c>
    </row>
    <row r="233" spans="2:12" ht="15" customHeight="1" x14ac:dyDescent="0.25">
      <c r="B233" s="89" t="s">
        <v>14</v>
      </c>
      <c r="C233" s="101" t="s">
        <v>228</v>
      </c>
      <c r="D233" s="93" t="s">
        <v>269</v>
      </c>
      <c r="E233" s="116" t="str">
        <f t="shared" si="3"/>
        <v>Ekos Sabonete Barra Maracujá 4x100g Caixa</v>
      </c>
      <c r="F233" s="4" t="s">
        <v>241</v>
      </c>
      <c r="G233" s="28">
        <v>4</v>
      </c>
      <c r="H233" s="11" t="s">
        <v>113</v>
      </c>
      <c r="I233" s="52" t="s">
        <v>270</v>
      </c>
      <c r="J233" s="11" t="s">
        <v>271</v>
      </c>
      <c r="K233" s="164">
        <v>44.4</v>
      </c>
      <c r="L233" s="164">
        <v>44.4</v>
      </c>
    </row>
    <row r="234" spans="2:12" s="12" customFormat="1" ht="15" customHeight="1" x14ac:dyDescent="0.25">
      <c r="B234" s="89" t="s">
        <v>14</v>
      </c>
      <c r="C234" s="101" t="s">
        <v>228</v>
      </c>
      <c r="D234" s="93" t="s">
        <v>269</v>
      </c>
      <c r="E234" s="116" t="str">
        <f t="shared" si="3"/>
        <v>Ekos Sabonete Barra Tukumã 4x100g Caixa</v>
      </c>
      <c r="F234" s="4" t="s">
        <v>247</v>
      </c>
      <c r="G234" s="28">
        <v>4</v>
      </c>
      <c r="H234" s="11" t="s">
        <v>113</v>
      </c>
      <c r="I234" s="52" t="s">
        <v>270</v>
      </c>
      <c r="J234" s="11" t="s">
        <v>271</v>
      </c>
      <c r="K234" s="164">
        <v>44.4</v>
      </c>
      <c r="L234" s="164">
        <v>44.4</v>
      </c>
    </row>
    <row r="235" spans="2:12" ht="15" customHeight="1" x14ac:dyDescent="0.25">
      <c r="B235" s="89" t="s">
        <v>14</v>
      </c>
      <c r="C235" s="101" t="s">
        <v>228</v>
      </c>
      <c r="D235" s="93" t="s">
        <v>272</v>
      </c>
      <c r="E235" s="116" t="str">
        <f t="shared" si="3"/>
        <v>Ekos Sabonete Barra Esfoliante Sortido: castnha, andiroba,ucuub,maracuja. 4x100g Caixa</v>
      </c>
      <c r="F235" s="4" t="s">
        <v>273</v>
      </c>
      <c r="G235" s="28">
        <v>4</v>
      </c>
      <c r="H235" s="11" t="s">
        <v>113</v>
      </c>
      <c r="I235" s="52" t="s">
        <v>270</v>
      </c>
      <c r="J235" s="11" t="s">
        <v>271</v>
      </c>
      <c r="K235" s="164">
        <v>44.4</v>
      </c>
      <c r="L235" s="164">
        <v>44.4</v>
      </c>
    </row>
    <row r="236" spans="2:12" ht="15" customHeight="1" x14ac:dyDescent="0.25">
      <c r="B236" s="89" t="s">
        <v>14</v>
      </c>
      <c r="C236" s="101" t="s">
        <v>228</v>
      </c>
      <c r="D236" s="93" t="s">
        <v>274</v>
      </c>
      <c r="E236" s="116" t="str">
        <f t="shared" si="3"/>
        <v>Ekos Sabonete Barra Esfoliante Sortido: castanha, maracuja, buriti, pitanga. 4x100g Caixa</v>
      </c>
      <c r="F236" s="4" t="s">
        <v>275</v>
      </c>
      <c r="G236" s="28">
        <v>4</v>
      </c>
      <c r="H236" s="11" t="s">
        <v>113</v>
      </c>
      <c r="I236" s="52" t="s">
        <v>270</v>
      </c>
      <c r="J236" s="11" t="s">
        <v>271</v>
      </c>
      <c r="K236" s="164">
        <v>44.4</v>
      </c>
      <c r="L236" s="164">
        <v>44.4</v>
      </c>
    </row>
    <row r="237" spans="2:12" ht="15" customHeight="1" x14ac:dyDescent="0.25">
      <c r="B237" s="89" t="s">
        <v>14</v>
      </c>
      <c r="C237" s="101" t="s">
        <v>228</v>
      </c>
      <c r="D237" s="93" t="s">
        <v>272</v>
      </c>
      <c r="E237" s="116" t="str">
        <f t="shared" si="3"/>
        <v>Ekos Sabonete Barra Esfoliante Sortido: castanha,maracuja,açai,andiroba 4x100g Caixa</v>
      </c>
      <c r="F237" s="4" t="s">
        <v>276</v>
      </c>
      <c r="G237" s="28">
        <v>4</v>
      </c>
      <c r="H237" s="11" t="s">
        <v>113</v>
      </c>
      <c r="I237" s="52" t="s">
        <v>270</v>
      </c>
      <c r="J237" s="11" t="s">
        <v>271</v>
      </c>
      <c r="K237" s="164">
        <v>44.4</v>
      </c>
      <c r="L237" s="164">
        <v>44.4</v>
      </c>
    </row>
    <row r="238" spans="2:12" ht="15" customHeight="1" x14ac:dyDescent="0.25">
      <c r="B238" s="89" t="s">
        <v>14</v>
      </c>
      <c r="C238" s="101" t="s">
        <v>228</v>
      </c>
      <c r="D238" s="93" t="s">
        <v>272</v>
      </c>
      <c r="E238" s="116" t="str">
        <f t="shared" si="3"/>
        <v>Ekos Sabonete Barra Esfoliante Sortido: castanha, andiroba, açai, maracujá. 4x100g Caixa</v>
      </c>
      <c r="F238" s="4" t="s">
        <v>277</v>
      </c>
      <c r="G238" s="28">
        <v>4</v>
      </c>
      <c r="H238" s="11" t="s">
        <v>113</v>
      </c>
      <c r="I238" s="52" t="s">
        <v>270</v>
      </c>
      <c r="J238" s="11" t="s">
        <v>271</v>
      </c>
      <c r="K238" s="164">
        <v>44.4</v>
      </c>
      <c r="L238" s="164">
        <v>44.4</v>
      </c>
    </row>
    <row r="239" spans="2:12" ht="15" customHeight="1" x14ac:dyDescent="0.25">
      <c r="B239" s="89" t="s">
        <v>14</v>
      </c>
      <c r="C239" s="101" t="s">
        <v>228</v>
      </c>
      <c r="D239" s="90" t="s">
        <v>278</v>
      </c>
      <c r="E239" s="116" t="str">
        <f t="shared" si="3"/>
        <v>Ekos Sabonete Barra Cacau 4x100g Caixa</v>
      </c>
      <c r="F239" s="10" t="s">
        <v>238</v>
      </c>
      <c r="G239" s="28">
        <v>4</v>
      </c>
      <c r="H239" s="11" t="s">
        <v>113</v>
      </c>
      <c r="I239" s="52" t="s">
        <v>270</v>
      </c>
      <c r="J239" s="13" t="s">
        <v>279</v>
      </c>
      <c r="K239" s="4" t="s">
        <v>280</v>
      </c>
      <c r="L239" s="4" t="s">
        <v>280</v>
      </c>
    </row>
    <row r="240" spans="2:12" ht="15" customHeight="1" x14ac:dyDescent="0.25">
      <c r="B240" s="89" t="s">
        <v>14</v>
      </c>
      <c r="C240" s="101" t="s">
        <v>228</v>
      </c>
      <c r="D240" s="90" t="s">
        <v>281</v>
      </c>
      <c r="E240" s="116" t="str">
        <f t="shared" si="3"/>
        <v>Ekos Sabonete Barra mini Maracujá 6x25g Caixa</v>
      </c>
      <c r="F240" s="6" t="s">
        <v>241</v>
      </c>
      <c r="G240" s="28">
        <v>6</v>
      </c>
      <c r="H240" s="4" t="s">
        <v>282</v>
      </c>
      <c r="I240" s="52" t="s">
        <v>270</v>
      </c>
      <c r="J240" s="13" t="s">
        <v>283</v>
      </c>
      <c r="K240" s="154">
        <v>55.9</v>
      </c>
      <c r="L240" s="154">
        <v>55.9</v>
      </c>
    </row>
    <row r="241" spans="2:12" ht="15" customHeight="1" x14ac:dyDescent="0.25">
      <c r="B241" s="89" t="s">
        <v>14</v>
      </c>
      <c r="C241" s="101" t="s">
        <v>228</v>
      </c>
      <c r="D241" s="90" t="s">
        <v>284</v>
      </c>
      <c r="E241" s="116" t="str">
        <f t="shared" si="3"/>
        <v>Ekos Sabonete liquido para Maos Cacau 250ml Frasco</v>
      </c>
      <c r="F241" s="18" t="s">
        <v>238</v>
      </c>
      <c r="G241" s="28"/>
      <c r="H241" s="4" t="s">
        <v>202</v>
      </c>
      <c r="I241" s="45" t="s">
        <v>32</v>
      </c>
      <c r="J241" s="13" t="s">
        <v>285</v>
      </c>
      <c r="K241" s="154">
        <v>65</v>
      </c>
      <c r="L241" s="154">
        <v>65</v>
      </c>
    </row>
    <row r="242" spans="2:12" ht="15" customHeight="1" x14ac:dyDescent="0.25">
      <c r="B242" s="89" t="s">
        <v>14</v>
      </c>
      <c r="C242" s="101" t="s">
        <v>228</v>
      </c>
      <c r="D242" s="90" t="s">
        <v>284</v>
      </c>
      <c r="E242" s="116" t="str">
        <f t="shared" si="3"/>
        <v>Ekos Sabonete liquido para Maos Castanha 250ml Frasco</v>
      </c>
      <c r="F242" s="10" t="s">
        <v>235</v>
      </c>
      <c r="G242" s="28"/>
      <c r="H242" s="4" t="s">
        <v>202</v>
      </c>
      <c r="I242" s="45" t="s">
        <v>32</v>
      </c>
      <c r="J242" s="13" t="s">
        <v>285</v>
      </c>
      <c r="K242" s="154">
        <v>65</v>
      </c>
      <c r="L242" s="154">
        <v>65</v>
      </c>
    </row>
    <row r="243" spans="2:12" ht="15" customHeight="1" x14ac:dyDescent="0.25">
      <c r="B243" s="89" t="s">
        <v>14</v>
      </c>
      <c r="C243" s="101" t="s">
        <v>228</v>
      </c>
      <c r="D243" s="90" t="s">
        <v>284</v>
      </c>
      <c r="E243" s="116" t="str">
        <f t="shared" si="3"/>
        <v>Ekos Sabonete liquido para Maos Maracujá 250ml Frasco</v>
      </c>
      <c r="F243" s="6" t="s">
        <v>241</v>
      </c>
      <c r="G243" s="28"/>
      <c r="H243" s="4" t="s">
        <v>202</v>
      </c>
      <c r="I243" s="45" t="s">
        <v>32</v>
      </c>
      <c r="J243" s="13" t="s">
        <v>285</v>
      </c>
      <c r="K243" s="154">
        <v>65</v>
      </c>
      <c r="L243" s="154">
        <v>65</v>
      </c>
    </row>
    <row r="244" spans="2:12" ht="15" customHeight="1" x14ac:dyDescent="0.25">
      <c r="B244" s="89" t="s">
        <v>14</v>
      </c>
      <c r="C244" s="101" t="s">
        <v>228</v>
      </c>
      <c r="D244" s="90" t="s">
        <v>284</v>
      </c>
      <c r="E244" s="116" t="str">
        <f t="shared" si="3"/>
        <v>Ekos Sabonete liquido para Maos Pitanga 250ml Frasco</v>
      </c>
      <c r="F244" s="19" t="s">
        <v>286</v>
      </c>
      <c r="G244" s="28"/>
      <c r="H244" s="4" t="s">
        <v>202</v>
      </c>
      <c r="I244" s="45" t="s">
        <v>32</v>
      </c>
      <c r="J244" s="13" t="s">
        <v>285</v>
      </c>
      <c r="K244" s="154">
        <v>65</v>
      </c>
      <c r="L244" s="154">
        <v>65</v>
      </c>
    </row>
    <row r="245" spans="2:12" ht="15" customHeight="1" x14ac:dyDescent="0.25">
      <c r="B245" s="89" t="s">
        <v>14</v>
      </c>
      <c r="C245" s="101" t="s">
        <v>228</v>
      </c>
      <c r="D245" s="90" t="s">
        <v>284</v>
      </c>
      <c r="E245" s="116" t="str">
        <f t="shared" si="3"/>
        <v>Ekos Sabonete liquido para Maos Cacau 250ml Refil</v>
      </c>
      <c r="F245" s="18" t="s">
        <v>238</v>
      </c>
      <c r="G245" s="28"/>
      <c r="H245" s="4" t="s">
        <v>202</v>
      </c>
      <c r="I245" s="45" t="s">
        <v>49</v>
      </c>
      <c r="J245" s="13" t="s">
        <v>285</v>
      </c>
      <c r="K245" s="154">
        <v>48.9</v>
      </c>
      <c r="L245" s="154">
        <v>48.9</v>
      </c>
    </row>
    <row r="246" spans="2:12" ht="15" customHeight="1" x14ac:dyDescent="0.25">
      <c r="B246" s="89" t="s">
        <v>14</v>
      </c>
      <c r="C246" s="101" t="s">
        <v>228</v>
      </c>
      <c r="D246" s="90" t="s">
        <v>284</v>
      </c>
      <c r="E246" s="116" t="str">
        <f t="shared" si="3"/>
        <v>Ekos Sabonete liquido para Maos Castanha 250ml Refil</v>
      </c>
      <c r="F246" s="10" t="s">
        <v>235</v>
      </c>
      <c r="G246" s="28"/>
      <c r="H246" s="4" t="s">
        <v>202</v>
      </c>
      <c r="I246" s="45" t="s">
        <v>49</v>
      </c>
      <c r="J246" s="13" t="s">
        <v>285</v>
      </c>
      <c r="K246" s="154">
        <v>48.9</v>
      </c>
      <c r="L246" s="154">
        <v>48.9</v>
      </c>
    </row>
    <row r="247" spans="2:12" ht="15" customHeight="1" x14ac:dyDescent="0.25">
      <c r="B247" s="89" t="s">
        <v>14</v>
      </c>
      <c r="C247" s="101" t="s">
        <v>228</v>
      </c>
      <c r="D247" s="90" t="s">
        <v>284</v>
      </c>
      <c r="E247" s="116" t="str">
        <f t="shared" si="3"/>
        <v>Ekos Sabonete liquido para Maos Maracujá 250ml Refil</v>
      </c>
      <c r="F247" s="6" t="s">
        <v>241</v>
      </c>
      <c r="G247" s="28"/>
      <c r="H247" s="4" t="s">
        <v>202</v>
      </c>
      <c r="I247" s="45" t="s">
        <v>49</v>
      </c>
      <c r="J247" s="13" t="s">
        <v>285</v>
      </c>
      <c r="K247" s="154">
        <v>48.9</v>
      </c>
      <c r="L247" s="154">
        <v>48.9</v>
      </c>
    </row>
    <row r="248" spans="2:12" ht="15" customHeight="1" x14ac:dyDescent="0.25">
      <c r="B248" s="89" t="s">
        <v>14</v>
      </c>
      <c r="C248" s="101" t="s">
        <v>228</v>
      </c>
      <c r="D248" s="90" t="s">
        <v>284</v>
      </c>
      <c r="E248" s="116" t="str">
        <f t="shared" si="3"/>
        <v>Ekos Sabonete liquido para Maos Pitanga 250ml Refil</v>
      </c>
      <c r="F248" s="19" t="s">
        <v>286</v>
      </c>
      <c r="G248" s="28"/>
      <c r="H248" s="4" t="s">
        <v>202</v>
      </c>
      <c r="I248" s="45" t="s">
        <v>49</v>
      </c>
      <c r="J248" s="13" t="s">
        <v>285</v>
      </c>
      <c r="K248" s="154">
        <v>48.9</v>
      </c>
      <c r="L248" s="154">
        <v>48.9</v>
      </c>
    </row>
    <row r="249" spans="2:12" ht="15" customHeight="1" x14ac:dyDescent="0.25">
      <c r="B249" s="89" t="s">
        <v>14</v>
      </c>
      <c r="C249" s="101" t="s">
        <v>228</v>
      </c>
      <c r="D249" s="90" t="s">
        <v>287</v>
      </c>
      <c r="E249" s="116" t="str">
        <f t="shared" si="3"/>
        <v>Ekos Kit Viagem Encontro com a Amazônia 4xKIT KIT</v>
      </c>
      <c r="F249" s="4" t="s">
        <v>288</v>
      </c>
      <c r="G249" s="28">
        <v>4</v>
      </c>
      <c r="H249" s="31" t="s">
        <v>289</v>
      </c>
      <c r="I249" s="45" t="s">
        <v>289</v>
      </c>
      <c r="J249" s="4">
        <v>1</v>
      </c>
      <c r="K249" s="13"/>
      <c r="L249" s="13"/>
    </row>
    <row r="250" spans="2:12" ht="15" customHeight="1" x14ac:dyDescent="0.25">
      <c r="B250" s="89" t="s">
        <v>14</v>
      </c>
      <c r="C250" s="101" t="s">
        <v>228</v>
      </c>
      <c r="D250" s="90" t="s">
        <v>290</v>
      </c>
      <c r="E250" s="116" t="str">
        <f t="shared" si="3"/>
        <v>Ekos Sabonte Liquido Esfoliante Açai 185ml Frasco</v>
      </c>
      <c r="F250" s="4" t="s">
        <v>291</v>
      </c>
      <c r="G250" s="28"/>
      <c r="H250" s="4" t="s">
        <v>292</v>
      </c>
      <c r="I250" s="45" t="s">
        <v>32</v>
      </c>
      <c r="J250" s="13" t="s">
        <v>293</v>
      </c>
      <c r="K250" s="154">
        <v>54.9</v>
      </c>
      <c r="L250" s="154">
        <v>54.9</v>
      </c>
    </row>
    <row r="251" spans="2:12" ht="15" customHeight="1" x14ac:dyDescent="0.25">
      <c r="B251" s="89" t="s">
        <v>14</v>
      </c>
      <c r="C251" s="101" t="s">
        <v>228</v>
      </c>
      <c r="D251" s="90" t="s">
        <v>290</v>
      </c>
      <c r="E251" s="116" t="str">
        <f t="shared" si="3"/>
        <v>Ekos Sabonte Liquido Esfoliante Maracujá 185ml Frasco</v>
      </c>
      <c r="F251" s="4" t="s">
        <v>241</v>
      </c>
      <c r="G251" s="28"/>
      <c r="H251" s="13" t="s">
        <v>294</v>
      </c>
      <c r="I251" s="48" t="s">
        <v>32</v>
      </c>
      <c r="J251" s="13" t="s">
        <v>293</v>
      </c>
      <c r="K251" s="154">
        <v>54.9</v>
      </c>
      <c r="L251" s="154">
        <v>54.9</v>
      </c>
    </row>
    <row r="252" spans="2:12" ht="15" customHeight="1" x14ac:dyDescent="0.25">
      <c r="B252" s="89" t="s">
        <v>14</v>
      </c>
      <c r="C252" s="101" t="s">
        <v>228</v>
      </c>
      <c r="D252" s="90" t="s">
        <v>290</v>
      </c>
      <c r="E252" s="116" t="str">
        <f t="shared" si="3"/>
        <v>Ekos Sabonte Liquido Esfoliante Tukumã 185ml Frasco</v>
      </c>
      <c r="F252" s="4" t="s">
        <v>247</v>
      </c>
      <c r="G252" s="28"/>
      <c r="H252" s="4" t="s">
        <v>294</v>
      </c>
      <c r="I252" s="45" t="s">
        <v>32</v>
      </c>
      <c r="J252" s="4" t="s">
        <v>293</v>
      </c>
      <c r="K252" s="154">
        <v>54.9</v>
      </c>
      <c r="L252" s="154">
        <v>54.9</v>
      </c>
    </row>
    <row r="253" spans="2:12" ht="15" customHeight="1" x14ac:dyDescent="0.25">
      <c r="B253" s="89" t="s">
        <v>14</v>
      </c>
      <c r="C253" s="101" t="s">
        <v>228</v>
      </c>
      <c r="D253" s="90" t="s">
        <v>290</v>
      </c>
      <c r="E253" s="116" t="str">
        <f t="shared" si="3"/>
        <v>Ekos Sabonte Liquido Esfoliante Açai 185ml Refil</v>
      </c>
      <c r="F253" s="4" t="s">
        <v>291</v>
      </c>
      <c r="G253" s="28"/>
      <c r="H253" s="4" t="s">
        <v>294</v>
      </c>
      <c r="I253" s="48" t="s">
        <v>183</v>
      </c>
      <c r="J253" s="4" t="s">
        <v>293</v>
      </c>
      <c r="K253" s="154">
        <v>39.9</v>
      </c>
      <c r="L253" s="154">
        <v>39.9</v>
      </c>
    </row>
    <row r="254" spans="2:12" ht="15" customHeight="1" x14ac:dyDescent="0.25">
      <c r="B254" s="89" t="s">
        <v>14</v>
      </c>
      <c r="C254" s="101" t="s">
        <v>228</v>
      </c>
      <c r="D254" s="90" t="s">
        <v>290</v>
      </c>
      <c r="E254" s="116" t="str">
        <f t="shared" si="3"/>
        <v>Ekos Sabonte Liquido Esfoliante Maracujá 185ml Refil</v>
      </c>
      <c r="F254" s="4" t="s">
        <v>241</v>
      </c>
      <c r="G254" s="28"/>
      <c r="H254" s="4" t="s">
        <v>294</v>
      </c>
      <c r="I254" s="48" t="s">
        <v>183</v>
      </c>
      <c r="J254" s="4" t="s">
        <v>293</v>
      </c>
      <c r="K254" s="154">
        <v>39.9</v>
      </c>
      <c r="L254" s="154">
        <v>39.9</v>
      </c>
    </row>
    <row r="255" spans="2:12" ht="15" customHeight="1" x14ac:dyDescent="0.25">
      <c r="B255" s="89" t="s">
        <v>14</v>
      </c>
      <c r="C255" s="101" t="s">
        <v>228</v>
      </c>
      <c r="D255" s="90" t="s">
        <v>290</v>
      </c>
      <c r="E255" s="116" t="str">
        <f t="shared" si="3"/>
        <v>Ekos Sabonte Liquido Esfoliante Tukumã 185ml Refil</v>
      </c>
      <c r="F255" s="4" t="s">
        <v>247</v>
      </c>
      <c r="G255" s="28"/>
      <c r="H255" s="4" t="s">
        <v>294</v>
      </c>
      <c r="I255" s="48" t="s">
        <v>183</v>
      </c>
      <c r="J255" s="4" t="s">
        <v>293</v>
      </c>
      <c r="K255" s="154">
        <v>39.9</v>
      </c>
      <c r="L255" s="154">
        <v>39.9</v>
      </c>
    </row>
    <row r="256" spans="2:12" ht="15" customHeight="1" x14ac:dyDescent="0.25">
      <c r="B256" s="89" t="s">
        <v>14</v>
      </c>
      <c r="C256" s="101" t="s">
        <v>228</v>
      </c>
      <c r="D256" s="90" t="s">
        <v>295</v>
      </c>
      <c r="E256" s="116" t="str">
        <f t="shared" si="3"/>
        <v>Ekos Sabonete Liquido em Oleo Castanha 200ml Frasco</v>
      </c>
      <c r="F256" s="4" t="s">
        <v>235</v>
      </c>
      <c r="G256" s="28"/>
      <c r="H256" s="4" t="s">
        <v>31</v>
      </c>
      <c r="I256" s="45" t="s">
        <v>32</v>
      </c>
      <c r="J256" s="4" t="s">
        <v>293</v>
      </c>
      <c r="K256" s="154">
        <v>74.900000000000006</v>
      </c>
      <c r="L256" s="154">
        <v>74.900000000000006</v>
      </c>
    </row>
    <row r="257" spans="2:12" ht="15" customHeight="1" x14ac:dyDescent="0.25">
      <c r="B257" s="89" t="s">
        <v>14</v>
      </c>
      <c r="C257" s="101" t="s">
        <v>228</v>
      </c>
      <c r="D257" s="90" t="s">
        <v>296</v>
      </c>
      <c r="E257" s="116" t="str">
        <f t="shared" si="3"/>
        <v>Ekos Sabonete Liquido Corporal Andiroba 195ml Frasco</v>
      </c>
      <c r="F257" s="4" t="s">
        <v>233</v>
      </c>
      <c r="G257" s="28"/>
      <c r="H257" s="4" t="s">
        <v>297</v>
      </c>
      <c r="I257" s="45" t="s">
        <v>32</v>
      </c>
      <c r="J257" s="13" t="s">
        <v>298</v>
      </c>
      <c r="K257" s="154">
        <v>54.9</v>
      </c>
      <c r="L257" s="154">
        <v>54.9</v>
      </c>
    </row>
    <row r="258" spans="2:12" ht="15" customHeight="1" x14ac:dyDescent="0.25">
      <c r="B258" s="89" t="s">
        <v>14</v>
      </c>
      <c r="C258" s="101" t="s">
        <v>228</v>
      </c>
      <c r="D258" s="90" t="s">
        <v>296</v>
      </c>
      <c r="E258" s="116" t="str">
        <f t="shared" si="3"/>
        <v>Ekos Sabonete Liquido Corporal Andiroba 195ml Refil</v>
      </c>
      <c r="F258" s="4" t="s">
        <v>233</v>
      </c>
      <c r="G258" s="28"/>
      <c r="H258" s="4" t="s">
        <v>297</v>
      </c>
      <c r="I258" s="48" t="s">
        <v>183</v>
      </c>
      <c r="J258" s="13" t="s">
        <v>298</v>
      </c>
      <c r="K258" s="154">
        <v>39.9</v>
      </c>
      <c r="L258" s="154">
        <v>39.9</v>
      </c>
    </row>
    <row r="259" spans="2:12" ht="15" customHeight="1" x14ac:dyDescent="0.25">
      <c r="B259" s="89" t="s">
        <v>14</v>
      </c>
      <c r="C259" s="101" t="s">
        <v>228</v>
      </c>
      <c r="D259" s="91" t="s">
        <v>299</v>
      </c>
      <c r="E259" s="116" t="str">
        <f t="shared" ref="E259:E322" si="4">TRIM(CONCATENATE(C259, " ", D259, " ", F259, " ", IF(G259&gt;0, G259 &amp; "x" &amp; H259, H259), " ", I259))</f>
        <v>Ekos Pre Shampoo Murumuru 100g Frasco</v>
      </c>
      <c r="F259" s="4" t="s">
        <v>300</v>
      </c>
      <c r="G259" s="28"/>
      <c r="H259" s="4" t="s">
        <v>113</v>
      </c>
      <c r="I259" s="45" t="s">
        <v>32</v>
      </c>
      <c r="J259" s="13" t="s">
        <v>301</v>
      </c>
      <c r="K259" s="154">
        <v>59.9</v>
      </c>
      <c r="L259" s="154">
        <v>59.9</v>
      </c>
    </row>
    <row r="260" spans="2:12" ht="15" customHeight="1" x14ac:dyDescent="0.25">
      <c r="B260" s="89" t="s">
        <v>14</v>
      </c>
      <c r="C260" s="101" t="s">
        <v>228</v>
      </c>
      <c r="D260" s="90" t="s">
        <v>302</v>
      </c>
      <c r="E260" s="116" t="str">
        <f t="shared" si="4"/>
        <v>Ekos Shampoo Murumuru 300ml Frasco</v>
      </c>
      <c r="F260" s="4" t="s">
        <v>303</v>
      </c>
      <c r="G260" s="28"/>
      <c r="H260" s="4" t="s">
        <v>151</v>
      </c>
      <c r="I260" s="45" t="s">
        <v>32</v>
      </c>
      <c r="J260" s="13" t="s">
        <v>304</v>
      </c>
      <c r="K260" s="154">
        <v>56.9</v>
      </c>
      <c r="L260" s="154">
        <v>56.9</v>
      </c>
    </row>
    <row r="261" spans="2:12" ht="15" customHeight="1" x14ac:dyDescent="0.25">
      <c r="B261" s="89" t="s">
        <v>14</v>
      </c>
      <c r="C261" s="101" t="s">
        <v>228</v>
      </c>
      <c r="D261" s="90" t="s">
        <v>302</v>
      </c>
      <c r="E261" s="116" t="str">
        <f t="shared" si="4"/>
        <v>Ekos Shampoo Patuá 300ml Frasco</v>
      </c>
      <c r="F261" s="4" t="s">
        <v>305</v>
      </c>
      <c r="G261" s="28"/>
      <c r="H261" s="4" t="s">
        <v>151</v>
      </c>
      <c r="I261" s="45" t="s">
        <v>32</v>
      </c>
      <c r="J261" s="13" t="s">
        <v>306</v>
      </c>
      <c r="K261" s="154">
        <v>56.9</v>
      </c>
      <c r="L261" s="154">
        <v>56.9</v>
      </c>
    </row>
    <row r="262" spans="2:12" ht="15" customHeight="1" x14ac:dyDescent="0.25">
      <c r="B262" s="89" t="s">
        <v>14</v>
      </c>
      <c r="C262" s="101" t="s">
        <v>228</v>
      </c>
      <c r="D262" s="90" t="s">
        <v>302</v>
      </c>
      <c r="E262" s="116" t="str">
        <f t="shared" si="4"/>
        <v>Ekos Shampoo Murumuru 300ml Refil</v>
      </c>
      <c r="F262" s="4" t="s">
        <v>303</v>
      </c>
      <c r="G262" s="28"/>
      <c r="H262" s="4" t="s">
        <v>151</v>
      </c>
      <c r="I262" s="45" t="s">
        <v>183</v>
      </c>
      <c r="J262" s="13" t="s">
        <v>304</v>
      </c>
      <c r="K262" s="154">
        <v>43.5</v>
      </c>
      <c r="L262" s="154">
        <v>43.5</v>
      </c>
    </row>
    <row r="263" spans="2:12" ht="15" customHeight="1" x14ac:dyDescent="0.25">
      <c r="B263" s="89" t="s">
        <v>14</v>
      </c>
      <c r="C263" s="101" t="s">
        <v>228</v>
      </c>
      <c r="D263" s="90" t="s">
        <v>302</v>
      </c>
      <c r="E263" s="116" t="str">
        <f t="shared" si="4"/>
        <v>Ekos Shampoo Patuá 300ml Refil</v>
      </c>
      <c r="F263" s="4" t="s">
        <v>305</v>
      </c>
      <c r="G263" s="28"/>
      <c r="H263" s="4" t="s">
        <v>151</v>
      </c>
      <c r="I263" s="45" t="s">
        <v>183</v>
      </c>
      <c r="J263" s="13" t="s">
        <v>306</v>
      </c>
      <c r="K263" s="154">
        <v>43.5</v>
      </c>
      <c r="L263" s="154">
        <v>43.5</v>
      </c>
    </row>
    <row r="264" spans="2:12" ht="15" customHeight="1" x14ac:dyDescent="0.25">
      <c r="B264" s="89" t="s">
        <v>14</v>
      </c>
      <c r="C264" s="101" t="s">
        <v>228</v>
      </c>
      <c r="D264" s="91" t="s">
        <v>195</v>
      </c>
      <c r="E264" s="116" t="str">
        <f t="shared" si="4"/>
        <v>Ekos Condicionador Murumuru 300ml Frasco</v>
      </c>
      <c r="F264" s="4" t="s">
        <v>303</v>
      </c>
      <c r="G264" s="28"/>
      <c r="H264" s="4" t="s">
        <v>151</v>
      </c>
      <c r="I264" s="45" t="s">
        <v>32</v>
      </c>
      <c r="J264" s="13" t="s">
        <v>304</v>
      </c>
      <c r="K264" s="154">
        <v>59.9</v>
      </c>
      <c r="L264" s="154">
        <v>59.9</v>
      </c>
    </row>
    <row r="265" spans="2:12" ht="15" customHeight="1" x14ac:dyDescent="0.25">
      <c r="B265" s="89" t="s">
        <v>14</v>
      </c>
      <c r="C265" s="101" t="s">
        <v>228</v>
      </c>
      <c r="D265" s="91" t="s">
        <v>195</v>
      </c>
      <c r="E265" s="116" t="str">
        <f t="shared" si="4"/>
        <v>Ekos Condicionador Patuá 300ml Frasco</v>
      </c>
      <c r="F265" s="4" t="s">
        <v>305</v>
      </c>
      <c r="G265" s="28"/>
      <c r="H265" s="4" t="s">
        <v>151</v>
      </c>
      <c r="I265" s="45" t="s">
        <v>32</v>
      </c>
      <c r="J265" s="13" t="s">
        <v>306</v>
      </c>
      <c r="K265" s="154">
        <v>59.9</v>
      </c>
      <c r="L265" s="154">
        <v>59.9</v>
      </c>
    </row>
    <row r="266" spans="2:12" ht="15" customHeight="1" x14ac:dyDescent="0.25">
      <c r="B266" s="89" t="s">
        <v>14</v>
      </c>
      <c r="C266" s="101" t="s">
        <v>228</v>
      </c>
      <c r="D266" s="91" t="s">
        <v>195</v>
      </c>
      <c r="E266" s="116" t="str">
        <f t="shared" si="4"/>
        <v>Ekos Condicionador Murumuru 300ml Refil</v>
      </c>
      <c r="F266" s="4" t="s">
        <v>303</v>
      </c>
      <c r="G266" s="28"/>
      <c r="H266" s="4" t="s">
        <v>151</v>
      </c>
      <c r="I266" s="45" t="s">
        <v>183</v>
      </c>
      <c r="J266" s="13" t="s">
        <v>304</v>
      </c>
      <c r="K266" s="154" t="s">
        <v>307</v>
      </c>
      <c r="L266" s="154" t="s">
        <v>307</v>
      </c>
    </row>
    <row r="267" spans="2:12" ht="15" customHeight="1" x14ac:dyDescent="0.25">
      <c r="B267" s="89" t="s">
        <v>14</v>
      </c>
      <c r="C267" s="101" t="s">
        <v>228</v>
      </c>
      <c r="D267" s="91" t="s">
        <v>195</v>
      </c>
      <c r="E267" s="116" t="str">
        <f t="shared" si="4"/>
        <v>Ekos Condicionador Patuá 300ml Refil</v>
      </c>
      <c r="F267" s="4" t="s">
        <v>305</v>
      </c>
      <c r="G267" s="28"/>
      <c r="H267" s="4" t="s">
        <v>151</v>
      </c>
      <c r="I267" s="45" t="s">
        <v>183</v>
      </c>
      <c r="J267" s="13" t="s">
        <v>306</v>
      </c>
      <c r="K267" s="154" t="s">
        <v>308</v>
      </c>
      <c r="L267" s="154" t="s">
        <v>308</v>
      </c>
    </row>
    <row r="268" spans="2:12" ht="15" customHeight="1" x14ac:dyDescent="0.25">
      <c r="B268" s="89" t="s">
        <v>14</v>
      </c>
      <c r="C268" s="101" t="s">
        <v>228</v>
      </c>
      <c r="D268" s="90" t="s">
        <v>309</v>
      </c>
      <c r="E268" s="116" t="str">
        <f t="shared" si="4"/>
        <v>Ekos Mascara para cabelo Murumuru 200g Pote</v>
      </c>
      <c r="F268" s="4" t="s">
        <v>303</v>
      </c>
      <c r="G268" s="28"/>
      <c r="H268" s="4" t="s">
        <v>60</v>
      </c>
      <c r="I268" s="45" t="s">
        <v>55</v>
      </c>
      <c r="J268" s="4" t="s">
        <v>310</v>
      </c>
      <c r="K268" s="154">
        <v>81.900000000000006</v>
      </c>
      <c r="L268" s="154">
        <v>81.900000000000006</v>
      </c>
    </row>
    <row r="269" spans="2:12" ht="15" customHeight="1" x14ac:dyDescent="0.25">
      <c r="B269" s="89" t="s">
        <v>14</v>
      </c>
      <c r="C269" s="101" t="s">
        <v>228</v>
      </c>
      <c r="D269" s="90" t="s">
        <v>309</v>
      </c>
      <c r="E269" s="116" t="str">
        <f t="shared" si="4"/>
        <v>Ekos Mascara para cabelo Patuá 200g Pote</v>
      </c>
      <c r="F269" s="4" t="s">
        <v>305</v>
      </c>
      <c r="G269" s="28"/>
      <c r="H269" s="4" t="s">
        <v>60</v>
      </c>
      <c r="I269" s="45" t="s">
        <v>55</v>
      </c>
      <c r="J269" s="4" t="s">
        <v>311</v>
      </c>
      <c r="K269" s="154">
        <v>81.900000000000006</v>
      </c>
      <c r="L269" s="154">
        <v>81.900000000000006</v>
      </c>
    </row>
    <row r="270" spans="2:12" ht="15" customHeight="1" x14ac:dyDescent="0.25">
      <c r="B270" s="89" t="s">
        <v>14</v>
      </c>
      <c r="C270" s="101" t="s">
        <v>228</v>
      </c>
      <c r="D270" s="90" t="s">
        <v>312</v>
      </c>
      <c r="E270" s="116" t="str">
        <f t="shared" si="4"/>
        <v>Ekos Creme Para Pentear Murumuru 150ml Frasco</v>
      </c>
      <c r="F270" s="4" t="s">
        <v>303</v>
      </c>
      <c r="G270" s="28"/>
      <c r="H270" s="4" t="s">
        <v>313</v>
      </c>
      <c r="I270" s="45" t="s">
        <v>32</v>
      </c>
      <c r="J270" s="4" t="s">
        <v>314</v>
      </c>
      <c r="K270" s="154">
        <v>59.9</v>
      </c>
      <c r="L270" s="154">
        <v>59.9</v>
      </c>
    </row>
    <row r="271" spans="2:12" s="12" customFormat="1" ht="15" customHeight="1" x14ac:dyDescent="0.25">
      <c r="B271" s="89" t="s">
        <v>14</v>
      </c>
      <c r="C271" s="101" t="s">
        <v>228</v>
      </c>
      <c r="D271" s="94" t="s">
        <v>315</v>
      </c>
      <c r="E271" s="116" t="str">
        <f t="shared" si="4"/>
        <v>Ekos Oleo Finalizador Cabelo Patuá 60ml Frasco</v>
      </c>
      <c r="F271" s="11" t="s">
        <v>305</v>
      </c>
      <c r="G271" s="28"/>
      <c r="H271" s="11" t="s">
        <v>316</v>
      </c>
      <c r="I271" s="51" t="s">
        <v>32</v>
      </c>
      <c r="J271" s="11" t="s">
        <v>317</v>
      </c>
      <c r="K271" s="165">
        <v>89.9</v>
      </c>
      <c r="L271" s="165">
        <v>89.9</v>
      </c>
    </row>
    <row r="272" spans="2:12" ht="15" customHeight="1" x14ac:dyDescent="0.25">
      <c r="B272" s="89" t="s">
        <v>14</v>
      </c>
      <c r="C272" s="101" t="s">
        <v>228</v>
      </c>
      <c r="D272" s="90" t="s">
        <v>318</v>
      </c>
      <c r="E272" s="116" t="str">
        <f t="shared" si="4"/>
        <v>Ekos Serum Noturno Nutritivo Murumuru 30ml Frasco</v>
      </c>
      <c r="F272" s="4" t="s">
        <v>303</v>
      </c>
      <c r="G272" s="28"/>
      <c r="H272" s="4" t="s">
        <v>319</v>
      </c>
      <c r="I272" s="45" t="s">
        <v>32</v>
      </c>
      <c r="J272" s="13" t="s">
        <v>320</v>
      </c>
      <c r="K272" s="154">
        <v>73.900000000000006</v>
      </c>
      <c r="L272" s="154">
        <v>73.900000000000006</v>
      </c>
    </row>
    <row r="273" spans="2:12" s="12" customFormat="1" ht="15" customHeight="1" x14ac:dyDescent="0.25">
      <c r="B273" s="89" t="s">
        <v>14</v>
      </c>
      <c r="C273" s="101" t="s">
        <v>228</v>
      </c>
      <c r="D273" s="94" t="s">
        <v>321</v>
      </c>
      <c r="E273" s="116" t="str">
        <f t="shared" si="4"/>
        <v>Ekos Tonico Noturno de Crescimento Patuá 30ml Frasco</v>
      </c>
      <c r="F273" s="11" t="s">
        <v>305</v>
      </c>
      <c r="G273" s="28"/>
      <c r="H273" s="4" t="s">
        <v>319</v>
      </c>
      <c r="I273" s="45" t="s">
        <v>32</v>
      </c>
      <c r="J273" s="11" t="s">
        <v>322</v>
      </c>
      <c r="K273" s="154">
        <v>73.900000000000006</v>
      </c>
      <c r="L273" s="154">
        <v>73.900000000000006</v>
      </c>
    </row>
    <row r="274" spans="2:12" s="12" customFormat="1" ht="15" customHeight="1" x14ac:dyDescent="0.25">
      <c r="B274" s="89" t="s">
        <v>14</v>
      </c>
      <c r="C274" s="101" t="s">
        <v>228</v>
      </c>
      <c r="D274" s="94" t="s">
        <v>323</v>
      </c>
      <c r="E274" s="116" t="str">
        <f t="shared" si="4"/>
        <v>Ekos Colonia Frescor Açai Feminino 150ml Frasco</v>
      </c>
      <c r="F274" s="11" t="s">
        <v>324</v>
      </c>
      <c r="G274" s="28"/>
      <c r="H274" s="11" t="s">
        <v>313</v>
      </c>
      <c r="I274" s="51" t="s">
        <v>32</v>
      </c>
      <c r="J274" s="11" t="s">
        <v>325</v>
      </c>
      <c r="K274" s="165">
        <v>124.9</v>
      </c>
      <c r="L274" s="165">
        <v>124.9</v>
      </c>
    </row>
    <row r="275" spans="2:12" s="12" customFormat="1" ht="15" customHeight="1" x14ac:dyDescent="0.25">
      <c r="B275" s="89" t="s">
        <v>14</v>
      </c>
      <c r="C275" s="101" t="s">
        <v>228</v>
      </c>
      <c r="D275" s="94" t="s">
        <v>323</v>
      </c>
      <c r="E275" s="116" t="str">
        <f t="shared" si="4"/>
        <v>Ekos Colonia Frescor Andiroba Feminino 150ml Frasco</v>
      </c>
      <c r="F275" s="11" t="s">
        <v>326</v>
      </c>
      <c r="G275" s="28"/>
      <c r="H275" s="11" t="s">
        <v>313</v>
      </c>
      <c r="I275" s="51" t="s">
        <v>32</v>
      </c>
      <c r="J275" s="11" t="s">
        <v>325</v>
      </c>
      <c r="K275" s="165">
        <v>124.9</v>
      </c>
      <c r="L275" s="165">
        <v>124.9</v>
      </c>
    </row>
    <row r="276" spans="2:12" s="12" customFormat="1" ht="15" customHeight="1" x14ac:dyDescent="0.25">
      <c r="B276" s="89" t="s">
        <v>14</v>
      </c>
      <c r="C276" s="101" t="s">
        <v>228</v>
      </c>
      <c r="D276" s="94" t="s">
        <v>323</v>
      </c>
      <c r="E276" s="116" t="str">
        <f t="shared" si="4"/>
        <v>Ekos Colonia Frescor Cacau Feminino 150ml Frasco</v>
      </c>
      <c r="F276" s="11" t="s">
        <v>327</v>
      </c>
      <c r="G276" s="28"/>
      <c r="H276" s="11" t="s">
        <v>313</v>
      </c>
      <c r="I276" s="51" t="s">
        <v>32</v>
      </c>
      <c r="J276" s="11" t="s">
        <v>325</v>
      </c>
      <c r="K276" s="165">
        <v>124.9</v>
      </c>
      <c r="L276" s="165">
        <v>124.9</v>
      </c>
    </row>
    <row r="277" spans="2:12" s="12" customFormat="1" ht="15" customHeight="1" x14ac:dyDescent="0.25">
      <c r="B277" s="89" t="s">
        <v>14</v>
      </c>
      <c r="C277" s="101" t="s">
        <v>228</v>
      </c>
      <c r="D277" s="94" t="s">
        <v>323</v>
      </c>
      <c r="E277" s="116" t="str">
        <f t="shared" si="4"/>
        <v>Ekos Colonia Frescor Castanha Feminino 150ml Frasco</v>
      </c>
      <c r="F277" s="11" t="s">
        <v>328</v>
      </c>
      <c r="G277" s="28"/>
      <c r="H277" s="11" t="s">
        <v>313</v>
      </c>
      <c r="I277" s="51" t="s">
        <v>32</v>
      </c>
      <c r="J277" s="11" t="s">
        <v>325</v>
      </c>
      <c r="K277" s="165">
        <v>124.9</v>
      </c>
      <c r="L277" s="165">
        <v>124.9</v>
      </c>
    </row>
    <row r="278" spans="2:12" s="12" customFormat="1" ht="15" customHeight="1" x14ac:dyDescent="0.25">
      <c r="B278" s="89" t="s">
        <v>14</v>
      </c>
      <c r="C278" s="101" t="s">
        <v>228</v>
      </c>
      <c r="D278" s="94" t="s">
        <v>323</v>
      </c>
      <c r="E278" s="116" t="str">
        <f t="shared" si="4"/>
        <v>Ekos Colonia Frescor Flor do Luar Feminino 150ml Frasco</v>
      </c>
      <c r="F278" s="11" t="s">
        <v>329</v>
      </c>
      <c r="G278" s="28"/>
      <c r="H278" s="11" t="s">
        <v>313</v>
      </c>
      <c r="I278" s="51" t="s">
        <v>32</v>
      </c>
      <c r="J278" s="11" t="s">
        <v>325</v>
      </c>
      <c r="K278" s="165">
        <v>124.9</v>
      </c>
      <c r="L278" s="165">
        <v>124.9</v>
      </c>
    </row>
    <row r="279" spans="2:12" s="12" customFormat="1" ht="15" customHeight="1" x14ac:dyDescent="0.25">
      <c r="B279" s="89" t="s">
        <v>14</v>
      </c>
      <c r="C279" s="101" t="s">
        <v>228</v>
      </c>
      <c r="D279" s="94" t="s">
        <v>323</v>
      </c>
      <c r="E279" s="116" t="str">
        <f t="shared" si="4"/>
        <v>Ekos Colonia Frescor Maracuja Feminino 150ml Frasco</v>
      </c>
      <c r="F279" s="11" t="s">
        <v>330</v>
      </c>
      <c r="G279" s="28"/>
      <c r="H279" s="11" t="s">
        <v>313</v>
      </c>
      <c r="I279" s="51" t="s">
        <v>32</v>
      </c>
      <c r="J279" s="11" t="s">
        <v>325</v>
      </c>
      <c r="K279" s="165">
        <v>124.9</v>
      </c>
      <c r="L279" s="165">
        <v>124.9</v>
      </c>
    </row>
    <row r="280" spans="2:12" s="12" customFormat="1" ht="15" customHeight="1" x14ac:dyDescent="0.25">
      <c r="B280" s="89" t="s">
        <v>14</v>
      </c>
      <c r="C280" s="101" t="s">
        <v>228</v>
      </c>
      <c r="D280" s="94" t="s">
        <v>323</v>
      </c>
      <c r="E280" s="116" t="str">
        <f t="shared" si="4"/>
        <v>Ekos Colonia Frescor Pitanga Feminino 150ml Frasco</v>
      </c>
      <c r="F280" s="11" t="s">
        <v>331</v>
      </c>
      <c r="G280" s="28"/>
      <c r="H280" s="11" t="s">
        <v>313</v>
      </c>
      <c r="I280" s="51" t="s">
        <v>32</v>
      </c>
      <c r="J280" s="11" t="s">
        <v>325</v>
      </c>
      <c r="K280" s="165">
        <v>124.9</v>
      </c>
      <c r="L280" s="165">
        <v>124.9</v>
      </c>
    </row>
    <row r="281" spans="2:12" s="12" customFormat="1" ht="15" customHeight="1" x14ac:dyDescent="0.25">
      <c r="B281" s="89" t="s">
        <v>14</v>
      </c>
      <c r="C281" s="101" t="s">
        <v>228</v>
      </c>
      <c r="D281" s="94" t="s">
        <v>332</v>
      </c>
      <c r="E281" s="116" t="str">
        <f t="shared" si="4"/>
        <v>Ekos Eau De Parfum Alma 75ml Frasco</v>
      </c>
      <c r="F281" s="11" t="s">
        <v>333</v>
      </c>
      <c r="G281" s="28"/>
      <c r="H281" s="11" t="s">
        <v>334</v>
      </c>
      <c r="I281" s="51" t="s">
        <v>32</v>
      </c>
      <c r="J281" s="11" t="s">
        <v>335</v>
      </c>
      <c r="K281" s="165">
        <v>375.9</v>
      </c>
      <c r="L281" s="165">
        <v>375.9</v>
      </c>
    </row>
    <row r="282" spans="2:12" s="12" customFormat="1" ht="15" customHeight="1" x14ac:dyDescent="0.25">
      <c r="B282" s="89" t="s">
        <v>14</v>
      </c>
      <c r="C282" s="101" t="s">
        <v>228</v>
      </c>
      <c r="D282" s="94" t="s">
        <v>332</v>
      </c>
      <c r="E282" s="116" t="str">
        <f t="shared" si="4"/>
        <v>Ekos Eau De Parfum Pedra 75ml Frasco</v>
      </c>
      <c r="F282" s="11" t="s">
        <v>336</v>
      </c>
      <c r="G282" s="28"/>
      <c r="H282" s="11" t="s">
        <v>334</v>
      </c>
      <c r="I282" s="51" t="s">
        <v>32</v>
      </c>
      <c r="J282" s="11" t="s">
        <v>337</v>
      </c>
      <c r="K282" s="165">
        <v>375.9</v>
      </c>
      <c r="L282" s="165">
        <v>375.9</v>
      </c>
    </row>
    <row r="283" spans="2:12" s="12" customFormat="1" ht="15" customHeight="1" x14ac:dyDescent="0.25">
      <c r="B283" s="89" t="s">
        <v>14</v>
      </c>
      <c r="C283" s="101" t="s">
        <v>228</v>
      </c>
      <c r="D283" s="94" t="s">
        <v>332</v>
      </c>
      <c r="E283" s="116" t="str">
        <f t="shared" si="4"/>
        <v>Ekos Eau De Parfum Raiz 75ml Frasco</v>
      </c>
      <c r="F283" s="11" t="s">
        <v>338</v>
      </c>
      <c r="G283" s="28"/>
      <c r="H283" s="11" t="s">
        <v>334</v>
      </c>
      <c r="I283" s="51" t="s">
        <v>32</v>
      </c>
      <c r="J283" s="11" t="s">
        <v>339</v>
      </c>
      <c r="K283" s="165">
        <v>375.9</v>
      </c>
      <c r="L283" s="165">
        <v>375.9</v>
      </c>
    </row>
    <row r="284" spans="2:12" s="12" customFormat="1" ht="15" customHeight="1" x14ac:dyDescent="0.25">
      <c r="B284" s="89" t="s">
        <v>14</v>
      </c>
      <c r="C284" s="101" t="s">
        <v>228</v>
      </c>
      <c r="D284" s="94" t="s">
        <v>332</v>
      </c>
      <c r="E284" s="116" t="str">
        <f t="shared" si="4"/>
        <v>Ekos Eau De Parfum Ryo Chuva 75ml Frasco</v>
      </c>
      <c r="F284" s="11" t="s">
        <v>340</v>
      </c>
      <c r="G284" s="28"/>
      <c r="H284" s="11" t="s">
        <v>334</v>
      </c>
      <c r="I284" s="51" t="s">
        <v>32</v>
      </c>
      <c r="J284" s="11" t="s">
        <v>341</v>
      </c>
      <c r="K284" s="165">
        <v>189.9</v>
      </c>
      <c r="L284" s="165">
        <v>189.9</v>
      </c>
    </row>
    <row r="285" spans="2:12" s="12" customFormat="1" ht="15" customHeight="1" x14ac:dyDescent="0.25">
      <c r="B285" s="89" t="s">
        <v>14</v>
      </c>
      <c r="C285" s="101" t="s">
        <v>228</v>
      </c>
      <c r="D285" s="94" t="s">
        <v>332</v>
      </c>
      <c r="E285" s="116" t="str">
        <f t="shared" si="4"/>
        <v>Ekos Eau De Parfum Ryo Festa 75ml Frasco</v>
      </c>
      <c r="F285" s="11" t="s">
        <v>342</v>
      </c>
      <c r="G285" s="28"/>
      <c r="H285" s="11" t="s">
        <v>334</v>
      </c>
      <c r="I285" s="51" t="s">
        <v>32</v>
      </c>
      <c r="J285" s="11" t="s">
        <v>343</v>
      </c>
      <c r="K285" s="165">
        <v>189.9</v>
      </c>
      <c r="L285" s="165">
        <v>189.9</v>
      </c>
    </row>
    <row r="286" spans="2:12" s="12" customFormat="1" ht="15" customHeight="1" x14ac:dyDescent="0.25">
      <c r="B286" s="89" t="s">
        <v>14</v>
      </c>
      <c r="C286" s="101" t="s">
        <v>228</v>
      </c>
      <c r="D286" s="94" t="s">
        <v>332</v>
      </c>
      <c r="E286" s="116" t="str">
        <f t="shared" si="4"/>
        <v>Ekos Eau De Parfum Ryo Vivo 75ml Frasco</v>
      </c>
      <c r="F286" s="11" t="s">
        <v>344</v>
      </c>
      <c r="G286" s="28"/>
      <c r="H286" s="11" t="s">
        <v>334</v>
      </c>
      <c r="I286" s="51" t="s">
        <v>32</v>
      </c>
      <c r="J286" s="133" t="s">
        <v>345</v>
      </c>
      <c r="K286" s="165">
        <v>189.9</v>
      </c>
      <c r="L286" s="165">
        <v>189.9</v>
      </c>
    </row>
    <row r="287" spans="2:12" s="12" customFormat="1" ht="15" customHeight="1" x14ac:dyDescent="0.25">
      <c r="B287" s="89" t="s">
        <v>14</v>
      </c>
      <c r="C287" s="103" t="s">
        <v>346</v>
      </c>
      <c r="D287" s="92" t="s">
        <v>347</v>
      </c>
      <c r="E287" s="116" t="str">
        <f t="shared" si="4"/>
        <v>Humor Shampoo 3 em 1 Humor A Dois Masculino 100ml Frasco</v>
      </c>
      <c r="F287" s="135" t="s">
        <v>348</v>
      </c>
      <c r="G287" s="28"/>
      <c r="H287" s="133" t="s">
        <v>349</v>
      </c>
      <c r="I287" s="51" t="s">
        <v>32</v>
      </c>
      <c r="J287" s="136" t="s">
        <v>350</v>
      </c>
      <c r="K287" s="164">
        <v>59.04</v>
      </c>
      <c r="L287" s="164">
        <v>59.04</v>
      </c>
    </row>
    <row r="288" spans="2:12" s="12" customFormat="1" ht="15" customHeight="1" x14ac:dyDescent="0.25">
      <c r="B288" s="89" t="s">
        <v>14</v>
      </c>
      <c r="C288" s="103" t="s">
        <v>346</v>
      </c>
      <c r="D288" s="90" t="s">
        <v>323</v>
      </c>
      <c r="E288" s="116" t="str">
        <f t="shared" si="4"/>
        <v>Humor Colonia A Rigor Masculino 75ml Frasco</v>
      </c>
      <c r="F288" s="125" t="s">
        <v>351</v>
      </c>
      <c r="G288" s="28"/>
      <c r="H288" s="133" t="s">
        <v>334</v>
      </c>
      <c r="I288" s="51" t="s">
        <v>32</v>
      </c>
      <c r="J288" s="11" t="s">
        <v>352</v>
      </c>
      <c r="K288" s="11" t="s">
        <v>353</v>
      </c>
      <c r="L288" s="11" t="s">
        <v>353</v>
      </c>
    </row>
    <row r="289" spans="2:12" ht="15" customHeight="1" x14ac:dyDescent="0.25">
      <c r="B289" s="89" t="s">
        <v>14</v>
      </c>
      <c r="C289" s="103" t="s">
        <v>346</v>
      </c>
      <c r="D289" s="90" t="s">
        <v>323</v>
      </c>
      <c r="E289" s="116" t="str">
        <f t="shared" si="4"/>
        <v>Humor Colonia Beijo de Humor Masculino 75ml Frasco</v>
      </c>
      <c r="F289" s="21" t="s">
        <v>354</v>
      </c>
      <c r="G289" s="28"/>
      <c r="H289" s="11" t="s">
        <v>334</v>
      </c>
      <c r="I289" s="51" t="s">
        <v>32</v>
      </c>
      <c r="J289" s="13" t="s">
        <v>355</v>
      </c>
      <c r="K289" s="11" t="s">
        <v>353</v>
      </c>
      <c r="L289" s="11" t="s">
        <v>353</v>
      </c>
    </row>
    <row r="290" spans="2:12" ht="15" customHeight="1" x14ac:dyDescent="0.25">
      <c r="B290" s="89" t="s">
        <v>14</v>
      </c>
      <c r="C290" s="103" t="s">
        <v>346</v>
      </c>
      <c r="D290" s="90" t="s">
        <v>323</v>
      </c>
      <c r="E290" s="116" t="str">
        <f t="shared" si="4"/>
        <v>Humor Colonia Conexão de Humor Masculino 75ml Frasco</v>
      </c>
      <c r="F290" s="4" t="s">
        <v>356</v>
      </c>
      <c r="G290" s="28"/>
      <c r="H290" s="11" t="s">
        <v>334</v>
      </c>
      <c r="I290" s="51" t="s">
        <v>32</v>
      </c>
      <c r="J290" s="13" t="s">
        <v>357</v>
      </c>
      <c r="K290" s="11" t="s">
        <v>353</v>
      </c>
      <c r="L290" s="11" t="s">
        <v>353</v>
      </c>
    </row>
    <row r="291" spans="2:12" ht="15" customHeight="1" x14ac:dyDescent="0.25">
      <c r="B291" s="89" t="s">
        <v>14</v>
      </c>
      <c r="C291" s="103" t="s">
        <v>346</v>
      </c>
      <c r="D291" s="90" t="s">
        <v>323</v>
      </c>
      <c r="E291" s="116" t="str">
        <f t="shared" si="4"/>
        <v>Humor Colonia Humor On - line Masculino 75ml Frasco</v>
      </c>
      <c r="F291" s="21" t="s">
        <v>358</v>
      </c>
      <c r="G291" s="28"/>
      <c r="H291" s="11" t="s">
        <v>334</v>
      </c>
      <c r="I291" s="51" t="s">
        <v>32</v>
      </c>
      <c r="J291" s="13" t="s">
        <v>359</v>
      </c>
      <c r="K291" s="11" t="s">
        <v>353</v>
      </c>
      <c r="L291" s="11" t="s">
        <v>353</v>
      </c>
    </row>
    <row r="292" spans="2:12" ht="15" customHeight="1" x14ac:dyDescent="0.25">
      <c r="B292" s="89" t="s">
        <v>14</v>
      </c>
      <c r="C292" s="103" t="s">
        <v>346</v>
      </c>
      <c r="D292" s="90" t="s">
        <v>323</v>
      </c>
      <c r="E292" s="116" t="str">
        <f t="shared" si="4"/>
        <v>Humor Colonia Humor Paz e Humor Masculino 75ml Frasco</v>
      </c>
      <c r="F292" s="4" t="s">
        <v>360</v>
      </c>
      <c r="G292" s="28"/>
      <c r="H292" s="11" t="s">
        <v>334</v>
      </c>
      <c r="I292" s="51" t="s">
        <v>32</v>
      </c>
      <c r="J292" s="21" t="s">
        <v>361</v>
      </c>
      <c r="K292" s="11" t="s">
        <v>353</v>
      </c>
      <c r="L292" s="11" t="s">
        <v>353</v>
      </c>
    </row>
    <row r="293" spans="2:12" ht="15" customHeight="1" x14ac:dyDescent="0.25">
      <c r="B293" s="89" t="s">
        <v>14</v>
      </c>
      <c r="C293" s="103" t="s">
        <v>346</v>
      </c>
      <c r="D293" s="90" t="s">
        <v>323</v>
      </c>
      <c r="E293" s="116" t="str">
        <f t="shared" si="4"/>
        <v>Humor Colonia Química de Humor Masculino 75ml Frasco</v>
      </c>
      <c r="F293" s="4" t="s">
        <v>362</v>
      </c>
      <c r="G293" s="28"/>
      <c r="H293" s="11" t="s">
        <v>334</v>
      </c>
      <c r="I293" s="51" t="s">
        <v>32</v>
      </c>
      <c r="J293" s="21" t="s">
        <v>363</v>
      </c>
      <c r="K293" s="11" t="s">
        <v>353</v>
      </c>
      <c r="L293" s="11" t="s">
        <v>353</v>
      </c>
    </row>
    <row r="294" spans="2:12" ht="15" customHeight="1" x14ac:dyDescent="0.25">
      <c r="B294" s="89" t="s">
        <v>14</v>
      </c>
      <c r="C294" s="103" t="s">
        <v>346</v>
      </c>
      <c r="D294" s="90" t="s">
        <v>323</v>
      </c>
      <c r="E294" s="116" t="str">
        <f t="shared" si="4"/>
        <v>Humor Colonia Humor A Dois Masculino 75ml Frasco</v>
      </c>
      <c r="F294" s="24" t="s">
        <v>348</v>
      </c>
      <c r="G294" s="28"/>
      <c r="H294" s="11" t="s">
        <v>334</v>
      </c>
      <c r="I294" s="51" t="s">
        <v>32</v>
      </c>
      <c r="J294" s="21" t="s">
        <v>364</v>
      </c>
      <c r="K294" s="11"/>
      <c r="L294" s="11"/>
    </row>
    <row r="295" spans="2:12" ht="15" customHeight="1" x14ac:dyDescent="0.25">
      <c r="B295" s="89" t="s">
        <v>14</v>
      </c>
      <c r="C295" s="103" t="s">
        <v>346</v>
      </c>
      <c r="D295" s="90" t="s">
        <v>323</v>
      </c>
      <c r="E295" s="116" t="str">
        <f t="shared" si="4"/>
        <v>Humor Colonia Beijo de Humor Feminino 75ml Frasco</v>
      </c>
      <c r="F295" s="21" t="s">
        <v>365</v>
      </c>
      <c r="G295" s="28"/>
      <c r="H295" s="11" t="s">
        <v>334</v>
      </c>
      <c r="I295" s="45" t="s">
        <v>32</v>
      </c>
      <c r="J295" s="13" t="s">
        <v>366</v>
      </c>
      <c r="K295" s="11" t="s">
        <v>353</v>
      </c>
      <c r="L295" s="11" t="s">
        <v>353</v>
      </c>
    </row>
    <row r="296" spans="2:12" ht="15" customHeight="1" x14ac:dyDescent="0.25">
      <c r="B296" s="89" t="s">
        <v>14</v>
      </c>
      <c r="C296" s="103" t="s">
        <v>346</v>
      </c>
      <c r="D296" s="90" t="s">
        <v>323</v>
      </c>
      <c r="E296" s="116" t="str">
        <f t="shared" si="4"/>
        <v>Humor Colonia Festival De Humor Feminino 75ml Frasco</v>
      </c>
      <c r="F296" s="4" t="s">
        <v>367</v>
      </c>
      <c r="G296" s="28"/>
      <c r="H296" s="11" t="s">
        <v>334</v>
      </c>
      <c r="I296" s="45" t="s">
        <v>32</v>
      </c>
      <c r="J296" s="13" t="s">
        <v>368</v>
      </c>
      <c r="K296" s="11" t="s">
        <v>353</v>
      </c>
      <c r="L296" s="11" t="s">
        <v>353</v>
      </c>
    </row>
    <row r="297" spans="2:12" ht="15" customHeight="1" x14ac:dyDescent="0.25">
      <c r="B297" s="89" t="s">
        <v>14</v>
      </c>
      <c r="C297" s="103" t="s">
        <v>346</v>
      </c>
      <c r="D297" s="90" t="s">
        <v>323</v>
      </c>
      <c r="E297" s="116" t="str">
        <f t="shared" si="4"/>
        <v>Humor Colonia Humor Proprio Feminino 75ml Frasco</v>
      </c>
      <c r="F297" s="4" t="s">
        <v>369</v>
      </c>
      <c r="G297" s="28"/>
      <c r="H297" s="11" t="s">
        <v>334</v>
      </c>
      <c r="I297" s="45" t="s">
        <v>32</v>
      </c>
      <c r="J297" s="13" t="s">
        <v>370</v>
      </c>
      <c r="K297" s="11" t="s">
        <v>353</v>
      </c>
      <c r="L297" s="11" t="s">
        <v>353</v>
      </c>
    </row>
    <row r="298" spans="2:12" ht="15" customHeight="1" x14ac:dyDescent="0.25">
      <c r="B298" s="89" t="s">
        <v>14</v>
      </c>
      <c r="C298" s="103" t="s">
        <v>346</v>
      </c>
      <c r="D298" s="90" t="s">
        <v>323</v>
      </c>
      <c r="E298" s="116" t="str">
        <f t="shared" si="4"/>
        <v>Humor Colonia Humor On-line Feminino 75ml Frasco</v>
      </c>
      <c r="F298" s="4" t="s">
        <v>371</v>
      </c>
      <c r="G298" s="28"/>
      <c r="H298" s="11" t="s">
        <v>334</v>
      </c>
      <c r="I298" s="45" t="s">
        <v>32</v>
      </c>
      <c r="J298" s="21" t="s">
        <v>372</v>
      </c>
      <c r="K298" s="11" t="s">
        <v>353</v>
      </c>
      <c r="L298" s="11" t="s">
        <v>353</v>
      </c>
    </row>
    <row r="299" spans="2:12" ht="15" customHeight="1" x14ac:dyDescent="0.25">
      <c r="B299" s="89" t="s">
        <v>14</v>
      </c>
      <c r="C299" s="103" t="s">
        <v>346</v>
      </c>
      <c r="D299" s="90" t="s">
        <v>323</v>
      </c>
      <c r="E299" s="116" t="str">
        <f t="shared" si="4"/>
        <v>Humor Colonia Meu Primeiro Humor Feminino 75ml Frasco</v>
      </c>
      <c r="F299" s="4" t="s">
        <v>373</v>
      </c>
      <c r="G299" s="28"/>
      <c r="H299" s="11" t="s">
        <v>334</v>
      </c>
      <c r="I299" s="45" t="s">
        <v>32</v>
      </c>
      <c r="J299" s="13" t="s">
        <v>374</v>
      </c>
      <c r="K299" s="11" t="s">
        <v>353</v>
      </c>
      <c r="L299" s="11" t="s">
        <v>353</v>
      </c>
    </row>
    <row r="300" spans="2:12" ht="15" customHeight="1" x14ac:dyDescent="0.25">
      <c r="B300" s="89" t="s">
        <v>14</v>
      </c>
      <c r="C300" s="103" t="s">
        <v>346</v>
      </c>
      <c r="D300" s="90" t="s">
        <v>323</v>
      </c>
      <c r="E300" s="116" t="str">
        <f t="shared" si="4"/>
        <v>Humor Colonia Quimica de Humor Feminino 75ml Frasco</v>
      </c>
      <c r="F300" s="4" t="s">
        <v>375</v>
      </c>
      <c r="G300" s="28"/>
      <c r="H300" s="11" t="s">
        <v>334</v>
      </c>
      <c r="I300" s="45" t="s">
        <v>32</v>
      </c>
      <c r="J300" s="13" t="s">
        <v>374</v>
      </c>
      <c r="K300" s="11" t="s">
        <v>353</v>
      </c>
      <c r="L300" s="11" t="s">
        <v>353</v>
      </c>
    </row>
    <row r="301" spans="2:12" ht="15" customHeight="1" x14ac:dyDescent="0.25">
      <c r="B301" s="89" t="s">
        <v>14</v>
      </c>
      <c r="C301" s="103" t="s">
        <v>346</v>
      </c>
      <c r="D301" s="90" t="s">
        <v>323</v>
      </c>
      <c r="E301" s="116" t="str">
        <f t="shared" si="4"/>
        <v>Humor Colonia Humor + Beijos Feminino 24ml Frasco</v>
      </c>
      <c r="F301" s="4" t="s">
        <v>376</v>
      </c>
      <c r="G301" s="28"/>
      <c r="H301" s="11" t="s">
        <v>377</v>
      </c>
      <c r="I301" s="45" t="s">
        <v>32</v>
      </c>
      <c r="J301" s="22" t="s">
        <v>378</v>
      </c>
      <c r="K301" s="11"/>
      <c r="L301" s="11"/>
    </row>
    <row r="302" spans="2:12" ht="15" customHeight="1" x14ac:dyDescent="0.25">
      <c r="B302" s="89" t="s">
        <v>14</v>
      </c>
      <c r="C302" s="103" t="s">
        <v>346</v>
      </c>
      <c r="D302" s="90" t="s">
        <v>323</v>
      </c>
      <c r="E302" s="116" t="str">
        <f t="shared" si="4"/>
        <v>Humor Colonia Humor Envolve Unisex 75ml Frasco</v>
      </c>
      <c r="F302" s="21" t="s">
        <v>379</v>
      </c>
      <c r="G302" s="28"/>
      <c r="H302" s="11" t="s">
        <v>334</v>
      </c>
      <c r="I302" s="51" t="s">
        <v>32</v>
      </c>
      <c r="J302" s="13" t="s">
        <v>380</v>
      </c>
      <c r="K302" s="11" t="s">
        <v>353</v>
      </c>
      <c r="L302" s="11" t="s">
        <v>353</v>
      </c>
    </row>
    <row r="303" spans="2:12" ht="15" customHeight="1" x14ac:dyDescent="0.25">
      <c r="B303" s="89" t="s">
        <v>14</v>
      </c>
      <c r="C303" s="103" t="s">
        <v>346</v>
      </c>
      <c r="D303" s="90" t="s">
        <v>323</v>
      </c>
      <c r="E303" s="116" t="str">
        <f t="shared" si="4"/>
        <v>Humor Colonia Humor Liberta Unisex 75 ml Frasco</v>
      </c>
      <c r="F303" s="4" t="s">
        <v>381</v>
      </c>
      <c r="G303" s="28"/>
      <c r="H303" s="11" t="s">
        <v>382</v>
      </c>
      <c r="I303" s="51" t="s">
        <v>32</v>
      </c>
      <c r="J303" s="13" t="s">
        <v>357</v>
      </c>
      <c r="K303" s="11" t="s">
        <v>353</v>
      </c>
      <c r="L303" s="11" t="s">
        <v>353</v>
      </c>
    </row>
    <row r="304" spans="2:12" ht="15" customHeight="1" x14ac:dyDescent="0.25">
      <c r="B304" s="89" t="s">
        <v>14</v>
      </c>
      <c r="C304" s="103" t="s">
        <v>346</v>
      </c>
      <c r="D304" s="90" t="s">
        <v>323</v>
      </c>
      <c r="E304" s="116" t="str">
        <f t="shared" si="4"/>
        <v>Humor Colonia Humor Transforma Unisex 75 ml Frasco</v>
      </c>
      <c r="F304" s="4" t="s">
        <v>383</v>
      </c>
      <c r="G304" s="28"/>
      <c r="H304" s="11" t="s">
        <v>382</v>
      </c>
      <c r="I304" s="51" t="s">
        <v>32</v>
      </c>
      <c r="J304" s="13" t="s">
        <v>384</v>
      </c>
      <c r="K304" s="11" t="s">
        <v>353</v>
      </c>
      <c r="L304" s="11" t="s">
        <v>353</v>
      </c>
    </row>
    <row r="305" spans="2:12" ht="15" customHeight="1" x14ac:dyDescent="0.25">
      <c r="B305" s="89" t="s">
        <v>14</v>
      </c>
      <c r="C305" s="103" t="s">
        <v>346</v>
      </c>
      <c r="D305" s="90" t="s">
        <v>385</v>
      </c>
      <c r="E305" s="116" t="str">
        <f t="shared" si="4"/>
        <v>Humor Desodorante Corporal Meu Primeiro Humor 100ml Frasco</v>
      </c>
      <c r="F305" s="4" t="s">
        <v>386</v>
      </c>
      <c r="G305" s="28"/>
      <c r="H305" s="4" t="s">
        <v>349</v>
      </c>
      <c r="I305" s="48" t="s">
        <v>32</v>
      </c>
      <c r="J305" s="13" t="s">
        <v>374</v>
      </c>
      <c r="K305" s="154">
        <v>54.9</v>
      </c>
      <c r="L305" s="154">
        <v>54.9</v>
      </c>
    </row>
    <row r="306" spans="2:12" ht="15" customHeight="1" x14ac:dyDescent="0.25">
      <c r="B306" s="89" t="s">
        <v>14</v>
      </c>
      <c r="C306" s="103" t="s">
        <v>346</v>
      </c>
      <c r="D306" s="90" t="s">
        <v>385</v>
      </c>
      <c r="E306" s="116" t="str">
        <f t="shared" si="4"/>
        <v>Humor Desodorante Corporal Conexão de Humor 100ml Frasco</v>
      </c>
      <c r="F306" s="4" t="s">
        <v>387</v>
      </c>
      <c r="G306" s="28"/>
      <c r="H306" s="4" t="s">
        <v>349</v>
      </c>
      <c r="I306" s="48" t="s">
        <v>32</v>
      </c>
      <c r="J306" s="13" t="s">
        <v>388</v>
      </c>
      <c r="K306" s="154">
        <v>54.9</v>
      </c>
      <c r="L306" s="154">
        <v>54.9</v>
      </c>
    </row>
    <row r="307" spans="2:12" ht="15" customHeight="1" x14ac:dyDescent="0.25">
      <c r="B307" s="89" t="s">
        <v>14</v>
      </c>
      <c r="C307" s="103" t="s">
        <v>346</v>
      </c>
      <c r="D307" s="90" t="s">
        <v>385</v>
      </c>
      <c r="E307" s="116" t="str">
        <f t="shared" si="4"/>
        <v>Humor Desodorante Corporal Festivel De Humor 100ml Refil</v>
      </c>
      <c r="F307" s="21" t="s">
        <v>389</v>
      </c>
      <c r="G307" s="28"/>
      <c r="H307" s="4" t="s">
        <v>349</v>
      </c>
      <c r="I307" s="45" t="s">
        <v>183</v>
      </c>
      <c r="J307" s="13" t="s">
        <v>374</v>
      </c>
      <c r="K307" s="154">
        <v>54.9</v>
      </c>
      <c r="L307" s="154">
        <v>54.9</v>
      </c>
    </row>
    <row r="308" spans="2:12" ht="15" customHeight="1" x14ac:dyDescent="0.25">
      <c r="B308" s="89" t="s">
        <v>14</v>
      </c>
      <c r="C308" s="103" t="s">
        <v>346</v>
      </c>
      <c r="D308" s="90" t="s">
        <v>385</v>
      </c>
      <c r="E308" s="116" t="str">
        <f t="shared" si="4"/>
        <v>Humor Desodorante Corporal Meu Primeiro Humor 100ml Refil</v>
      </c>
      <c r="F308" s="4" t="s">
        <v>386</v>
      </c>
      <c r="G308" s="28"/>
      <c r="H308" s="4" t="s">
        <v>349</v>
      </c>
      <c r="I308" s="45" t="s">
        <v>183</v>
      </c>
      <c r="J308" s="13" t="s">
        <v>374</v>
      </c>
      <c r="K308" s="154">
        <v>54.9</v>
      </c>
      <c r="L308" s="154">
        <v>54.9</v>
      </c>
    </row>
    <row r="309" spans="2:12" ht="15" customHeight="1" x14ac:dyDescent="0.25">
      <c r="B309" s="89" t="s">
        <v>14</v>
      </c>
      <c r="C309" s="103" t="s">
        <v>346</v>
      </c>
      <c r="D309" s="90" t="s">
        <v>390</v>
      </c>
      <c r="E309" s="116" t="str">
        <f t="shared" si="4"/>
        <v>Humor Mousse Desodorante Humor Proprio 200g Pote</v>
      </c>
      <c r="F309" s="4" t="s">
        <v>391</v>
      </c>
      <c r="G309" s="28"/>
      <c r="H309" s="4" t="s">
        <v>60</v>
      </c>
      <c r="I309" s="45" t="s">
        <v>55</v>
      </c>
      <c r="J309" s="13"/>
      <c r="K309" s="4"/>
      <c r="L309" s="4"/>
    </row>
    <row r="310" spans="2:12" ht="15" customHeight="1" x14ac:dyDescent="0.25">
      <c r="B310" s="89" t="s">
        <v>14</v>
      </c>
      <c r="C310" s="103" t="s">
        <v>346</v>
      </c>
      <c r="D310" s="92" t="s">
        <v>392</v>
      </c>
      <c r="E310" s="116" t="str">
        <f t="shared" si="4"/>
        <v>Humor Body Splash Meu Primeiro Humor 200ml Frasco</v>
      </c>
      <c r="F310" s="4" t="s">
        <v>386</v>
      </c>
      <c r="G310" s="28"/>
      <c r="H310" s="4" t="s">
        <v>31</v>
      </c>
      <c r="I310" s="45" t="s">
        <v>32</v>
      </c>
      <c r="J310" s="13" t="s">
        <v>325</v>
      </c>
      <c r="K310" s="154">
        <v>83.9</v>
      </c>
      <c r="L310" s="154">
        <v>83.9</v>
      </c>
    </row>
    <row r="311" spans="2:12" ht="15" customHeight="1" x14ac:dyDescent="0.25">
      <c r="B311" s="89" t="s">
        <v>14</v>
      </c>
      <c r="C311" s="103" t="s">
        <v>346</v>
      </c>
      <c r="D311" s="90" t="s">
        <v>163</v>
      </c>
      <c r="E311" s="116" t="str">
        <f t="shared" si="4"/>
        <v>Humor Sabonete em Barra Paz e Humor 4x90g Caixa</v>
      </c>
      <c r="F311" s="4" t="s">
        <v>393</v>
      </c>
      <c r="G311" s="28">
        <v>4</v>
      </c>
      <c r="H311" s="4" t="s">
        <v>74</v>
      </c>
      <c r="I311" s="52" t="s">
        <v>270</v>
      </c>
      <c r="J311" s="13" t="s">
        <v>394</v>
      </c>
      <c r="K311" s="154">
        <v>60</v>
      </c>
      <c r="L311" s="154">
        <v>60</v>
      </c>
    </row>
    <row r="312" spans="2:12" ht="15" customHeight="1" x14ac:dyDescent="0.25">
      <c r="B312" s="89" t="s">
        <v>14</v>
      </c>
      <c r="C312" s="103" t="s">
        <v>346</v>
      </c>
      <c r="D312" s="90" t="s">
        <v>163</v>
      </c>
      <c r="E312" s="116" t="str">
        <f t="shared" si="4"/>
        <v>Humor Sabonete em Barra A Rigor 1x90g Caixa</v>
      </c>
      <c r="F312" s="4" t="s">
        <v>395</v>
      </c>
      <c r="G312" s="28">
        <v>1</v>
      </c>
      <c r="H312" s="4" t="s">
        <v>74</v>
      </c>
      <c r="I312" s="52" t="s">
        <v>270</v>
      </c>
      <c r="J312" s="13" t="s">
        <v>396</v>
      </c>
      <c r="K312" s="154">
        <v>13.8</v>
      </c>
      <c r="L312" s="154">
        <v>13.8</v>
      </c>
    </row>
    <row r="313" spans="2:12" ht="15" customHeight="1" x14ac:dyDescent="0.25">
      <c r="B313" s="89" t="s">
        <v>14</v>
      </c>
      <c r="C313" s="103" t="s">
        <v>346</v>
      </c>
      <c r="D313" s="90" t="s">
        <v>163</v>
      </c>
      <c r="E313" s="116" t="str">
        <f t="shared" si="4"/>
        <v>Humor Sabonete em Barra Humor Proprio 2x90g Caixa</v>
      </c>
      <c r="F313" s="4" t="s">
        <v>397</v>
      </c>
      <c r="G313" s="28">
        <v>2</v>
      </c>
      <c r="H313" s="4" t="s">
        <v>74</v>
      </c>
      <c r="I313" s="52" t="s">
        <v>270</v>
      </c>
      <c r="J313" s="13" t="s">
        <v>398</v>
      </c>
      <c r="K313" s="154">
        <v>15</v>
      </c>
      <c r="L313" s="154">
        <v>15</v>
      </c>
    </row>
    <row r="314" spans="2:12" ht="15" customHeight="1" x14ac:dyDescent="0.25">
      <c r="B314" s="89" t="s">
        <v>14</v>
      </c>
      <c r="C314" s="103" t="s">
        <v>346</v>
      </c>
      <c r="D314" s="90" t="s">
        <v>399</v>
      </c>
      <c r="E314" s="116" t="str">
        <f t="shared" si="4"/>
        <v>Humor Gel luminador Hidratante e Desodorante Humor Proprio 1x200g Caixa</v>
      </c>
      <c r="F314" s="4" t="s">
        <v>397</v>
      </c>
      <c r="G314" s="28">
        <v>1</v>
      </c>
      <c r="H314" s="4" t="s">
        <v>60</v>
      </c>
      <c r="I314" s="52" t="s">
        <v>270</v>
      </c>
      <c r="J314" s="13" t="s">
        <v>400</v>
      </c>
      <c r="K314" s="13"/>
      <c r="L314" s="13"/>
    </row>
    <row r="315" spans="2:12" ht="15" customHeight="1" x14ac:dyDescent="0.25">
      <c r="B315" s="89" t="s">
        <v>14</v>
      </c>
      <c r="C315" s="103" t="s">
        <v>346</v>
      </c>
      <c r="D315" s="90" t="s">
        <v>401</v>
      </c>
      <c r="E315" s="116" t="str">
        <f t="shared" si="4"/>
        <v>Humor Creme Hidrantante Para Mãos Humor Proprio 40g Frasco</v>
      </c>
      <c r="F315" s="4" t="s">
        <v>391</v>
      </c>
      <c r="G315" s="28"/>
      <c r="H315" s="4" t="s">
        <v>402</v>
      </c>
      <c r="I315" s="45" t="s">
        <v>32</v>
      </c>
      <c r="J315" s="13" t="s">
        <v>403</v>
      </c>
      <c r="K315" s="154">
        <v>42.9</v>
      </c>
      <c r="L315" s="154">
        <v>42.9</v>
      </c>
    </row>
    <row r="316" spans="2:12" ht="15" customHeight="1" x14ac:dyDescent="0.25">
      <c r="B316" s="89" t="s">
        <v>14</v>
      </c>
      <c r="C316" s="103" t="s">
        <v>346</v>
      </c>
      <c r="D316" s="90" t="s">
        <v>404</v>
      </c>
      <c r="E316" s="116" t="str">
        <f t="shared" si="4"/>
        <v>Humor Geleia de Banho Humor On - line 125g Frasco</v>
      </c>
      <c r="F316" s="4" t="s">
        <v>405</v>
      </c>
      <c r="G316" s="28"/>
      <c r="H316" s="4" t="s">
        <v>406</v>
      </c>
      <c r="I316" s="45" t="s">
        <v>32</v>
      </c>
      <c r="J316" s="13" t="s">
        <v>407</v>
      </c>
      <c r="K316" s="154">
        <v>45.9</v>
      </c>
      <c r="L316" s="154">
        <v>45.9</v>
      </c>
    </row>
    <row r="317" spans="2:12" ht="15" customHeight="1" x14ac:dyDescent="0.25">
      <c r="B317" s="89" t="s">
        <v>14</v>
      </c>
      <c r="C317" s="103" t="s">
        <v>346</v>
      </c>
      <c r="D317" s="90" t="s">
        <v>408</v>
      </c>
      <c r="E317" s="116" t="str">
        <f t="shared" si="4"/>
        <v>Humor Iogurte Desodorante e Hidratante Humor On - line 125ml Frasco</v>
      </c>
      <c r="F317" s="4" t="s">
        <v>405</v>
      </c>
      <c r="G317" s="28"/>
      <c r="H317" s="128" t="s">
        <v>409</v>
      </c>
      <c r="I317" s="45" t="s">
        <v>32</v>
      </c>
      <c r="J317" s="13" t="s">
        <v>410</v>
      </c>
      <c r="K317" s="154">
        <v>53.9</v>
      </c>
      <c r="L317" s="154">
        <v>53.9</v>
      </c>
    </row>
    <row r="318" spans="2:12" ht="15" customHeight="1" x14ac:dyDescent="0.25">
      <c r="B318" s="89" t="s">
        <v>14</v>
      </c>
      <c r="C318" s="104" t="s">
        <v>411</v>
      </c>
      <c r="D318" s="90" t="s">
        <v>412</v>
      </c>
      <c r="E318" s="116" t="str">
        <f t="shared" si="4"/>
        <v>Essencial Deo Parfum Atraí Masculino 100ml Frasco</v>
      </c>
      <c r="F318" s="4" t="s">
        <v>413</v>
      </c>
      <c r="G318" s="28"/>
      <c r="H318" s="22" t="s">
        <v>349</v>
      </c>
      <c r="I318" s="45" t="s">
        <v>32</v>
      </c>
      <c r="J318" s="13" t="s">
        <v>414</v>
      </c>
      <c r="K318" s="154">
        <v>278.89999999999998</v>
      </c>
      <c r="L318" s="154">
        <v>278.89999999999998</v>
      </c>
    </row>
    <row r="319" spans="2:12" ht="15" customHeight="1" x14ac:dyDescent="0.25">
      <c r="B319" s="89" t="s">
        <v>14</v>
      </c>
      <c r="C319" s="104" t="s">
        <v>411</v>
      </c>
      <c r="D319" s="90" t="s">
        <v>412</v>
      </c>
      <c r="E319" s="116" t="str">
        <f t="shared" si="4"/>
        <v>Essencial Deo Parfum Atô Masculino 100ml Frasco</v>
      </c>
      <c r="F319" s="4" t="s">
        <v>415</v>
      </c>
      <c r="G319" s="28"/>
      <c r="H319" s="22" t="s">
        <v>349</v>
      </c>
      <c r="I319" s="45" t="s">
        <v>32</v>
      </c>
      <c r="J319" s="13" t="s">
        <v>416</v>
      </c>
      <c r="K319" s="154">
        <v>278.89999999999998</v>
      </c>
      <c r="L319" s="154">
        <v>278.89999999999998</v>
      </c>
    </row>
    <row r="320" spans="2:12" ht="15" customHeight="1" x14ac:dyDescent="0.25">
      <c r="B320" s="89" t="s">
        <v>14</v>
      </c>
      <c r="C320" s="104" t="s">
        <v>411</v>
      </c>
      <c r="D320" s="90" t="s">
        <v>412</v>
      </c>
      <c r="E320" s="116" t="str">
        <f t="shared" si="4"/>
        <v>Essencial Deo Parfum Masculino 100ml Frasco</v>
      </c>
      <c r="F320" s="4" t="s">
        <v>417</v>
      </c>
      <c r="G320" s="28"/>
      <c r="H320" s="22" t="s">
        <v>349</v>
      </c>
      <c r="I320" s="45" t="s">
        <v>32</v>
      </c>
      <c r="J320" s="32" t="s">
        <v>418</v>
      </c>
      <c r="K320" s="154">
        <v>278.89999999999998</v>
      </c>
      <c r="L320" s="154">
        <v>278.89999999999998</v>
      </c>
    </row>
    <row r="321" spans="2:12" ht="15" customHeight="1" x14ac:dyDescent="0.25">
      <c r="B321" s="89" t="s">
        <v>14</v>
      </c>
      <c r="C321" s="104" t="s">
        <v>411</v>
      </c>
      <c r="D321" s="90" t="s">
        <v>412</v>
      </c>
      <c r="E321" s="116" t="str">
        <f t="shared" si="4"/>
        <v>Essencial Deo Parfum Estilo Masculino 100ml Frasco</v>
      </c>
      <c r="F321" s="4" t="s">
        <v>419</v>
      </c>
      <c r="G321" s="28"/>
      <c r="H321" s="22" t="s">
        <v>349</v>
      </c>
      <c r="I321" s="53" t="s">
        <v>32</v>
      </c>
      <c r="J321" s="33" t="s">
        <v>420</v>
      </c>
      <c r="K321" s="166">
        <v>278.89999999999998</v>
      </c>
      <c r="L321" s="166">
        <v>278.89999999999998</v>
      </c>
    </row>
    <row r="322" spans="2:12" ht="15" customHeight="1" x14ac:dyDescent="0.25">
      <c r="B322" s="89" t="s">
        <v>14</v>
      </c>
      <c r="C322" s="104" t="s">
        <v>411</v>
      </c>
      <c r="D322" s="90" t="s">
        <v>412</v>
      </c>
      <c r="E322" s="116" t="str">
        <f t="shared" si="4"/>
        <v>Essencial Deo Parfum Elixir Masculino 100ml Frasco</v>
      </c>
      <c r="F322" s="4" t="s">
        <v>421</v>
      </c>
      <c r="G322" s="28"/>
      <c r="H322" s="22" t="s">
        <v>349</v>
      </c>
      <c r="I322" s="53" t="s">
        <v>32</v>
      </c>
      <c r="J322" s="34" t="s">
        <v>422</v>
      </c>
      <c r="K322" s="166">
        <v>278.89999999999998</v>
      </c>
      <c r="L322" s="166">
        <v>278.89999999999998</v>
      </c>
    </row>
    <row r="323" spans="2:12" ht="15" customHeight="1" x14ac:dyDescent="0.25">
      <c r="B323" s="89" t="s">
        <v>14</v>
      </c>
      <c r="C323" s="104" t="s">
        <v>411</v>
      </c>
      <c r="D323" s="90" t="s">
        <v>412</v>
      </c>
      <c r="E323" s="116" t="str">
        <f t="shared" ref="E323:E386" si="5">TRIM(CONCATENATE(C323, " ", D323, " ", F323, " ", IF(G323&gt;0, G323 &amp; "x" &amp; H323, H323), " ", I323))</f>
        <v>Essencial Deo Parfum Exclusivo Masculino 100ml Frasco</v>
      </c>
      <c r="F323" s="4" t="s">
        <v>423</v>
      </c>
      <c r="G323" s="28"/>
      <c r="H323" s="22" t="s">
        <v>349</v>
      </c>
      <c r="I323" s="53" t="s">
        <v>32</v>
      </c>
      <c r="J323" s="35" t="s">
        <v>424</v>
      </c>
      <c r="K323" s="166">
        <v>278.89999999999998</v>
      </c>
      <c r="L323" s="166">
        <v>278.89999999999998</v>
      </c>
    </row>
    <row r="324" spans="2:12" ht="15" customHeight="1" x14ac:dyDescent="0.25">
      <c r="B324" s="89" t="s">
        <v>14</v>
      </c>
      <c r="C324" s="104" t="s">
        <v>411</v>
      </c>
      <c r="D324" s="90" t="s">
        <v>412</v>
      </c>
      <c r="E324" s="116" t="str">
        <f t="shared" si="5"/>
        <v>Essencial Deo Parfum Intenso Masculino 100ml Frasco</v>
      </c>
      <c r="F324" s="4" t="s">
        <v>425</v>
      </c>
      <c r="G324" s="28"/>
      <c r="H324" s="22" t="s">
        <v>349</v>
      </c>
      <c r="I324" s="53" t="s">
        <v>32</v>
      </c>
      <c r="J324" s="37" t="s">
        <v>426</v>
      </c>
      <c r="K324" s="166">
        <v>278.89999999999998</v>
      </c>
      <c r="L324" s="166">
        <v>278.89999999999998</v>
      </c>
    </row>
    <row r="325" spans="2:12" ht="15" customHeight="1" x14ac:dyDescent="0.25">
      <c r="B325" s="89" t="s">
        <v>14</v>
      </c>
      <c r="C325" s="104" t="s">
        <v>411</v>
      </c>
      <c r="D325" s="90" t="s">
        <v>412</v>
      </c>
      <c r="E325" s="116" t="str">
        <f t="shared" si="5"/>
        <v>Essencial Deo Parfum Mirra Masculino 100ml Frasco</v>
      </c>
      <c r="F325" s="4" t="s">
        <v>427</v>
      </c>
      <c r="G325" s="28"/>
      <c r="H325" s="22" t="s">
        <v>349</v>
      </c>
      <c r="I325" s="53" t="s">
        <v>32</v>
      </c>
      <c r="J325" s="35" t="s">
        <v>428</v>
      </c>
      <c r="K325" s="166">
        <v>278.89999999999998</v>
      </c>
      <c r="L325" s="166">
        <v>278.89999999999998</v>
      </c>
    </row>
    <row r="326" spans="2:12" ht="15" customHeight="1" x14ac:dyDescent="0.25">
      <c r="B326" s="89" t="s">
        <v>14</v>
      </c>
      <c r="C326" s="104" t="s">
        <v>411</v>
      </c>
      <c r="D326" s="90" t="s">
        <v>412</v>
      </c>
      <c r="E326" s="116" t="str">
        <f t="shared" si="5"/>
        <v>Essencial Deo Parfum Oud Masculino 100ml Frasco</v>
      </c>
      <c r="F326" s="4" t="s">
        <v>429</v>
      </c>
      <c r="G326" s="28"/>
      <c r="H326" s="22" t="s">
        <v>349</v>
      </c>
      <c r="I326" s="53" t="s">
        <v>32</v>
      </c>
      <c r="J326" s="33" t="s">
        <v>430</v>
      </c>
      <c r="K326" s="166">
        <v>278.89999999999998</v>
      </c>
      <c r="L326" s="166">
        <v>278.89999999999998</v>
      </c>
    </row>
    <row r="327" spans="2:12" ht="15" customHeight="1" x14ac:dyDescent="0.25">
      <c r="B327" s="89" t="s">
        <v>14</v>
      </c>
      <c r="C327" s="104" t="s">
        <v>411</v>
      </c>
      <c r="D327" s="90" t="s">
        <v>412</v>
      </c>
      <c r="E327" s="116" t="str">
        <f t="shared" si="5"/>
        <v>Essencial Deo Parfum Old Vanilla Masculino 100ml Frasco</v>
      </c>
      <c r="F327" s="4" t="s">
        <v>431</v>
      </c>
      <c r="G327" s="28"/>
      <c r="H327" s="22" t="s">
        <v>349</v>
      </c>
      <c r="I327" s="45" t="s">
        <v>32</v>
      </c>
      <c r="J327" s="36" t="s">
        <v>432</v>
      </c>
      <c r="K327" s="154">
        <v>278.89999999999998</v>
      </c>
      <c r="L327" s="154">
        <v>278.89999999999998</v>
      </c>
    </row>
    <row r="328" spans="2:12" ht="15" customHeight="1" x14ac:dyDescent="0.25">
      <c r="B328" s="89" t="s">
        <v>14</v>
      </c>
      <c r="C328" s="104" t="s">
        <v>411</v>
      </c>
      <c r="D328" s="90" t="s">
        <v>412</v>
      </c>
      <c r="E328" s="116" t="str">
        <f t="shared" si="5"/>
        <v>Essencial Deo Parfum Old Pimenta Masculino 100ml Frasco</v>
      </c>
      <c r="F328" s="26" t="s">
        <v>433</v>
      </c>
      <c r="G328" s="28"/>
      <c r="H328" s="22" t="s">
        <v>349</v>
      </c>
      <c r="I328" s="45" t="s">
        <v>32</v>
      </c>
      <c r="J328" s="38" t="s">
        <v>434</v>
      </c>
      <c r="K328" s="154">
        <v>278.89999999999998</v>
      </c>
      <c r="L328" s="154">
        <v>278.89999999999998</v>
      </c>
    </row>
    <row r="329" spans="2:12" ht="15" customHeight="1" x14ac:dyDescent="0.25">
      <c r="B329" s="89" t="s">
        <v>14</v>
      </c>
      <c r="C329" s="104" t="s">
        <v>411</v>
      </c>
      <c r="D329" s="90" t="s">
        <v>412</v>
      </c>
      <c r="E329" s="116" t="str">
        <f t="shared" si="5"/>
        <v>Essencial Deo Parfum Palo Santo Masculino 100ml Frasco</v>
      </c>
      <c r="F329" s="4" t="s">
        <v>435</v>
      </c>
      <c r="G329" s="28"/>
      <c r="H329" s="22" t="s">
        <v>349</v>
      </c>
      <c r="I329" s="45" t="s">
        <v>32</v>
      </c>
      <c r="J329" s="38" t="s">
        <v>436</v>
      </c>
      <c r="K329" s="154">
        <v>278.89999999999998</v>
      </c>
      <c r="L329" s="154">
        <v>278.89999999999998</v>
      </c>
    </row>
    <row r="330" spans="2:12" ht="15" customHeight="1" x14ac:dyDescent="0.25">
      <c r="B330" s="89" t="s">
        <v>14</v>
      </c>
      <c r="C330" s="104" t="s">
        <v>411</v>
      </c>
      <c r="D330" s="90" t="s">
        <v>412</v>
      </c>
      <c r="E330" s="116" t="str">
        <f t="shared" si="5"/>
        <v>Essencial Deo Parfum Supreme Masculino 100ml Frasco</v>
      </c>
      <c r="F330" s="4" t="s">
        <v>437</v>
      </c>
      <c r="G330" s="28"/>
      <c r="H330" s="22" t="s">
        <v>349</v>
      </c>
      <c r="I330" s="45" t="s">
        <v>32</v>
      </c>
      <c r="J330" s="32" t="s">
        <v>438</v>
      </c>
      <c r="K330" s="154">
        <v>278.89999999999998</v>
      </c>
      <c r="L330" s="154">
        <v>278.89999999999998</v>
      </c>
    </row>
    <row r="331" spans="2:12" ht="15" customHeight="1" x14ac:dyDescent="0.25">
      <c r="B331" s="89" t="s">
        <v>14</v>
      </c>
      <c r="C331" s="104" t="s">
        <v>411</v>
      </c>
      <c r="D331" s="90" t="s">
        <v>412</v>
      </c>
      <c r="E331" s="116" t="str">
        <f t="shared" si="5"/>
        <v>Essencial Deo Parfum Sentir Masculino 100ml Frasco</v>
      </c>
      <c r="F331" s="4" t="s">
        <v>439</v>
      </c>
      <c r="G331" s="28"/>
      <c r="H331" s="22" t="s">
        <v>349</v>
      </c>
      <c r="I331" s="45" t="s">
        <v>32</v>
      </c>
      <c r="J331" s="38" t="s">
        <v>440</v>
      </c>
      <c r="K331" s="154">
        <v>278.89999999999998</v>
      </c>
      <c r="L331" s="154">
        <v>278.89999999999998</v>
      </c>
    </row>
    <row r="332" spans="2:12" ht="15" customHeight="1" x14ac:dyDescent="0.25">
      <c r="B332" s="89" t="s">
        <v>14</v>
      </c>
      <c r="C332" s="104" t="s">
        <v>411</v>
      </c>
      <c r="D332" s="90" t="s">
        <v>412</v>
      </c>
      <c r="E332" s="116" t="str">
        <f t="shared" si="5"/>
        <v>Essencial Deo Parfum Único Masculino 100ml Frasco</v>
      </c>
      <c r="F332" s="4" t="s">
        <v>441</v>
      </c>
      <c r="G332" s="28"/>
      <c r="H332" s="22" t="s">
        <v>349</v>
      </c>
      <c r="I332" s="45" t="s">
        <v>32</v>
      </c>
      <c r="J332" s="32" t="s">
        <v>442</v>
      </c>
      <c r="K332" s="154">
        <v>278.89999999999998</v>
      </c>
      <c r="L332" s="154">
        <v>278.89999999999998</v>
      </c>
    </row>
    <row r="333" spans="2:12" ht="15" customHeight="1" x14ac:dyDescent="0.25">
      <c r="B333" s="89" t="s">
        <v>14</v>
      </c>
      <c r="C333" s="104" t="s">
        <v>411</v>
      </c>
      <c r="D333" s="90" t="s">
        <v>412</v>
      </c>
      <c r="E333" s="116" t="str">
        <f t="shared" si="5"/>
        <v>Essencial Deo Parfum Atraí Masculino 100ml Refil</v>
      </c>
      <c r="F333" s="4" t="s">
        <v>413</v>
      </c>
      <c r="G333" s="28"/>
      <c r="H333" s="22" t="s">
        <v>349</v>
      </c>
      <c r="I333" s="45" t="s">
        <v>183</v>
      </c>
      <c r="J333" s="13" t="s">
        <v>443</v>
      </c>
      <c r="K333" s="154">
        <v>213.9</v>
      </c>
      <c r="L333" s="154">
        <v>213.9</v>
      </c>
    </row>
    <row r="334" spans="2:12" ht="15" customHeight="1" x14ac:dyDescent="0.25">
      <c r="B334" s="89" t="s">
        <v>14</v>
      </c>
      <c r="C334" s="104" t="s">
        <v>411</v>
      </c>
      <c r="D334" s="90" t="s">
        <v>412</v>
      </c>
      <c r="E334" s="116" t="str">
        <f t="shared" si="5"/>
        <v>Essencial Deo Parfum Atô Masculino 100ml Refil</v>
      </c>
      <c r="F334" s="4" t="s">
        <v>415</v>
      </c>
      <c r="G334" s="28"/>
      <c r="H334" s="22" t="s">
        <v>349</v>
      </c>
      <c r="I334" s="45" t="s">
        <v>183</v>
      </c>
      <c r="J334" s="13" t="s">
        <v>416</v>
      </c>
      <c r="K334" s="154">
        <v>213.9</v>
      </c>
      <c r="L334" s="154">
        <v>213.9</v>
      </c>
    </row>
    <row r="335" spans="2:12" ht="15" customHeight="1" x14ac:dyDescent="0.25">
      <c r="B335" s="89" t="s">
        <v>14</v>
      </c>
      <c r="C335" s="104" t="s">
        <v>411</v>
      </c>
      <c r="D335" s="90" t="s">
        <v>412</v>
      </c>
      <c r="E335" s="116" t="str">
        <f t="shared" si="5"/>
        <v>Essencial Deo Parfum Masculino 100ml Refil</v>
      </c>
      <c r="F335" s="4" t="s">
        <v>417</v>
      </c>
      <c r="G335" s="28"/>
      <c r="H335" s="22" t="s">
        <v>349</v>
      </c>
      <c r="I335" s="45" t="s">
        <v>183</v>
      </c>
      <c r="J335" s="32" t="s">
        <v>418</v>
      </c>
      <c r="K335" s="154">
        <v>213.9</v>
      </c>
      <c r="L335" s="154">
        <v>213.9</v>
      </c>
    </row>
    <row r="336" spans="2:12" ht="15" customHeight="1" x14ac:dyDescent="0.25">
      <c r="B336" s="89" t="s">
        <v>14</v>
      </c>
      <c r="C336" s="104" t="s">
        <v>411</v>
      </c>
      <c r="D336" s="90" t="s">
        <v>412</v>
      </c>
      <c r="E336" s="116" t="str">
        <f t="shared" si="5"/>
        <v>Essencial Deo Parfum Estilo Masculino 100ml Refil</v>
      </c>
      <c r="F336" s="4" t="s">
        <v>419</v>
      </c>
      <c r="G336" s="28"/>
      <c r="H336" s="22" t="s">
        <v>349</v>
      </c>
      <c r="I336" s="45" t="s">
        <v>183</v>
      </c>
      <c r="J336" s="33" t="s">
        <v>420</v>
      </c>
      <c r="K336" s="154">
        <v>213.9</v>
      </c>
      <c r="L336" s="154">
        <v>213.9</v>
      </c>
    </row>
    <row r="337" spans="2:12" ht="15" customHeight="1" x14ac:dyDescent="0.25">
      <c r="B337" s="89" t="s">
        <v>14</v>
      </c>
      <c r="C337" s="104" t="s">
        <v>411</v>
      </c>
      <c r="D337" s="90" t="s">
        <v>412</v>
      </c>
      <c r="E337" s="116" t="str">
        <f t="shared" si="5"/>
        <v>Essencial Deo Parfum Elixir Masculino 100ml Refil</v>
      </c>
      <c r="F337" s="4" t="s">
        <v>421</v>
      </c>
      <c r="G337" s="28"/>
      <c r="H337" s="22" t="s">
        <v>349</v>
      </c>
      <c r="I337" s="45" t="s">
        <v>183</v>
      </c>
      <c r="J337" s="34" t="s">
        <v>422</v>
      </c>
      <c r="K337" s="154">
        <v>213.9</v>
      </c>
      <c r="L337" s="154">
        <v>213.9</v>
      </c>
    </row>
    <row r="338" spans="2:12" ht="15" customHeight="1" x14ac:dyDescent="0.25">
      <c r="B338" s="89" t="s">
        <v>14</v>
      </c>
      <c r="C338" s="104" t="s">
        <v>411</v>
      </c>
      <c r="D338" s="90" t="s">
        <v>412</v>
      </c>
      <c r="E338" s="116" t="str">
        <f t="shared" si="5"/>
        <v>Essencial Deo Parfum Exclusivo Masculino 100ml Refil</v>
      </c>
      <c r="F338" s="4" t="s">
        <v>423</v>
      </c>
      <c r="G338" s="28"/>
      <c r="H338" s="22" t="s">
        <v>349</v>
      </c>
      <c r="I338" s="45" t="s">
        <v>183</v>
      </c>
      <c r="J338" s="35" t="s">
        <v>424</v>
      </c>
      <c r="K338" s="154">
        <v>213.9</v>
      </c>
      <c r="L338" s="154">
        <v>213.9</v>
      </c>
    </row>
    <row r="339" spans="2:12" ht="15" customHeight="1" x14ac:dyDescent="0.25">
      <c r="B339" s="89" t="s">
        <v>14</v>
      </c>
      <c r="C339" s="104" t="s">
        <v>411</v>
      </c>
      <c r="D339" s="90" t="s">
        <v>412</v>
      </c>
      <c r="E339" s="116" t="str">
        <f t="shared" si="5"/>
        <v>Essencial Deo Parfum Intenso Masculino 100ml Refil</v>
      </c>
      <c r="F339" s="4" t="s">
        <v>425</v>
      </c>
      <c r="G339" s="28"/>
      <c r="H339" s="22" t="s">
        <v>349</v>
      </c>
      <c r="I339" s="45" t="s">
        <v>183</v>
      </c>
      <c r="J339" s="37" t="s">
        <v>426</v>
      </c>
      <c r="K339" s="154">
        <v>213.9</v>
      </c>
      <c r="L339" s="154">
        <v>213.9</v>
      </c>
    </row>
    <row r="340" spans="2:12" ht="15" customHeight="1" x14ac:dyDescent="0.25">
      <c r="B340" s="89" t="s">
        <v>14</v>
      </c>
      <c r="C340" s="104" t="s">
        <v>411</v>
      </c>
      <c r="D340" s="90" t="s">
        <v>412</v>
      </c>
      <c r="E340" s="116" t="str">
        <f t="shared" si="5"/>
        <v>Essencial Deo Parfum Mirra Masculino 100ml Refil</v>
      </c>
      <c r="F340" s="4" t="s">
        <v>427</v>
      </c>
      <c r="G340" s="28"/>
      <c r="H340" s="22" t="s">
        <v>349</v>
      </c>
      <c r="I340" s="45" t="s">
        <v>183</v>
      </c>
      <c r="J340" s="35" t="s">
        <v>428</v>
      </c>
      <c r="K340" s="154">
        <v>213.9</v>
      </c>
      <c r="L340" s="154">
        <v>213.9</v>
      </c>
    </row>
    <row r="341" spans="2:12" ht="15" customHeight="1" x14ac:dyDescent="0.25">
      <c r="B341" s="89" t="s">
        <v>14</v>
      </c>
      <c r="C341" s="104" t="s">
        <v>411</v>
      </c>
      <c r="D341" s="90" t="s">
        <v>412</v>
      </c>
      <c r="E341" s="116" t="str">
        <f t="shared" si="5"/>
        <v>Essencial Deo Parfum Oud Masculino 100ml Refil</v>
      </c>
      <c r="F341" s="4" t="s">
        <v>429</v>
      </c>
      <c r="G341" s="28"/>
      <c r="H341" s="22" t="s">
        <v>349</v>
      </c>
      <c r="I341" s="45" t="s">
        <v>183</v>
      </c>
      <c r="J341" s="33" t="s">
        <v>430</v>
      </c>
      <c r="K341" s="154">
        <v>213.9</v>
      </c>
      <c r="L341" s="154">
        <v>213.9</v>
      </c>
    </row>
    <row r="342" spans="2:12" ht="15" customHeight="1" x14ac:dyDescent="0.25">
      <c r="B342" s="89" t="s">
        <v>14</v>
      </c>
      <c r="C342" s="104" t="s">
        <v>411</v>
      </c>
      <c r="D342" s="90" t="s">
        <v>412</v>
      </c>
      <c r="E342" s="116" t="str">
        <f t="shared" si="5"/>
        <v>Essencial Deo Parfum Old Vanilla Masculino 100ml Refil</v>
      </c>
      <c r="F342" s="4" t="s">
        <v>431</v>
      </c>
      <c r="G342" s="28"/>
      <c r="H342" s="22" t="s">
        <v>349</v>
      </c>
      <c r="I342" s="45" t="s">
        <v>183</v>
      </c>
      <c r="J342" s="36" t="s">
        <v>432</v>
      </c>
      <c r="K342" s="154">
        <v>213.9</v>
      </c>
      <c r="L342" s="154">
        <v>213.9</v>
      </c>
    </row>
    <row r="343" spans="2:12" ht="15" customHeight="1" x14ac:dyDescent="0.25">
      <c r="B343" s="89" t="s">
        <v>14</v>
      </c>
      <c r="C343" s="104" t="s">
        <v>411</v>
      </c>
      <c r="D343" s="90" t="s">
        <v>412</v>
      </c>
      <c r="E343" s="116" t="str">
        <f t="shared" si="5"/>
        <v>Essencial Deo Parfum Old Pimenta Masculino 100ml Refil</v>
      </c>
      <c r="F343" s="26" t="s">
        <v>433</v>
      </c>
      <c r="G343" s="28"/>
      <c r="H343" s="22" t="s">
        <v>349</v>
      </c>
      <c r="I343" s="45" t="s">
        <v>183</v>
      </c>
      <c r="J343" s="38" t="s">
        <v>434</v>
      </c>
      <c r="K343" s="154">
        <v>213.9</v>
      </c>
      <c r="L343" s="154">
        <v>213.9</v>
      </c>
    </row>
    <row r="344" spans="2:12" ht="15" customHeight="1" x14ac:dyDescent="0.25">
      <c r="B344" s="89" t="s">
        <v>14</v>
      </c>
      <c r="C344" s="104" t="s">
        <v>411</v>
      </c>
      <c r="D344" s="90" t="s">
        <v>412</v>
      </c>
      <c r="E344" s="116" t="str">
        <f t="shared" si="5"/>
        <v>Essencial Deo Parfum Palo Santo Masculino 100ml Refil</v>
      </c>
      <c r="F344" s="4" t="s">
        <v>435</v>
      </c>
      <c r="G344" s="28"/>
      <c r="H344" s="22" t="s">
        <v>349</v>
      </c>
      <c r="I344" s="45" t="s">
        <v>183</v>
      </c>
      <c r="J344" s="38" t="s">
        <v>436</v>
      </c>
      <c r="K344" s="154">
        <v>213.9</v>
      </c>
      <c r="L344" s="154">
        <v>213.9</v>
      </c>
    </row>
    <row r="345" spans="2:12" ht="15" customHeight="1" x14ac:dyDescent="0.25">
      <c r="B345" s="89" t="s">
        <v>14</v>
      </c>
      <c r="C345" s="104" t="s">
        <v>411</v>
      </c>
      <c r="D345" s="90" t="s">
        <v>412</v>
      </c>
      <c r="E345" s="116" t="str">
        <f t="shared" si="5"/>
        <v>Essencial Deo Parfum Supreme Masculino 100ml Refil</v>
      </c>
      <c r="F345" s="4" t="s">
        <v>437</v>
      </c>
      <c r="G345" s="28"/>
      <c r="H345" s="22" t="s">
        <v>349</v>
      </c>
      <c r="I345" s="45" t="s">
        <v>183</v>
      </c>
      <c r="J345" s="32" t="s">
        <v>438</v>
      </c>
      <c r="K345" s="154">
        <v>213.9</v>
      </c>
      <c r="L345" s="154">
        <v>213.9</v>
      </c>
    </row>
    <row r="346" spans="2:12" ht="15" customHeight="1" x14ac:dyDescent="0.25">
      <c r="B346" s="89" t="s">
        <v>14</v>
      </c>
      <c r="C346" s="104" t="s">
        <v>411</v>
      </c>
      <c r="D346" s="90" t="s">
        <v>412</v>
      </c>
      <c r="E346" s="116" t="str">
        <f t="shared" si="5"/>
        <v>Essencial Deo Parfum Sentir Masculino 100ml Refil</v>
      </c>
      <c r="F346" s="4" t="s">
        <v>439</v>
      </c>
      <c r="G346" s="28"/>
      <c r="H346" s="22" t="s">
        <v>349</v>
      </c>
      <c r="I346" s="45" t="s">
        <v>183</v>
      </c>
      <c r="J346" s="38" t="s">
        <v>440</v>
      </c>
      <c r="K346" s="154">
        <v>213.9</v>
      </c>
      <c r="L346" s="154">
        <v>213.9</v>
      </c>
    </row>
    <row r="347" spans="2:12" ht="15" customHeight="1" x14ac:dyDescent="0.25">
      <c r="B347" s="89" t="s">
        <v>14</v>
      </c>
      <c r="C347" s="104" t="s">
        <v>411</v>
      </c>
      <c r="D347" s="90" t="s">
        <v>412</v>
      </c>
      <c r="E347" s="116" t="str">
        <f t="shared" si="5"/>
        <v>Essencial Deo Parfum Único Masculino 100ml Refil</v>
      </c>
      <c r="F347" s="4" t="s">
        <v>441</v>
      </c>
      <c r="G347" s="28"/>
      <c r="H347" s="22" t="s">
        <v>349</v>
      </c>
      <c r="I347" s="45" t="s">
        <v>183</v>
      </c>
      <c r="J347" s="32" t="s">
        <v>442</v>
      </c>
      <c r="K347" s="154">
        <v>213.9</v>
      </c>
      <c r="L347" s="154">
        <v>213.9</v>
      </c>
    </row>
    <row r="348" spans="2:12" ht="15" customHeight="1" x14ac:dyDescent="0.25">
      <c r="B348" s="89" t="s">
        <v>14</v>
      </c>
      <c r="C348" s="104" t="s">
        <v>411</v>
      </c>
      <c r="D348" s="90" t="s">
        <v>412</v>
      </c>
      <c r="E348" s="116" t="str">
        <f t="shared" si="5"/>
        <v>Essencial Deo Parfum Atrai Feminino 100ml Frasco</v>
      </c>
      <c r="F348" s="4" t="s">
        <v>444</v>
      </c>
      <c r="G348" s="28"/>
      <c r="H348" s="22" t="s">
        <v>349</v>
      </c>
      <c r="I348" s="45" t="s">
        <v>32</v>
      </c>
      <c r="J348" s="21" t="s">
        <v>445</v>
      </c>
      <c r="K348" s="154">
        <v>279.89999999999998</v>
      </c>
      <c r="L348" s="154">
        <v>279.89999999999998</v>
      </c>
    </row>
    <row r="349" spans="2:12" ht="15" customHeight="1" x14ac:dyDescent="0.25">
      <c r="B349" s="89" t="s">
        <v>14</v>
      </c>
      <c r="C349" s="104" t="s">
        <v>411</v>
      </c>
      <c r="D349" s="90" t="s">
        <v>412</v>
      </c>
      <c r="E349" s="116" t="str">
        <f t="shared" si="5"/>
        <v>Essencial Deo Parfum Atô Feminino 100ml Frasco</v>
      </c>
      <c r="F349" s="4" t="s">
        <v>446</v>
      </c>
      <c r="G349" s="28"/>
      <c r="H349" s="22" t="s">
        <v>349</v>
      </c>
      <c r="I349" s="45" t="s">
        <v>32</v>
      </c>
      <c r="J349" s="13" t="s">
        <v>447</v>
      </c>
      <c r="K349" s="154">
        <v>279.89999999999998</v>
      </c>
      <c r="L349" s="154">
        <v>279.89999999999998</v>
      </c>
    </row>
    <row r="350" spans="2:12" ht="15" customHeight="1" x14ac:dyDescent="0.25">
      <c r="B350" s="89" t="s">
        <v>14</v>
      </c>
      <c r="C350" s="104" t="s">
        <v>411</v>
      </c>
      <c r="D350" s="90" t="s">
        <v>412</v>
      </c>
      <c r="E350" s="116" t="str">
        <f t="shared" si="5"/>
        <v>Essencial Deo Parfum Feminino 100ml Frasco</v>
      </c>
      <c r="F350" s="4" t="s">
        <v>448</v>
      </c>
      <c r="G350" s="28"/>
      <c r="H350" s="22" t="s">
        <v>349</v>
      </c>
      <c r="I350" s="45" t="s">
        <v>32</v>
      </c>
      <c r="J350" s="13" t="s">
        <v>449</v>
      </c>
      <c r="K350" s="154">
        <v>279.89999999999998</v>
      </c>
      <c r="L350" s="154">
        <v>279.89999999999998</v>
      </c>
    </row>
    <row r="351" spans="2:12" ht="15" customHeight="1" x14ac:dyDescent="0.25">
      <c r="B351" s="89" t="s">
        <v>14</v>
      </c>
      <c r="C351" s="104" t="s">
        <v>411</v>
      </c>
      <c r="D351" s="90" t="s">
        <v>412</v>
      </c>
      <c r="E351" s="116" t="str">
        <f t="shared" si="5"/>
        <v>Essencial Deo Parfum Estilo Feminino 100ml Frasco</v>
      </c>
      <c r="F351" s="4" t="s">
        <v>450</v>
      </c>
      <c r="G351" s="28"/>
      <c r="H351" s="22" t="s">
        <v>349</v>
      </c>
      <c r="I351" s="45" t="s">
        <v>32</v>
      </c>
      <c r="J351" s="13" t="s">
        <v>451</v>
      </c>
      <c r="K351" s="154">
        <v>279.89999999999998</v>
      </c>
      <c r="L351" s="154">
        <v>279.89999999999998</v>
      </c>
    </row>
    <row r="352" spans="2:12" ht="15" customHeight="1" x14ac:dyDescent="0.25">
      <c r="B352" s="89" t="s">
        <v>14</v>
      </c>
      <c r="C352" s="104" t="s">
        <v>411</v>
      </c>
      <c r="D352" s="90" t="s">
        <v>412</v>
      </c>
      <c r="E352" s="116" t="str">
        <f t="shared" si="5"/>
        <v>Essencial Deo Parfum Elixir Feminino 100ml Frasco</v>
      </c>
      <c r="F352" s="4" t="s">
        <v>452</v>
      </c>
      <c r="G352" s="28"/>
      <c r="H352" s="22" t="s">
        <v>349</v>
      </c>
      <c r="I352" s="45" t="s">
        <v>32</v>
      </c>
      <c r="J352" s="13" t="s">
        <v>453</v>
      </c>
      <c r="K352" s="154">
        <v>279.89999999999998</v>
      </c>
      <c r="L352" s="154">
        <v>279.89999999999998</v>
      </c>
    </row>
    <row r="353" spans="2:12" ht="15" customHeight="1" x14ac:dyDescent="0.25">
      <c r="B353" s="89" t="s">
        <v>14</v>
      </c>
      <c r="C353" s="104" t="s">
        <v>411</v>
      </c>
      <c r="D353" s="90" t="s">
        <v>412</v>
      </c>
      <c r="E353" s="116" t="str">
        <f t="shared" si="5"/>
        <v>Essencial Deo Parfum Exclusivo Feminino 100ml Frasco</v>
      </c>
      <c r="F353" s="4" t="s">
        <v>454</v>
      </c>
      <c r="G353" s="28"/>
      <c r="H353" s="22" t="s">
        <v>349</v>
      </c>
      <c r="I353" s="45" t="s">
        <v>32</v>
      </c>
      <c r="J353" s="13" t="s">
        <v>455</v>
      </c>
      <c r="K353" s="154">
        <v>279.89999999999998</v>
      </c>
      <c r="L353" s="154">
        <v>279.89999999999998</v>
      </c>
    </row>
    <row r="354" spans="2:12" ht="15" customHeight="1" x14ac:dyDescent="0.25">
      <c r="B354" s="89" t="s">
        <v>14</v>
      </c>
      <c r="C354" s="104" t="s">
        <v>411</v>
      </c>
      <c r="D354" s="90" t="s">
        <v>412</v>
      </c>
      <c r="E354" s="116" t="str">
        <f t="shared" si="5"/>
        <v>Essencial Deo Parfum Exclusivo Floral Feminino 100ml Frasco</v>
      </c>
      <c r="F354" s="4" t="s">
        <v>456</v>
      </c>
      <c r="G354" s="28"/>
      <c r="H354" s="22" t="s">
        <v>349</v>
      </c>
      <c r="I354" s="45" t="s">
        <v>32</v>
      </c>
      <c r="J354" s="13" t="s">
        <v>457</v>
      </c>
      <c r="K354" s="154">
        <v>279.89999999999998</v>
      </c>
      <c r="L354" s="154">
        <v>279.89999999999998</v>
      </c>
    </row>
    <row r="355" spans="2:12" ht="15" customHeight="1" x14ac:dyDescent="0.25">
      <c r="B355" s="89" t="s">
        <v>14</v>
      </c>
      <c r="C355" s="104" t="s">
        <v>411</v>
      </c>
      <c r="D355" s="90" t="s">
        <v>412</v>
      </c>
      <c r="E355" s="116" t="str">
        <f t="shared" si="5"/>
        <v>Essencial Deo Parfum Mirra Feminino 100ml Frasco</v>
      </c>
      <c r="F355" s="4" t="s">
        <v>458</v>
      </c>
      <c r="G355" s="28"/>
      <c r="H355" s="22" t="s">
        <v>349</v>
      </c>
      <c r="I355" s="45" t="s">
        <v>32</v>
      </c>
      <c r="J355" s="13" t="s">
        <v>459</v>
      </c>
      <c r="K355" s="154">
        <v>279.89999999999998</v>
      </c>
      <c r="L355" s="154">
        <v>279.89999999999998</v>
      </c>
    </row>
    <row r="356" spans="2:12" ht="15" customHeight="1" x14ac:dyDescent="0.25">
      <c r="B356" s="89" t="s">
        <v>14</v>
      </c>
      <c r="C356" s="104" t="s">
        <v>411</v>
      </c>
      <c r="D356" s="90" t="s">
        <v>412</v>
      </c>
      <c r="E356" s="116" t="str">
        <f t="shared" si="5"/>
        <v>Essencial Deo Parfum Oud Feminino 100ml Frasco</v>
      </c>
      <c r="F356" s="4" t="s">
        <v>460</v>
      </c>
      <c r="G356" s="28"/>
      <c r="H356" s="22" t="s">
        <v>349</v>
      </c>
      <c r="I356" s="45" t="s">
        <v>32</v>
      </c>
      <c r="J356" s="13" t="s">
        <v>461</v>
      </c>
      <c r="K356" s="154">
        <v>279.89999999999998</v>
      </c>
      <c r="L356" s="154">
        <v>279.89999999999998</v>
      </c>
    </row>
    <row r="357" spans="2:12" ht="15" customHeight="1" x14ac:dyDescent="0.25">
      <c r="B357" s="89" t="s">
        <v>14</v>
      </c>
      <c r="C357" s="104" t="s">
        <v>411</v>
      </c>
      <c r="D357" s="90" t="s">
        <v>412</v>
      </c>
      <c r="E357" s="116" t="str">
        <f t="shared" si="5"/>
        <v>Essencial Deo Parfum Old Vanilla Feminino 100ml Frasco</v>
      </c>
      <c r="F357" s="4" t="s">
        <v>462</v>
      </c>
      <c r="G357" s="28"/>
      <c r="H357" s="22" t="s">
        <v>349</v>
      </c>
      <c r="I357" s="45" t="s">
        <v>32</v>
      </c>
      <c r="J357" s="13" t="s">
        <v>463</v>
      </c>
      <c r="K357" s="154">
        <v>279.89999999999998</v>
      </c>
      <c r="L357" s="154">
        <v>279.89999999999998</v>
      </c>
    </row>
    <row r="358" spans="2:12" ht="15" customHeight="1" x14ac:dyDescent="0.25">
      <c r="B358" s="89" t="s">
        <v>14</v>
      </c>
      <c r="C358" s="104" t="s">
        <v>411</v>
      </c>
      <c r="D358" s="90" t="s">
        <v>412</v>
      </c>
      <c r="E358" s="116" t="str">
        <f t="shared" si="5"/>
        <v>Essencial Deo Parfum Old Pimenta Feminino 100ml Frasco</v>
      </c>
      <c r="F358" s="26" t="s">
        <v>464</v>
      </c>
      <c r="G358" s="28"/>
      <c r="H358" s="22" t="s">
        <v>349</v>
      </c>
      <c r="I358" s="45" t="s">
        <v>32</v>
      </c>
      <c r="J358" s="13" t="s">
        <v>465</v>
      </c>
      <c r="K358" s="154">
        <v>279.89999999999998</v>
      </c>
      <c r="L358" s="154">
        <v>279.89999999999998</v>
      </c>
    </row>
    <row r="359" spans="2:12" ht="15" customHeight="1" x14ac:dyDescent="0.25">
      <c r="B359" s="89" t="s">
        <v>14</v>
      </c>
      <c r="C359" s="104" t="s">
        <v>411</v>
      </c>
      <c r="D359" s="90" t="s">
        <v>412</v>
      </c>
      <c r="E359" s="116" t="str">
        <f t="shared" si="5"/>
        <v>Essencial Deo Parfum Palo Santo Feminino 100ml Frasco</v>
      </c>
      <c r="F359" s="4" t="s">
        <v>466</v>
      </c>
      <c r="G359" s="28"/>
      <c r="H359" s="22" t="s">
        <v>349</v>
      </c>
      <c r="I359" s="45" t="s">
        <v>32</v>
      </c>
      <c r="J359" s="13" t="s">
        <v>467</v>
      </c>
      <c r="K359" s="154">
        <v>279.89999999999998</v>
      </c>
      <c r="L359" s="154">
        <v>279.89999999999998</v>
      </c>
    </row>
    <row r="360" spans="2:12" ht="15" customHeight="1" x14ac:dyDescent="0.25">
      <c r="B360" s="89" t="s">
        <v>14</v>
      </c>
      <c r="C360" s="104" t="s">
        <v>411</v>
      </c>
      <c r="D360" s="90" t="s">
        <v>412</v>
      </c>
      <c r="E360" s="116" t="str">
        <f t="shared" si="5"/>
        <v>Essencial Deo Parfum Supreme Feminino 100ml Frasco</v>
      </c>
      <c r="F360" s="21" t="s">
        <v>468</v>
      </c>
      <c r="G360" s="28"/>
      <c r="H360" s="22" t="s">
        <v>349</v>
      </c>
      <c r="I360" s="45" t="s">
        <v>32</v>
      </c>
      <c r="J360" s="13" t="s">
        <v>469</v>
      </c>
      <c r="K360" s="154">
        <v>279.89999999999998</v>
      </c>
      <c r="L360" s="154">
        <v>279.89999999999998</v>
      </c>
    </row>
    <row r="361" spans="2:12" ht="15" customHeight="1" x14ac:dyDescent="0.25">
      <c r="B361" s="89" t="s">
        <v>14</v>
      </c>
      <c r="C361" s="104" t="s">
        <v>411</v>
      </c>
      <c r="D361" s="90" t="s">
        <v>412</v>
      </c>
      <c r="E361" s="116" t="str">
        <f t="shared" si="5"/>
        <v>Essencial Deo Parfum Sentir Feminino 100ml Frasco</v>
      </c>
      <c r="F361" s="4" t="s">
        <v>470</v>
      </c>
      <c r="G361" s="28"/>
      <c r="H361" s="22" t="s">
        <v>349</v>
      </c>
      <c r="I361" s="45" t="s">
        <v>32</v>
      </c>
      <c r="J361" s="13" t="s">
        <v>471</v>
      </c>
      <c r="K361" s="154">
        <v>279.89999999999998</v>
      </c>
      <c r="L361" s="154">
        <v>279.89999999999998</v>
      </c>
    </row>
    <row r="362" spans="2:12" ht="15" customHeight="1" x14ac:dyDescent="0.25">
      <c r="B362" s="89" t="s">
        <v>14</v>
      </c>
      <c r="C362" s="104" t="s">
        <v>411</v>
      </c>
      <c r="D362" s="90" t="s">
        <v>412</v>
      </c>
      <c r="E362" s="116" t="str">
        <f t="shared" si="5"/>
        <v>Essencial Deo Parfum Único Feminino 100ml Frasco</v>
      </c>
      <c r="F362" s="4" t="s">
        <v>472</v>
      </c>
      <c r="G362" s="28"/>
      <c r="H362" s="22" t="s">
        <v>349</v>
      </c>
      <c r="I362" s="45" t="s">
        <v>32</v>
      </c>
      <c r="J362" s="13" t="s">
        <v>473</v>
      </c>
      <c r="K362" s="154">
        <v>279.89999999999998</v>
      </c>
      <c r="L362" s="154">
        <v>279.89999999999998</v>
      </c>
    </row>
    <row r="363" spans="2:12" ht="15" customHeight="1" x14ac:dyDescent="0.25">
      <c r="B363" s="89" t="s">
        <v>14</v>
      </c>
      <c r="C363" s="104" t="s">
        <v>411</v>
      </c>
      <c r="D363" s="90" t="s">
        <v>412</v>
      </c>
      <c r="E363" s="116" t="str">
        <f t="shared" si="5"/>
        <v>Essencial Deo Parfum Atrai Feminino 100ml Refil</v>
      </c>
      <c r="F363" s="4" t="s">
        <v>444</v>
      </c>
      <c r="G363" s="28"/>
      <c r="H363" s="22" t="s">
        <v>349</v>
      </c>
      <c r="I363" s="45" t="s">
        <v>183</v>
      </c>
      <c r="J363" s="21" t="s">
        <v>445</v>
      </c>
      <c r="K363" s="154">
        <v>213.9</v>
      </c>
      <c r="L363" s="154">
        <v>213.9</v>
      </c>
    </row>
    <row r="364" spans="2:12" ht="15" customHeight="1" x14ac:dyDescent="0.25">
      <c r="B364" s="89" t="s">
        <v>14</v>
      </c>
      <c r="C364" s="104" t="s">
        <v>411</v>
      </c>
      <c r="D364" s="90" t="s">
        <v>412</v>
      </c>
      <c r="E364" s="116" t="str">
        <f t="shared" si="5"/>
        <v>Essencial Deo Parfum Atô Feminino 100ml Refil</v>
      </c>
      <c r="F364" s="4" t="s">
        <v>446</v>
      </c>
      <c r="G364" s="28"/>
      <c r="H364" s="22" t="s">
        <v>349</v>
      </c>
      <c r="I364" s="45" t="s">
        <v>183</v>
      </c>
      <c r="J364" s="13" t="s">
        <v>447</v>
      </c>
      <c r="K364" s="154">
        <v>213.9</v>
      </c>
      <c r="L364" s="154">
        <v>213.9</v>
      </c>
    </row>
    <row r="365" spans="2:12" ht="15" customHeight="1" x14ac:dyDescent="0.25">
      <c r="B365" s="89" t="s">
        <v>14</v>
      </c>
      <c r="C365" s="104" t="s">
        <v>411</v>
      </c>
      <c r="D365" s="90" t="s">
        <v>412</v>
      </c>
      <c r="E365" s="116" t="str">
        <f t="shared" si="5"/>
        <v>Essencial Deo Parfum Feminino 100ml Refil</v>
      </c>
      <c r="F365" s="4" t="s">
        <v>448</v>
      </c>
      <c r="G365" s="28"/>
      <c r="H365" s="22" t="s">
        <v>349</v>
      </c>
      <c r="I365" s="45" t="s">
        <v>183</v>
      </c>
      <c r="J365" s="13" t="s">
        <v>449</v>
      </c>
      <c r="K365" s="154">
        <v>213.9</v>
      </c>
      <c r="L365" s="154">
        <v>213.9</v>
      </c>
    </row>
    <row r="366" spans="2:12" ht="15" customHeight="1" x14ac:dyDescent="0.25">
      <c r="B366" s="89" t="s">
        <v>14</v>
      </c>
      <c r="C366" s="104" t="s">
        <v>411</v>
      </c>
      <c r="D366" s="90" t="s">
        <v>412</v>
      </c>
      <c r="E366" s="116" t="str">
        <f t="shared" si="5"/>
        <v>Essencial Deo Parfum Estilo Feminino 100ml Refil</v>
      </c>
      <c r="F366" s="4" t="s">
        <v>450</v>
      </c>
      <c r="G366" s="28"/>
      <c r="H366" s="22" t="s">
        <v>349</v>
      </c>
      <c r="I366" s="45" t="s">
        <v>183</v>
      </c>
      <c r="J366" s="13" t="s">
        <v>451</v>
      </c>
      <c r="K366" s="154">
        <v>213.9</v>
      </c>
      <c r="L366" s="154">
        <v>213.9</v>
      </c>
    </row>
    <row r="367" spans="2:12" ht="15" customHeight="1" x14ac:dyDescent="0.25">
      <c r="B367" s="89" t="s">
        <v>14</v>
      </c>
      <c r="C367" s="104" t="s">
        <v>411</v>
      </c>
      <c r="D367" s="90" t="s">
        <v>412</v>
      </c>
      <c r="E367" s="116" t="str">
        <f t="shared" si="5"/>
        <v>Essencial Deo Parfum Elixir Feminino 100ml Refil</v>
      </c>
      <c r="F367" s="4" t="s">
        <v>452</v>
      </c>
      <c r="G367" s="28"/>
      <c r="H367" s="22" t="s">
        <v>349</v>
      </c>
      <c r="I367" s="45" t="s">
        <v>183</v>
      </c>
      <c r="J367" s="13" t="s">
        <v>453</v>
      </c>
      <c r="K367" s="154">
        <v>213.9</v>
      </c>
      <c r="L367" s="154">
        <v>213.9</v>
      </c>
    </row>
    <row r="368" spans="2:12" ht="15" customHeight="1" x14ac:dyDescent="0.25">
      <c r="B368" s="89" t="s">
        <v>14</v>
      </c>
      <c r="C368" s="104" t="s">
        <v>411</v>
      </c>
      <c r="D368" s="90" t="s">
        <v>412</v>
      </c>
      <c r="E368" s="116" t="str">
        <f t="shared" si="5"/>
        <v>Essencial Deo Parfum Exclusivo Feminino 100ml Refil</v>
      </c>
      <c r="F368" s="4" t="s">
        <v>454</v>
      </c>
      <c r="G368" s="28"/>
      <c r="H368" s="22" t="s">
        <v>349</v>
      </c>
      <c r="I368" s="45" t="s">
        <v>183</v>
      </c>
      <c r="J368" s="13" t="s">
        <v>455</v>
      </c>
      <c r="K368" s="154">
        <v>213.9</v>
      </c>
      <c r="L368" s="154">
        <v>213.9</v>
      </c>
    </row>
    <row r="369" spans="2:12" ht="15" customHeight="1" x14ac:dyDescent="0.25">
      <c r="B369" s="89" t="s">
        <v>14</v>
      </c>
      <c r="C369" s="104" t="s">
        <v>411</v>
      </c>
      <c r="D369" s="90" t="s">
        <v>412</v>
      </c>
      <c r="E369" s="116" t="str">
        <f t="shared" si="5"/>
        <v>Essencial Deo Parfum Exclusivo Floral Feminino 100ml Refil</v>
      </c>
      <c r="F369" s="4" t="s">
        <v>456</v>
      </c>
      <c r="G369" s="28"/>
      <c r="H369" s="22" t="s">
        <v>349</v>
      </c>
      <c r="I369" s="45" t="s">
        <v>183</v>
      </c>
      <c r="J369" s="13" t="s">
        <v>457</v>
      </c>
      <c r="K369" s="154">
        <v>213.9</v>
      </c>
      <c r="L369" s="154">
        <v>213.9</v>
      </c>
    </row>
    <row r="370" spans="2:12" ht="15" customHeight="1" x14ac:dyDescent="0.25">
      <c r="B370" s="89" t="s">
        <v>14</v>
      </c>
      <c r="C370" s="104" t="s">
        <v>411</v>
      </c>
      <c r="D370" s="90" t="s">
        <v>412</v>
      </c>
      <c r="E370" s="116" t="str">
        <f t="shared" si="5"/>
        <v>Essencial Deo Parfum Mirra Feminino 100ml Refil</v>
      </c>
      <c r="F370" s="4" t="s">
        <v>458</v>
      </c>
      <c r="G370" s="28"/>
      <c r="H370" s="22" t="s">
        <v>349</v>
      </c>
      <c r="I370" s="45" t="s">
        <v>183</v>
      </c>
      <c r="J370" s="13" t="s">
        <v>459</v>
      </c>
      <c r="K370" s="154">
        <v>213.9</v>
      </c>
      <c r="L370" s="154">
        <v>213.9</v>
      </c>
    </row>
    <row r="371" spans="2:12" ht="15" customHeight="1" x14ac:dyDescent="0.25">
      <c r="B371" s="89" t="s">
        <v>14</v>
      </c>
      <c r="C371" s="104" t="s">
        <v>411</v>
      </c>
      <c r="D371" s="90" t="s">
        <v>412</v>
      </c>
      <c r="E371" s="116" t="str">
        <f t="shared" si="5"/>
        <v>Essencial Deo Parfum Oud Feminino 100ml Refil</v>
      </c>
      <c r="F371" s="4" t="s">
        <v>460</v>
      </c>
      <c r="G371" s="28"/>
      <c r="H371" s="22" t="s">
        <v>349</v>
      </c>
      <c r="I371" s="45" t="s">
        <v>183</v>
      </c>
      <c r="J371" s="4" t="s">
        <v>461</v>
      </c>
      <c r="K371" s="154">
        <v>213.9</v>
      </c>
      <c r="L371" s="154">
        <v>213.9</v>
      </c>
    </row>
    <row r="372" spans="2:12" ht="15" customHeight="1" x14ac:dyDescent="0.25">
      <c r="B372" s="89" t="s">
        <v>14</v>
      </c>
      <c r="C372" s="104" t="s">
        <v>411</v>
      </c>
      <c r="D372" s="90" t="s">
        <v>412</v>
      </c>
      <c r="E372" s="116" t="str">
        <f t="shared" si="5"/>
        <v>Essencial Deo Parfum Old Vanilla Feminino 100ml Refil</v>
      </c>
      <c r="F372" s="4" t="s">
        <v>462</v>
      </c>
      <c r="G372" s="28"/>
      <c r="H372" s="22" t="s">
        <v>349</v>
      </c>
      <c r="I372" s="45" t="s">
        <v>183</v>
      </c>
      <c r="J372" s="13" t="s">
        <v>463</v>
      </c>
      <c r="K372" s="154">
        <v>213.9</v>
      </c>
      <c r="L372" s="154">
        <v>213.9</v>
      </c>
    </row>
    <row r="373" spans="2:12" ht="15" customHeight="1" x14ac:dyDescent="0.25">
      <c r="B373" s="89" t="s">
        <v>14</v>
      </c>
      <c r="C373" s="104" t="s">
        <v>411</v>
      </c>
      <c r="D373" s="90" t="s">
        <v>412</v>
      </c>
      <c r="E373" s="116" t="str">
        <f t="shared" si="5"/>
        <v>Essencial Deo Parfum Old Pimenta Feminino 100ml Refil</v>
      </c>
      <c r="F373" s="26" t="s">
        <v>464</v>
      </c>
      <c r="G373" s="28"/>
      <c r="H373" s="22" t="s">
        <v>349</v>
      </c>
      <c r="I373" s="45" t="s">
        <v>183</v>
      </c>
      <c r="J373" s="13" t="s">
        <v>465</v>
      </c>
      <c r="K373" s="154">
        <v>213.9</v>
      </c>
      <c r="L373" s="154">
        <v>213.9</v>
      </c>
    </row>
    <row r="374" spans="2:12" ht="15" customHeight="1" x14ac:dyDescent="0.25">
      <c r="B374" s="89" t="s">
        <v>14</v>
      </c>
      <c r="C374" s="104" t="s">
        <v>411</v>
      </c>
      <c r="D374" s="90" t="s">
        <v>412</v>
      </c>
      <c r="E374" s="116" t="str">
        <f t="shared" si="5"/>
        <v>Essencial Deo Parfum Palo Santo Feminino 100ml Refil</v>
      </c>
      <c r="F374" s="4" t="s">
        <v>466</v>
      </c>
      <c r="G374" s="28"/>
      <c r="H374" s="22" t="s">
        <v>349</v>
      </c>
      <c r="I374" s="45" t="s">
        <v>183</v>
      </c>
      <c r="J374" s="13" t="s">
        <v>467</v>
      </c>
      <c r="K374" s="154">
        <v>213.9</v>
      </c>
      <c r="L374" s="154">
        <v>213.9</v>
      </c>
    </row>
    <row r="375" spans="2:12" ht="15" customHeight="1" x14ac:dyDescent="0.25">
      <c r="B375" s="89" t="s">
        <v>14</v>
      </c>
      <c r="C375" s="104" t="s">
        <v>411</v>
      </c>
      <c r="D375" s="90" t="s">
        <v>412</v>
      </c>
      <c r="E375" s="116" t="str">
        <f t="shared" si="5"/>
        <v>Essencial Deo Parfum Supreme Feminino 100ml Refil</v>
      </c>
      <c r="F375" s="21" t="s">
        <v>468</v>
      </c>
      <c r="G375" s="28"/>
      <c r="H375" s="22" t="s">
        <v>349</v>
      </c>
      <c r="I375" s="45" t="s">
        <v>183</v>
      </c>
      <c r="J375" s="13" t="s">
        <v>469</v>
      </c>
      <c r="K375" s="154">
        <v>213.9</v>
      </c>
      <c r="L375" s="154">
        <v>213.9</v>
      </c>
    </row>
    <row r="376" spans="2:12" ht="15" customHeight="1" x14ac:dyDescent="0.25">
      <c r="B376" s="89" t="s">
        <v>14</v>
      </c>
      <c r="C376" s="104" t="s">
        <v>411</v>
      </c>
      <c r="D376" s="90" t="s">
        <v>412</v>
      </c>
      <c r="E376" s="116" t="str">
        <f t="shared" si="5"/>
        <v>Essencial Deo Parfum Sentir Feminino 100ml Refil</v>
      </c>
      <c r="F376" s="4" t="s">
        <v>470</v>
      </c>
      <c r="G376" s="28"/>
      <c r="H376" s="22" t="s">
        <v>349</v>
      </c>
      <c r="I376" s="45" t="s">
        <v>183</v>
      </c>
      <c r="J376" s="13" t="s">
        <v>471</v>
      </c>
      <c r="K376" s="154">
        <v>213.9</v>
      </c>
      <c r="L376" s="154">
        <v>213.9</v>
      </c>
    </row>
    <row r="377" spans="2:12" ht="15" customHeight="1" x14ac:dyDescent="0.25">
      <c r="B377" s="89" t="s">
        <v>14</v>
      </c>
      <c r="C377" s="104" t="s">
        <v>411</v>
      </c>
      <c r="D377" s="90" t="s">
        <v>412</v>
      </c>
      <c r="E377" s="116" t="str">
        <f t="shared" si="5"/>
        <v>Essencial Deo Parfum Único Feminino 100ml Refil</v>
      </c>
      <c r="F377" s="4" t="s">
        <v>472</v>
      </c>
      <c r="G377" s="28"/>
      <c r="H377" s="22" t="s">
        <v>349</v>
      </c>
      <c r="I377" s="45" t="s">
        <v>183</v>
      </c>
      <c r="J377" s="13" t="s">
        <v>473</v>
      </c>
      <c r="K377" s="154">
        <v>213.9</v>
      </c>
      <c r="L377" s="154">
        <v>213.9</v>
      </c>
    </row>
    <row r="378" spans="2:12" ht="15" customHeight="1" x14ac:dyDescent="0.25">
      <c r="B378" s="89" t="s">
        <v>14</v>
      </c>
      <c r="C378" s="104" t="s">
        <v>411</v>
      </c>
      <c r="D378" s="92" t="s">
        <v>474</v>
      </c>
      <c r="E378" s="116" t="str">
        <f t="shared" si="5"/>
        <v>Essencial Desodorante Coporal Feminino 100ml Frasco</v>
      </c>
      <c r="F378" s="4" t="s">
        <v>475</v>
      </c>
      <c r="G378" s="28"/>
      <c r="H378" s="22" t="s">
        <v>349</v>
      </c>
      <c r="I378" s="45" t="s">
        <v>32</v>
      </c>
      <c r="J378" s="13" t="s">
        <v>476</v>
      </c>
      <c r="K378" s="154">
        <v>54.9</v>
      </c>
      <c r="L378" s="154">
        <v>54.9</v>
      </c>
    </row>
    <row r="379" spans="2:12" ht="15" customHeight="1" x14ac:dyDescent="0.25">
      <c r="B379" s="89" t="s">
        <v>14</v>
      </c>
      <c r="C379" s="104" t="s">
        <v>411</v>
      </c>
      <c r="D379" s="92" t="s">
        <v>474</v>
      </c>
      <c r="E379" s="116" t="str">
        <f t="shared" si="5"/>
        <v>Essencial Desodorante Coporal Atrai Masculino 100ml Frasco</v>
      </c>
      <c r="F379" s="4" t="s">
        <v>477</v>
      </c>
      <c r="G379" s="28"/>
      <c r="H379" s="22" t="s">
        <v>349</v>
      </c>
      <c r="I379" s="45" t="s">
        <v>32</v>
      </c>
      <c r="J379" s="13" t="s">
        <v>476</v>
      </c>
      <c r="K379" s="154">
        <v>54.9</v>
      </c>
      <c r="L379" s="154">
        <v>54.9</v>
      </c>
    </row>
    <row r="380" spans="2:12" ht="15" customHeight="1" x14ac:dyDescent="0.25">
      <c r="B380" s="89" t="s">
        <v>14</v>
      </c>
      <c r="C380" s="104" t="s">
        <v>411</v>
      </c>
      <c r="D380" s="92" t="s">
        <v>474</v>
      </c>
      <c r="E380" s="116" t="str">
        <f t="shared" si="5"/>
        <v>Essencial Desodorante Coporal Atô Masculino 100ml Frasco</v>
      </c>
      <c r="F380" s="4" t="s">
        <v>415</v>
      </c>
      <c r="G380" s="28"/>
      <c r="H380" s="22" t="s">
        <v>349</v>
      </c>
      <c r="I380" s="45" t="s">
        <v>32</v>
      </c>
      <c r="J380" s="13" t="s">
        <v>476</v>
      </c>
      <c r="K380" s="154">
        <v>54.9</v>
      </c>
      <c r="L380" s="154">
        <v>54.9</v>
      </c>
    </row>
    <row r="381" spans="2:12" ht="15" customHeight="1" x14ac:dyDescent="0.25">
      <c r="B381" s="89" t="s">
        <v>14</v>
      </c>
      <c r="C381" s="104" t="s">
        <v>411</v>
      </c>
      <c r="D381" s="92" t="s">
        <v>474</v>
      </c>
      <c r="E381" s="116" t="str">
        <f t="shared" si="5"/>
        <v>Essencial Desodorante Coporal Masculino 100ml Frasco</v>
      </c>
      <c r="F381" s="4" t="s">
        <v>417</v>
      </c>
      <c r="G381" s="28"/>
      <c r="H381" s="22" t="s">
        <v>349</v>
      </c>
      <c r="I381" s="45" t="s">
        <v>32</v>
      </c>
      <c r="J381" s="13" t="s">
        <v>476</v>
      </c>
      <c r="K381" s="154">
        <v>54.9</v>
      </c>
      <c r="L381" s="154">
        <v>54.9</v>
      </c>
    </row>
    <row r="382" spans="2:12" ht="15" customHeight="1" x14ac:dyDescent="0.25">
      <c r="B382" s="89" t="s">
        <v>14</v>
      </c>
      <c r="C382" s="104" t="s">
        <v>411</v>
      </c>
      <c r="D382" s="92" t="s">
        <v>474</v>
      </c>
      <c r="E382" s="116" t="str">
        <f t="shared" si="5"/>
        <v>Essencial Desodorante Coporal Exclusivo Masculino 100ml Frasco</v>
      </c>
      <c r="F382" s="4" t="s">
        <v>423</v>
      </c>
      <c r="G382" s="28"/>
      <c r="H382" s="22" t="s">
        <v>349</v>
      </c>
      <c r="I382" s="45" t="s">
        <v>32</v>
      </c>
      <c r="J382" s="13" t="s">
        <v>476</v>
      </c>
      <c r="K382" s="154">
        <v>54.9</v>
      </c>
      <c r="L382" s="154">
        <v>54.9</v>
      </c>
    </row>
    <row r="383" spans="2:12" ht="15" customHeight="1" x14ac:dyDescent="0.25">
      <c r="B383" s="89" t="s">
        <v>14</v>
      </c>
      <c r="C383" s="104" t="s">
        <v>411</v>
      </c>
      <c r="D383" s="92" t="s">
        <v>474</v>
      </c>
      <c r="E383" s="116" t="str">
        <f t="shared" si="5"/>
        <v>Essencial Desodorante Coporal Oud Masculino 100ml Frasco</v>
      </c>
      <c r="F383" s="4" t="s">
        <v>429</v>
      </c>
      <c r="G383" s="28"/>
      <c r="H383" s="22" t="s">
        <v>349</v>
      </c>
      <c r="I383" s="45" t="s">
        <v>32</v>
      </c>
      <c r="J383" s="13" t="s">
        <v>476</v>
      </c>
      <c r="K383" s="154">
        <v>54.9</v>
      </c>
      <c r="L383" s="154">
        <v>54.9</v>
      </c>
    </row>
    <row r="384" spans="2:12" ht="15" customHeight="1" x14ac:dyDescent="0.25">
      <c r="B384" s="89" t="s">
        <v>14</v>
      </c>
      <c r="C384" s="104" t="s">
        <v>411</v>
      </c>
      <c r="D384" s="92" t="s">
        <v>474</v>
      </c>
      <c r="E384" s="116" t="str">
        <f t="shared" si="5"/>
        <v>Essencial Desodorante Coporal Único Masculino 100ml Frasco</v>
      </c>
      <c r="F384" s="4" t="s">
        <v>441</v>
      </c>
      <c r="G384" s="28"/>
      <c r="H384" s="22" t="s">
        <v>349</v>
      </c>
      <c r="I384" s="45" t="s">
        <v>32</v>
      </c>
      <c r="J384" s="13" t="s">
        <v>476</v>
      </c>
      <c r="K384" s="154">
        <v>54.9</v>
      </c>
      <c r="L384" s="154">
        <v>54.9</v>
      </c>
    </row>
    <row r="385" spans="2:12" ht="15" customHeight="1" x14ac:dyDescent="0.25">
      <c r="B385" s="89" t="s">
        <v>14</v>
      </c>
      <c r="C385" s="104" t="s">
        <v>411</v>
      </c>
      <c r="D385" s="92" t="s">
        <v>474</v>
      </c>
      <c r="E385" s="116" t="str">
        <f t="shared" si="5"/>
        <v>Essencial Desodorante Coporal Sentir Masculino 100ml Frasco</v>
      </c>
      <c r="F385" s="4" t="s">
        <v>439</v>
      </c>
      <c r="G385" s="28"/>
      <c r="H385" s="22" t="s">
        <v>349</v>
      </c>
      <c r="I385" s="45" t="s">
        <v>32</v>
      </c>
      <c r="J385" s="13" t="s">
        <v>476</v>
      </c>
      <c r="K385" s="154">
        <v>54.9</v>
      </c>
      <c r="L385" s="154">
        <v>54.9</v>
      </c>
    </row>
    <row r="386" spans="2:12" ht="15" customHeight="1" x14ac:dyDescent="0.25">
      <c r="B386" s="89" t="s">
        <v>14</v>
      </c>
      <c r="C386" s="104" t="s">
        <v>411</v>
      </c>
      <c r="D386" s="92" t="s">
        <v>474</v>
      </c>
      <c r="E386" s="116" t="str">
        <f t="shared" si="5"/>
        <v>Essencial Desodorante Coporal Atrai Masculino 100ml Refil</v>
      </c>
      <c r="F386" s="4" t="s">
        <v>477</v>
      </c>
      <c r="G386" s="28"/>
      <c r="H386" s="22" t="s">
        <v>349</v>
      </c>
      <c r="I386" s="45" t="s">
        <v>183</v>
      </c>
      <c r="J386" s="13" t="s">
        <v>476</v>
      </c>
      <c r="K386" s="154">
        <v>54.9</v>
      </c>
      <c r="L386" s="154">
        <v>54.9</v>
      </c>
    </row>
    <row r="387" spans="2:12" ht="15" customHeight="1" x14ac:dyDescent="0.25">
      <c r="B387" s="89" t="s">
        <v>14</v>
      </c>
      <c r="C387" s="104" t="s">
        <v>411</v>
      </c>
      <c r="D387" s="92" t="s">
        <v>474</v>
      </c>
      <c r="E387" s="116" t="str">
        <f t="shared" ref="E387:E450" si="6">TRIM(CONCATENATE(C387, " ", D387, " ", F387, " ", IF(G387&gt;0, G387 &amp; "x" &amp; H387, H387), " ", I387))</f>
        <v>Essencial Desodorante Coporal Atô Masculino 100ml Refil</v>
      </c>
      <c r="F387" s="4" t="s">
        <v>415</v>
      </c>
      <c r="G387" s="28"/>
      <c r="H387" s="22" t="s">
        <v>349</v>
      </c>
      <c r="I387" s="45" t="s">
        <v>183</v>
      </c>
      <c r="J387" s="13" t="s">
        <v>476</v>
      </c>
      <c r="K387" s="154">
        <v>54.9</v>
      </c>
      <c r="L387" s="154">
        <v>54.9</v>
      </c>
    </row>
    <row r="388" spans="2:12" ht="15" customHeight="1" x14ac:dyDescent="0.25">
      <c r="B388" s="89" t="s">
        <v>14</v>
      </c>
      <c r="C388" s="104" t="s">
        <v>411</v>
      </c>
      <c r="D388" s="92" t="s">
        <v>474</v>
      </c>
      <c r="E388" s="116" t="str">
        <f t="shared" si="6"/>
        <v>Essencial Desodorante Coporal Masculino 100ml Refil</v>
      </c>
      <c r="F388" s="4" t="s">
        <v>417</v>
      </c>
      <c r="G388" s="28"/>
      <c r="H388" s="22" t="s">
        <v>349</v>
      </c>
      <c r="I388" s="45" t="s">
        <v>183</v>
      </c>
      <c r="J388" s="13" t="s">
        <v>476</v>
      </c>
      <c r="K388" s="154">
        <v>54.9</v>
      </c>
      <c r="L388" s="154">
        <v>54.9</v>
      </c>
    </row>
    <row r="389" spans="2:12" ht="15" customHeight="1" x14ac:dyDescent="0.25">
      <c r="B389" s="89" t="s">
        <v>14</v>
      </c>
      <c r="C389" s="104" t="s">
        <v>411</v>
      </c>
      <c r="D389" s="92" t="s">
        <v>474</v>
      </c>
      <c r="E389" s="116" t="str">
        <f t="shared" si="6"/>
        <v>Essencial Desodorante Coporal Exclusivo 100ml Refil</v>
      </c>
      <c r="F389" s="4" t="s">
        <v>478</v>
      </c>
      <c r="G389" s="28"/>
      <c r="H389" s="22" t="s">
        <v>349</v>
      </c>
      <c r="I389" s="45" t="s">
        <v>183</v>
      </c>
      <c r="J389" s="13" t="s">
        <v>476</v>
      </c>
      <c r="K389" s="154">
        <v>54.9</v>
      </c>
      <c r="L389" s="154">
        <v>54.9</v>
      </c>
    </row>
    <row r="390" spans="2:12" ht="15" customHeight="1" x14ac:dyDescent="0.25">
      <c r="B390" s="89" t="s">
        <v>14</v>
      </c>
      <c r="C390" s="104" t="s">
        <v>411</v>
      </c>
      <c r="D390" s="92" t="s">
        <v>474</v>
      </c>
      <c r="E390" s="116" t="str">
        <f t="shared" si="6"/>
        <v>Essencial Desodorante Coporal Oud Masculino 100ml Refil</v>
      </c>
      <c r="F390" s="4" t="s">
        <v>429</v>
      </c>
      <c r="G390" s="28"/>
      <c r="H390" s="22" t="s">
        <v>349</v>
      </c>
      <c r="I390" s="45" t="s">
        <v>183</v>
      </c>
      <c r="J390" s="13" t="s">
        <v>476</v>
      </c>
      <c r="K390" s="154">
        <v>54.9</v>
      </c>
      <c r="L390" s="154">
        <v>54.9</v>
      </c>
    </row>
    <row r="391" spans="2:12" ht="15" customHeight="1" x14ac:dyDescent="0.25">
      <c r="B391" s="89" t="s">
        <v>14</v>
      </c>
      <c r="C391" s="104" t="s">
        <v>411</v>
      </c>
      <c r="D391" s="92" t="s">
        <v>474</v>
      </c>
      <c r="E391" s="116" t="str">
        <f t="shared" si="6"/>
        <v>Essencial Desodorante Coporal Único Masculino 100ml Refil</v>
      </c>
      <c r="F391" s="4" t="s">
        <v>441</v>
      </c>
      <c r="G391" s="28"/>
      <c r="H391" s="22" t="s">
        <v>349</v>
      </c>
      <c r="I391" s="45" t="s">
        <v>183</v>
      </c>
      <c r="J391" s="13" t="s">
        <v>476</v>
      </c>
      <c r="K391" s="154">
        <v>54.9</v>
      </c>
      <c r="L391" s="154">
        <v>54.9</v>
      </c>
    </row>
    <row r="392" spans="2:12" ht="15" customHeight="1" x14ac:dyDescent="0.25">
      <c r="B392" s="89" t="s">
        <v>14</v>
      </c>
      <c r="C392" s="104" t="s">
        <v>411</v>
      </c>
      <c r="D392" s="92" t="s">
        <v>474</v>
      </c>
      <c r="E392" s="116" t="str">
        <f t="shared" si="6"/>
        <v>Essencial Desodorante Coporal Sentir Masculino 100ml Refil</v>
      </c>
      <c r="F392" s="4" t="s">
        <v>439</v>
      </c>
      <c r="G392" s="28"/>
      <c r="H392" s="22" t="s">
        <v>349</v>
      </c>
      <c r="I392" s="45" t="s">
        <v>183</v>
      </c>
      <c r="J392" s="13" t="s">
        <v>476</v>
      </c>
      <c r="K392" s="154">
        <v>54.9</v>
      </c>
      <c r="L392" s="154">
        <v>54.9</v>
      </c>
    </row>
    <row r="393" spans="2:12" ht="15" customHeight="1" x14ac:dyDescent="0.25">
      <c r="B393" s="89" t="s">
        <v>14</v>
      </c>
      <c r="C393" s="104" t="s">
        <v>411</v>
      </c>
      <c r="D393" s="92" t="s">
        <v>474</v>
      </c>
      <c r="E393" s="116" t="str">
        <f t="shared" si="6"/>
        <v>Essencial Desodorante Coporal Atrai Feminino 100ml Frasco</v>
      </c>
      <c r="F393" s="4" t="s">
        <v>444</v>
      </c>
      <c r="G393" s="28"/>
      <c r="H393" s="22" t="s">
        <v>349</v>
      </c>
      <c r="I393" s="45" t="s">
        <v>32</v>
      </c>
      <c r="J393" s="13" t="s">
        <v>476</v>
      </c>
      <c r="K393" s="154">
        <v>54.9</v>
      </c>
      <c r="L393" s="154">
        <v>54.9</v>
      </c>
    </row>
    <row r="394" spans="2:12" ht="15" customHeight="1" x14ac:dyDescent="0.25">
      <c r="B394" s="89" t="s">
        <v>14</v>
      </c>
      <c r="C394" s="104" t="s">
        <v>411</v>
      </c>
      <c r="D394" s="92" t="s">
        <v>474</v>
      </c>
      <c r="E394" s="116" t="str">
        <f t="shared" si="6"/>
        <v>Essencial Desodorante Coporal Feminino 100ml Frasco</v>
      </c>
      <c r="F394" s="4" t="s">
        <v>448</v>
      </c>
      <c r="G394" s="28"/>
      <c r="H394" s="22" t="s">
        <v>349</v>
      </c>
      <c r="I394" s="45" t="s">
        <v>32</v>
      </c>
      <c r="J394" s="13" t="s">
        <v>476</v>
      </c>
      <c r="K394" s="154">
        <v>54.9</v>
      </c>
      <c r="L394" s="154">
        <v>54.9</v>
      </c>
    </row>
    <row r="395" spans="2:12" ht="15" customHeight="1" x14ac:dyDescent="0.25">
      <c r="B395" s="89" t="s">
        <v>14</v>
      </c>
      <c r="C395" s="104" t="s">
        <v>411</v>
      </c>
      <c r="D395" s="92" t="s">
        <v>474</v>
      </c>
      <c r="E395" s="116" t="str">
        <f t="shared" si="6"/>
        <v>Essencial Desodorante Coporal Exclusivo Feminino 100ml Frasco</v>
      </c>
      <c r="F395" s="4" t="s">
        <v>454</v>
      </c>
      <c r="G395" s="28"/>
      <c r="H395" s="22" t="s">
        <v>349</v>
      </c>
      <c r="I395" s="45" t="s">
        <v>32</v>
      </c>
      <c r="J395" s="13" t="s">
        <v>476</v>
      </c>
      <c r="K395" s="154">
        <v>54.9</v>
      </c>
      <c r="L395" s="154">
        <v>54.9</v>
      </c>
    </row>
    <row r="396" spans="2:12" ht="15" customHeight="1" x14ac:dyDescent="0.25">
      <c r="B396" s="89" t="s">
        <v>14</v>
      </c>
      <c r="C396" s="104" t="s">
        <v>411</v>
      </c>
      <c r="D396" s="92" t="s">
        <v>474</v>
      </c>
      <c r="E396" s="116" t="str">
        <f t="shared" si="6"/>
        <v>Essencial Desodorante Coporal Atrai Feminino 100ml Refil</v>
      </c>
      <c r="F396" s="4" t="s">
        <v>444</v>
      </c>
      <c r="G396" s="28"/>
      <c r="H396" s="22" t="s">
        <v>349</v>
      </c>
      <c r="I396" s="45" t="s">
        <v>183</v>
      </c>
      <c r="J396" s="13" t="s">
        <v>476</v>
      </c>
      <c r="K396" s="154">
        <v>54.9</v>
      </c>
      <c r="L396" s="154">
        <v>54.9</v>
      </c>
    </row>
    <row r="397" spans="2:12" ht="15" customHeight="1" x14ac:dyDescent="0.25">
      <c r="B397" s="89" t="s">
        <v>14</v>
      </c>
      <c r="C397" s="104" t="s">
        <v>411</v>
      </c>
      <c r="D397" s="92" t="s">
        <v>474</v>
      </c>
      <c r="E397" s="116" t="str">
        <f t="shared" si="6"/>
        <v>Essencial Desodorante Coporal Feminino 100ml Refil</v>
      </c>
      <c r="F397" s="4" t="s">
        <v>448</v>
      </c>
      <c r="G397" s="28"/>
      <c r="H397" s="22" t="s">
        <v>349</v>
      </c>
      <c r="I397" s="45" t="s">
        <v>183</v>
      </c>
      <c r="J397" s="13" t="s">
        <v>476</v>
      </c>
      <c r="K397" s="154">
        <v>54.9</v>
      </c>
      <c r="L397" s="154">
        <v>54.9</v>
      </c>
    </row>
    <row r="398" spans="2:12" ht="15" customHeight="1" x14ac:dyDescent="0.25">
      <c r="B398" s="89" t="s">
        <v>14</v>
      </c>
      <c r="C398" s="104" t="s">
        <v>411</v>
      </c>
      <c r="D398" s="92" t="s">
        <v>474</v>
      </c>
      <c r="E398" s="116" t="str">
        <f t="shared" si="6"/>
        <v>Essencial Desodorante Coporal Exclusivo Feminino 100ml Refil</v>
      </c>
      <c r="F398" s="4" t="s">
        <v>454</v>
      </c>
      <c r="G398" s="28"/>
      <c r="H398" s="22" t="s">
        <v>349</v>
      </c>
      <c r="I398" s="45" t="s">
        <v>183</v>
      </c>
      <c r="J398" s="13" t="s">
        <v>476</v>
      </c>
      <c r="K398" s="154">
        <v>54.9</v>
      </c>
      <c r="L398" s="154">
        <v>54.9</v>
      </c>
    </row>
    <row r="399" spans="2:12" ht="15" customHeight="1" x14ac:dyDescent="0.25">
      <c r="B399" s="89" t="s">
        <v>14</v>
      </c>
      <c r="C399" s="104" t="s">
        <v>411</v>
      </c>
      <c r="D399" s="90" t="s">
        <v>479</v>
      </c>
      <c r="E399" s="116" t="str">
        <f t="shared" si="6"/>
        <v>Essencial Hidratante Desodorante Perfumado Essencial 200g Pote</v>
      </c>
      <c r="F399" s="4" t="s">
        <v>411</v>
      </c>
      <c r="G399" s="28"/>
      <c r="H399" s="4" t="s">
        <v>60</v>
      </c>
      <c r="I399" s="45" t="s">
        <v>55</v>
      </c>
      <c r="J399" s="13" t="s">
        <v>480</v>
      </c>
      <c r="K399" s="154">
        <v>129.9</v>
      </c>
      <c r="L399" s="154">
        <v>129.9</v>
      </c>
    </row>
    <row r="400" spans="2:12" ht="15" customHeight="1" x14ac:dyDescent="0.25">
      <c r="B400" s="89" t="s">
        <v>14</v>
      </c>
      <c r="C400" s="104" t="s">
        <v>411</v>
      </c>
      <c r="D400" s="90" t="s">
        <v>479</v>
      </c>
      <c r="E400" s="116" t="str">
        <f t="shared" si="6"/>
        <v>Essencial Hidratante Desodorante Perfumado Essencial Exclusivo 200 g Pote</v>
      </c>
      <c r="F400" s="4" t="s">
        <v>481</v>
      </c>
      <c r="G400" s="28"/>
      <c r="H400" s="4" t="s">
        <v>482</v>
      </c>
      <c r="I400" s="45" t="s">
        <v>55</v>
      </c>
      <c r="J400" s="13" t="s">
        <v>480</v>
      </c>
      <c r="K400" s="154">
        <v>129.9</v>
      </c>
      <c r="L400" s="154">
        <v>129.9</v>
      </c>
    </row>
    <row r="401" spans="2:12" ht="15" customHeight="1" x14ac:dyDescent="0.25">
      <c r="B401" s="89" t="s">
        <v>14</v>
      </c>
      <c r="C401" s="104" t="s">
        <v>411</v>
      </c>
      <c r="D401" s="90" t="s">
        <v>479</v>
      </c>
      <c r="E401" s="116" t="str">
        <f t="shared" si="6"/>
        <v>Essencial Hidratante Desodorante Perfumado Essencial Oud 200 g Pote</v>
      </c>
      <c r="F401" s="4" t="s">
        <v>483</v>
      </c>
      <c r="G401" s="28"/>
      <c r="H401" s="4" t="s">
        <v>482</v>
      </c>
      <c r="I401" s="45" t="s">
        <v>55</v>
      </c>
      <c r="J401" s="13" t="s">
        <v>480</v>
      </c>
      <c r="K401" s="154">
        <v>129.9</v>
      </c>
      <c r="L401" s="154">
        <v>129.9</v>
      </c>
    </row>
    <row r="402" spans="2:12" ht="15" customHeight="1" x14ac:dyDescent="0.25">
      <c r="B402" s="89" t="s">
        <v>14</v>
      </c>
      <c r="C402" s="104" t="s">
        <v>411</v>
      </c>
      <c r="D402" s="90" t="s">
        <v>479</v>
      </c>
      <c r="E402" s="116" t="str">
        <f t="shared" si="6"/>
        <v>Essencial Hidratante Desodorante Perfumado Essencial Supreme 200 g Pote</v>
      </c>
      <c r="F402" s="21" t="s">
        <v>484</v>
      </c>
      <c r="G402" s="28"/>
      <c r="H402" s="4" t="s">
        <v>482</v>
      </c>
      <c r="I402" s="45" t="s">
        <v>55</v>
      </c>
      <c r="J402" s="13" t="s">
        <v>480</v>
      </c>
      <c r="K402" s="154">
        <v>129.9</v>
      </c>
      <c r="L402" s="154">
        <v>129.9</v>
      </c>
    </row>
    <row r="403" spans="2:12" ht="15" customHeight="1" x14ac:dyDescent="0.25">
      <c r="B403" s="89" t="s">
        <v>14</v>
      </c>
      <c r="C403" s="104" t="s">
        <v>411</v>
      </c>
      <c r="D403" s="90" t="s">
        <v>479</v>
      </c>
      <c r="E403" s="116" t="str">
        <f t="shared" si="6"/>
        <v>Essencial Hidratante Desodorante Perfumado Essencial 200 g Refil</v>
      </c>
      <c r="F403" s="4" t="s">
        <v>411</v>
      </c>
      <c r="G403" s="28"/>
      <c r="H403" s="4" t="s">
        <v>482</v>
      </c>
      <c r="I403" s="45" t="s">
        <v>183</v>
      </c>
      <c r="J403" s="13" t="s">
        <v>480</v>
      </c>
      <c r="K403" s="154">
        <v>95.9</v>
      </c>
      <c r="L403" s="154">
        <v>95.9</v>
      </c>
    </row>
    <row r="404" spans="2:12" ht="15" customHeight="1" x14ac:dyDescent="0.25">
      <c r="B404" s="89" t="s">
        <v>14</v>
      </c>
      <c r="C404" s="104" t="s">
        <v>411</v>
      </c>
      <c r="D404" s="90" t="s">
        <v>479</v>
      </c>
      <c r="E404" s="116" t="str">
        <f t="shared" si="6"/>
        <v>Essencial Hidratante Desodorante Perfumado Essencial Exclusivo 200 g Refil</v>
      </c>
      <c r="F404" s="4" t="s">
        <v>481</v>
      </c>
      <c r="G404" s="28"/>
      <c r="H404" s="4" t="s">
        <v>482</v>
      </c>
      <c r="I404" s="45" t="s">
        <v>183</v>
      </c>
      <c r="J404" s="13" t="s">
        <v>480</v>
      </c>
      <c r="K404" s="154">
        <v>95.9</v>
      </c>
      <c r="L404" s="154">
        <v>95.9</v>
      </c>
    </row>
    <row r="405" spans="2:12" ht="15" customHeight="1" x14ac:dyDescent="0.25">
      <c r="B405" s="89" t="s">
        <v>14</v>
      </c>
      <c r="C405" s="104" t="s">
        <v>411</v>
      </c>
      <c r="D405" s="90" t="s">
        <v>479</v>
      </c>
      <c r="E405" s="116" t="str">
        <f t="shared" si="6"/>
        <v>Essencial Hidratante Desodorante Perfumado Essencial Oud 200 g Refil</v>
      </c>
      <c r="F405" s="4" t="s">
        <v>483</v>
      </c>
      <c r="G405" s="28"/>
      <c r="H405" s="4" t="s">
        <v>482</v>
      </c>
      <c r="I405" s="45" t="s">
        <v>183</v>
      </c>
      <c r="J405" s="13" t="s">
        <v>480</v>
      </c>
      <c r="K405" s="154">
        <v>95.9</v>
      </c>
      <c r="L405" s="154">
        <v>95.9</v>
      </c>
    </row>
    <row r="406" spans="2:12" ht="15" customHeight="1" x14ac:dyDescent="0.25">
      <c r="B406" s="89" t="s">
        <v>14</v>
      </c>
      <c r="C406" s="104" t="s">
        <v>411</v>
      </c>
      <c r="D406" s="90" t="s">
        <v>479</v>
      </c>
      <c r="E406" s="116" t="str">
        <f t="shared" si="6"/>
        <v>Essencial Hidratante Desodorante Perfumado Essencial Supreme 200 g Refil</v>
      </c>
      <c r="F406" s="21" t="s">
        <v>484</v>
      </c>
      <c r="G406" s="28"/>
      <c r="H406" s="4" t="s">
        <v>482</v>
      </c>
      <c r="I406" s="45" t="s">
        <v>183</v>
      </c>
      <c r="J406" s="13" t="s">
        <v>480</v>
      </c>
      <c r="K406" s="154">
        <v>95.9</v>
      </c>
      <c r="L406" s="154">
        <v>95.9</v>
      </c>
    </row>
    <row r="407" spans="2:12" ht="15" customHeight="1" x14ac:dyDescent="0.25">
      <c r="B407" s="89" t="s">
        <v>14</v>
      </c>
      <c r="C407" s="104" t="s">
        <v>411</v>
      </c>
      <c r="D407" s="90" t="s">
        <v>479</v>
      </c>
      <c r="E407" s="116" t="str">
        <f t="shared" si="6"/>
        <v>Essencial Hidratante Desodorante Perfumado Essencial 100ml Frasco</v>
      </c>
      <c r="F407" s="4" t="s">
        <v>411</v>
      </c>
      <c r="G407" s="28"/>
      <c r="H407" s="4" t="s">
        <v>349</v>
      </c>
      <c r="I407" s="45" t="s">
        <v>32</v>
      </c>
      <c r="J407" s="13" t="s">
        <v>485</v>
      </c>
      <c r="K407" s="154">
        <v>39.9</v>
      </c>
      <c r="L407" s="154">
        <v>39.9</v>
      </c>
    </row>
    <row r="408" spans="2:12" ht="15" customHeight="1" x14ac:dyDescent="0.25">
      <c r="B408" s="89" t="s">
        <v>14</v>
      </c>
      <c r="C408" s="104" t="s">
        <v>411</v>
      </c>
      <c r="D408" s="90" t="s">
        <v>479</v>
      </c>
      <c r="E408" s="116" t="str">
        <f t="shared" si="6"/>
        <v>Essencial Hidratante Desodorante Perfumado Essencial Exclusivo 100ml Frasco</v>
      </c>
      <c r="F408" s="4" t="s">
        <v>481</v>
      </c>
      <c r="G408" s="28"/>
      <c r="H408" s="4" t="s">
        <v>349</v>
      </c>
      <c r="I408" s="45" t="s">
        <v>32</v>
      </c>
      <c r="J408" s="13" t="s">
        <v>485</v>
      </c>
      <c r="K408" s="154" t="s">
        <v>486</v>
      </c>
      <c r="L408" s="154" t="s">
        <v>486</v>
      </c>
    </row>
    <row r="409" spans="2:12" ht="15" customHeight="1" x14ac:dyDescent="0.25">
      <c r="B409" s="89" t="s">
        <v>14</v>
      </c>
      <c r="C409" s="104" t="s">
        <v>411</v>
      </c>
      <c r="D409" s="90" t="s">
        <v>479</v>
      </c>
      <c r="E409" s="116" t="str">
        <f t="shared" si="6"/>
        <v>Essencial Hidratante Desodorante Perfumado Essencial Oud 100ml Frasco</v>
      </c>
      <c r="F409" s="4" t="s">
        <v>483</v>
      </c>
      <c r="G409" s="28"/>
      <c r="H409" s="4" t="s">
        <v>349</v>
      </c>
      <c r="I409" s="45" t="s">
        <v>32</v>
      </c>
      <c r="J409" s="13" t="s">
        <v>485</v>
      </c>
      <c r="K409" s="154">
        <v>39.9</v>
      </c>
      <c r="L409" s="154">
        <v>39.9</v>
      </c>
    </row>
    <row r="410" spans="2:12" s="12" customFormat="1" ht="15" customHeight="1" x14ac:dyDescent="0.25">
      <c r="B410" s="89" t="s">
        <v>14</v>
      </c>
      <c r="C410" s="104" t="s">
        <v>411</v>
      </c>
      <c r="D410" s="95" t="s">
        <v>487</v>
      </c>
      <c r="E410" s="116" t="str">
        <f t="shared" si="6"/>
        <v>Essencial Creme de Barbear Essencial 75g Frasco</v>
      </c>
      <c r="F410" s="4" t="s">
        <v>411</v>
      </c>
      <c r="G410" s="28"/>
      <c r="H410" s="11" t="s">
        <v>488</v>
      </c>
      <c r="I410" s="51" t="s">
        <v>32</v>
      </c>
      <c r="J410" s="4" t="s">
        <v>489</v>
      </c>
      <c r="K410" s="27" t="s">
        <v>490</v>
      </c>
      <c r="L410" s="27" t="s">
        <v>490</v>
      </c>
    </row>
    <row r="411" spans="2:12" x14ac:dyDescent="0.25">
      <c r="B411" s="89" t="s">
        <v>14</v>
      </c>
      <c r="C411" s="104" t="s">
        <v>411</v>
      </c>
      <c r="D411" s="92" t="s">
        <v>491</v>
      </c>
      <c r="E411" s="116" t="str">
        <f t="shared" si="6"/>
        <v>Essencial Balm Pos Barba Essencial 75ml Frasco</v>
      </c>
      <c r="F411" s="4" t="s">
        <v>411</v>
      </c>
      <c r="G411" s="28"/>
      <c r="H411" s="22" t="s">
        <v>492</v>
      </c>
      <c r="I411" s="45" t="s">
        <v>32</v>
      </c>
      <c r="J411" s="39" t="s">
        <v>493</v>
      </c>
      <c r="K411" s="13" t="s">
        <v>494</v>
      </c>
      <c r="L411" s="13" t="s">
        <v>494</v>
      </c>
    </row>
    <row r="412" spans="2:12" ht="15" customHeight="1" x14ac:dyDescent="0.25">
      <c r="B412" s="89" t="s">
        <v>14</v>
      </c>
      <c r="C412" s="104" t="s">
        <v>411</v>
      </c>
      <c r="D412" s="90" t="s">
        <v>302</v>
      </c>
      <c r="E412" s="116" t="str">
        <f t="shared" si="6"/>
        <v>Essencial Shampoo Essencial oud 110ml Frasco</v>
      </c>
      <c r="F412" s="4" t="s">
        <v>495</v>
      </c>
      <c r="G412" s="28"/>
      <c r="H412" s="4" t="s">
        <v>496</v>
      </c>
      <c r="I412" s="45" t="s">
        <v>32</v>
      </c>
      <c r="J412" s="40" t="s">
        <v>497</v>
      </c>
      <c r="K412" s="154">
        <v>56.9</v>
      </c>
      <c r="L412" s="154">
        <v>56.9</v>
      </c>
    </row>
    <row r="413" spans="2:12" ht="15" customHeight="1" x14ac:dyDescent="0.25">
      <c r="B413" s="89" t="s">
        <v>14</v>
      </c>
      <c r="C413" s="104" t="s">
        <v>411</v>
      </c>
      <c r="D413" s="90" t="s">
        <v>498</v>
      </c>
      <c r="E413" s="116" t="str">
        <f t="shared" si="6"/>
        <v>Essencial Shower Gel Corporal Essencial 100g Frasco</v>
      </c>
      <c r="F413" s="4" t="s">
        <v>411</v>
      </c>
      <c r="G413" s="28"/>
      <c r="H413" s="4" t="s">
        <v>499</v>
      </c>
      <c r="I413" s="45" t="s">
        <v>32</v>
      </c>
      <c r="J413" s="41" t="s">
        <v>500</v>
      </c>
      <c r="K413" s="154">
        <v>42.9</v>
      </c>
      <c r="L413" s="154">
        <v>42.9</v>
      </c>
    </row>
    <row r="414" spans="2:12" ht="15" customHeight="1" x14ac:dyDescent="0.25">
      <c r="B414" s="89" t="s">
        <v>14</v>
      </c>
      <c r="C414" s="104" t="s">
        <v>411</v>
      </c>
      <c r="D414" s="90" t="s">
        <v>150</v>
      </c>
      <c r="E414" s="116" t="str">
        <f t="shared" si="6"/>
        <v>Essencial Sabonete Liquido em Gel Essencial Exclusivo Floral 100g Frasco</v>
      </c>
      <c r="F414" s="4" t="s">
        <v>501</v>
      </c>
      <c r="G414" s="28"/>
      <c r="H414" s="4" t="s">
        <v>499</v>
      </c>
      <c r="I414" s="45" t="s">
        <v>32</v>
      </c>
      <c r="J414" s="13" t="s">
        <v>502</v>
      </c>
      <c r="K414" s="154">
        <v>39.9</v>
      </c>
      <c r="L414" s="154">
        <v>39.9</v>
      </c>
    </row>
    <row r="415" spans="2:12" ht="15" customHeight="1" x14ac:dyDescent="0.25">
      <c r="B415" s="89" t="s">
        <v>14</v>
      </c>
      <c r="C415" s="104" t="s">
        <v>411</v>
      </c>
      <c r="D415" s="90" t="s">
        <v>150</v>
      </c>
      <c r="E415" s="116" t="str">
        <f t="shared" si="6"/>
        <v>Essencial Sabonete Liquido em Gel Essencial Oud 100g Frasco</v>
      </c>
      <c r="F415" s="4" t="s">
        <v>483</v>
      </c>
      <c r="G415" s="28"/>
      <c r="H415" s="4" t="s">
        <v>499</v>
      </c>
      <c r="I415" s="45" t="s">
        <v>32</v>
      </c>
      <c r="J415" s="13" t="s">
        <v>502</v>
      </c>
      <c r="K415" s="154">
        <v>39.9</v>
      </c>
      <c r="L415" s="154">
        <v>39.9</v>
      </c>
    </row>
    <row r="416" spans="2:12" ht="15" customHeight="1" x14ac:dyDescent="0.25">
      <c r="B416" s="89" t="s">
        <v>14</v>
      </c>
      <c r="C416" s="104" t="s">
        <v>411</v>
      </c>
      <c r="D416" s="90" t="s">
        <v>503</v>
      </c>
      <c r="E416" s="116" t="str">
        <f t="shared" si="6"/>
        <v>Essencial Sabonete em barra Masculino 2x100g Caixa</v>
      </c>
      <c r="F416" s="4" t="s">
        <v>504</v>
      </c>
      <c r="G416" s="28">
        <v>2</v>
      </c>
      <c r="H416" s="4" t="s">
        <v>499</v>
      </c>
      <c r="I416" s="45" t="s">
        <v>505</v>
      </c>
      <c r="J416" s="4" t="s">
        <v>506</v>
      </c>
      <c r="K416" s="154">
        <v>42.9</v>
      </c>
      <c r="L416" s="154">
        <v>42.9</v>
      </c>
    </row>
    <row r="417" spans="2:12" s="12" customFormat="1" ht="15" customHeight="1" x14ac:dyDescent="0.25">
      <c r="B417" s="89" t="s">
        <v>14</v>
      </c>
      <c r="C417" s="104" t="s">
        <v>411</v>
      </c>
      <c r="D417" s="90" t="s">
        <v>503</v>
      </c>
      <c r="E417" s="116" t="str">
        <f t="shared" si="6"/>
        <v>Essencial Sabonete em barra Atô 1x100g Caixa</v>
      </c>
      <c r="F417" s="11" t="s">
        <v>507</v>
      </c>
      <c r="G417" s="28">
        <v>1</v>
      </c>
      <c r="H417" s="4" t="s">
        <v>499</v>
      </c>
      <c r="I417" s="45" t="s">
        <v>505</v>
      </c>
      <c r="J417" s="4" t="s">
        <v>506</v>
      </c>
      <c r="K417" s="165">
        <v>19.899999999999999</v>
      </c>
      <c r="L417" s="165">
        <v>19.899999999999999</v>
      </c>
    </row>
    <row r="418" spans="2:12" ht="15" customHeight="1" x14ac:dyDescent="0.25">
      <c r="B418" s="89" t="s">
        <v>14</v>
      </c>
      <c r="C418" s="104" t="s">
        <v>411</v>
      </c>
      <c r="D418" s="90" t="s">
        <v>503</v>
      </c>
      <c r="E418" s="116" t="str">
        <f t="shared" si="6"/>
        <v>Essencial Sabonete em barra Supreme 1x100g Caixa</v>
      </c>
      <c r="F418" s="4" t="s">
        <v>508</v>
      </c>
      <c r="G418" s="28">
        <v>1</v>
      </c>
      <c r="H418" s="4" t="s">
        <v>499</v>
      </c>
      <c r="I418" s="45" t="s">
        <v>505</v>
      </c>
      <c r="J418" s="4" t="s">
        <v>506</v>
      </c>
      <c r="K418" s="165">
        <v>19.899999999999999</v>
      </c>
      <c r="L418" s="165">
        <v>19.899999999999999</v>
      </c>
    </row>
    <row r="419" spans="2:12" s="12" customFormat="1" ht="15" customHeight="1" x14ac:dyDescent="0.25">
      <c r="B419" s="89" t="s">
        <v>14</v>
      </c>
      <c r="C419" s="105" t="s">
        <v>509</v>
      </c>
      <c r="D419" s="92" t="s">
        <v>323</v>
      </c>
      <c r="E419" s="116" t="str">
        <f t="shared" si="6"/>
        <v>Luna Colonia Feminino 25ml Miniatura</v>
      </c>
      <c r="F419" s="138" t="s">
        <v>448</v>
      </c>
      <c r="G419" s="28"/>
      <c r="H419" s="11" t="s">
        <v>510</v>
      </c>
      <c r="I419" s="51" t="s">
        <v>511</v>
      </c>
      <c r="J419" s="21" t="s">
        <v>512</v>
      </c>
      <c r="K419" s="27" t="s">
        <v>513</v>
      </c>
      <c r="L419" s="27" t="s">
        <v>513</v>
      </c>
    </row>
    <row r="420" spans="2:12" s="12" customFormat="1" ht="15" customHeight="1" x14ac:dyDescent="0.25">
      <c r="B420" s="89" t="s">
        <v>14</v>
      </c>
      <c r="C420" s="105" t="s">
        <v>509</v>
      </c>
      <c r="D420" s="92" t="s">
        <v>323</v>
      </c>
      <c r="E420" s="116" t="str">
        <f t="shared" si="6"/>
        <v>Luna Colonia Girl Infantil 25ml Miniatura</v>
      </c>
      <c r="F420" s="136" t="s">
        <v>514</v>
      </c>
      <c r="G420" s="28"/>
      <c r="H420" s="11" t="s">
        <v>510</v>
      </c>
      <c r="I420" s="51" t="s">
        <v>511</v>
      </c>
      <c r="J420" s="78" t="s">
        <v>515</v>
      </c>
      <c r="K420" s="27" t="s">
        <v>513</v>
      </c>
      <c r="L420" s="27" t="s">
        <v>513</v>
      </c>
    </row>
    <row r="421" spans="2:12" ht="15" customHeight="1" x14ac:dyDescent="0.25">
      <c r="B421" s="89" t="s">
        <v>14</v>
      </c>
      <c r="C421" s="105" t="s">
        <v>509</v>
      </c>
      <c r="D421" s="92" t="s">
        <v>323</v>
      </c>
      <c r="E421" s="116" t="str">
        <f t="shared" si="6"/>
        <v>Luna Colonia Absoluta Feminino 75ml Frasco</v>
      </c>
      <c r="F421" s="137" t="s">
        <v>516</v>
      </c>
      <c r="G421" s="28"/>
      <c r="H421" s="4" t="s">
        <v>492</v>
      </c>
      <c r="I421" s="45" t="s">
        <v>32</v>
      </c>
      <c r="J421" s="42" t="s">
        <v>517</v>
      </c>
      <c r="K421" s="154">
        <v>189.9</v>
      </c>
      <c r="L421" s="154">
        <v>189.9</v>
      </c>
    </row>
    <row r="422" spans="2:12" ht="15" customHeight="1" x14ac:dyDescent="0.25">
      <c r="B422" s="89" t="s">
        <v>14</v>
      </c>
      <c r="C422" s="105" t="s">
        <v>509</v>
      </c>
      <c r="D422" s="92" t="s">
        <v>323</v>
      </c>
      <c r="E422" s="116" t="str">
        <f t="shared" si="6"/>
        <v>Luna Colonia Confiante Feminino 75ml Frasco</v>
      </c>
      <c r="F422" s="128" t="s">
        <v>518</v>
      </c>
      <c r="G422" s="28"/>
      <c r="H422" s="4" t="s">
        <v>492</v>
      </c>
      <c r="I422" s="45" t="s">
        <v>32</v>
      </c>
      <c r="J422" s="13" t="s">
        <v>519</v>
      </c>
      <c r="K422" s="154">
        <v>189.9</v>
      </c>
      <c r="L422" s="154">
        <v>189.9</v>
      </c>
    </row>
    <row r="423" spans="2:12" ht="15" customHeight="1" x14ac:dyDescent="0.25">
      <c r="B423" s="89" t="s">
        <v>14</v>
      </c>
      <c r="C423" s="105" t="s">
        <v>509</v>
      </c>
      <c r="D423" s="92" t="s">
        <v>323</v>
      </c>
      <c r="E423" s="116" t="str">
        <f t="shared" si="6"/>
        <v>Luna Colonia Coragem Feminino 75ml Frasco</v>
      </c>
      <c r="F423" s="128" t="s">
        <v>520</v>
      </c>
      <c r="G423" s="28"/>
      <c r="H423" s="4" t="s">
        <v>492</v>
      </c>
      <c r="I423" s="45" t="s">
        <v>32</v>
      </c>
      <c r="J423" s="13" t="s">
        <v>521</v>
      </c>
      <c r="K423" s="154">
        <v>189.9</v>
      </c>
      <c r="L423" s="154">
        <v>189.9</v>
      </c>
    </row>
    <row r="424" spans="2:12" ht="15" customHeight="1" x14ac:dyDescent="0.25">
      <c r="B424" s="89" t="s">
        <v>14</v>
      </c>
      <c r="C424" s="105" t="s">
        <v>509</v>
      </c>
      <c r="D424" s="92" t="s">
        <v>323</v>
      </c>
      <c r="E424" s="116" t="str">
        <f t="shared" si="6"/>
        <v>Luna Colonia Divina Feminino 75ml Frasco</v>
      </c>
      <c r="F424" s="88" t="s">
        <v>522</v>
      </c>
      <c r="G424" s="28"/>
      <c r="H424" s="4" t="s">
        <v>492</v>
      </c>
      <c r="I424" s="45" t="s">
        <v>32</v>
      </c>
      <c r="J424" s="13" t="s">
        <v>523</v>
      </c>
      <c r="K424" s="154">
        <v>189.9</v>
      </c>
      <c r="L424" s="154">
        <v>189.9</v>
      </c>
    </row>
    <row r="425" spans="2:12" ht="15" customHeight="1" x14ac:dyDescent="0.25">
      <c r="B425" s="89" t="s">
        <v>14</v>
      </c>
      <c r="C425" s="105" t="s">
        <v>509</v>
      </c>
      <c r="D425" s="92" t="s">
        <v>323</v>
      </c>
      <c r="E425" s="116" t="str">
        <f t="shared" si="6"/>
        <v>Luna Colonia Fascinante Feminino 75ml Frasco</v>
      </c>
      <c r="F425" s="128" t="s">
        <v>524</v>
      </c>
      <c r="G425" s="28"/>
      <c r="H425" s="4" t="s">
        <v>492</v>
      </c>
      <c r="I425" s="45" t="s">
        <v>32</v>
      </c>
      <c r="J425" s="13" t="s">
        <v>525</v>
      </c>
      <c r="K425" s="154">
        <v>189.9</v>
      </c>
      <c r="L425" s="154">
        <v>189.9</v>
      </c>
    </row>
    <row r="426" spans="2:12" ht="15" customHeight="1" x14ac:dyDescent="0.25">
      <c r="B426" s="89" t="s">
        <v>14</v>
      </c>
      <c r="C426" s="105" t="s">
        <v>509</v>
      </c>
      <c r="D426" s="92" t="s">
        <v>323</v>
      </c>
      <c r="E426" s="116" t="str">
        <f t="shared" si="6"/>
        <v>Luna Colonia Força Feminino 75ml Frasco</v>
      </c>
      <c r="F426" s="88" t="s">
        <v>526</v>
      </c>
      <c r="G426" s="28"/>
      <c r="H426" s="4" t="s">
        <v>492</v>
      </c>
      <c r="I426" s="45" t="s">
        <v>32</v>
      </c>
      <c r="J426" s="21" t="s">
        <v>527</v>
      </c>
      <c r="K426" s="154">
        <v>189.9</v>
      </c>
      <c r="L426" s="154">
        <v>189.9</v>
      </c>
    </row>
    <row r="427" spans="2:12" ht="15" customHeight="1" x14ac:dyDescent="0.25">
      <c r="B427" s="89" t="s">
        <v>14</v>
      </c>
      <c r="C427" s="105" t="s">
        <v>509</v>
      </c>
      <c r="D427" s="92" t="s">
        <v>323</v>
      </c>
      <c r="E427" s="116" t="str">
        <f t="shared" si="6"/>
        <v>Luna Colonia Feminino 75ml Frasco</v>
      </c>
      <c r="F427" s="88" t="s">
        <v>448</v>
      </c>
      <c r="G427" s="28"/>
      <c r="H427" s="4" t="s">
        <v>492</v>
      </c>
      <c r="I427" s="45" t="s">
        <v>32</v>
      </c>
      <c r="J427" s="21" t="s">
        <v>512</v>
      </c>
      <c r="K427" s="154">
        <v>189.9</v>
      </c>
      <c r="L427" s="154">
        <v>189.9</v>
      </c>
    </row>
    <row r="428" spans="2:12" ht="15" customHeight="1" x14ac:dyDescent="0.25">
      <c r="B428" s="89" t="s">
        <v>14</v>
      </c>
      <c r="C428" s="105" t="s">
        <v>509</v>
      </c>
      <c r="D428" s="92" t="s">
        <v>323</v>
      </c>
      <c r="E428" s="116" t="str">
        <f t="shared" si="6"/>
        <v>Luna Colonia Liberdade Feminino 75ml Frasco</v>
      </c>
      <c r="F428" s="128" t="s">
        <v>528</v>
      </c>
      <c r="G428" s="28"/>
      <c r="H428" s="4" t="s">
        <v>492</v>
      </c>
      <c r="I428" s="45" t="s">
        <v>32</v>
      </c>
      <c r="J428" s="30" t="s">
        <v>529</v>
      </c>
      <c r="K428" s="154">
        <v>189.9</v>
      </c>
      <c r="L428" s="154">
        <v>189.9</v>
      </c>
    </row>
    <row r="429" spans="2:12" ht="15" customHeight="1" x14ac:dyDescent="0.25">
      <c r="B429" s="89" t="s">
        <v>14</v>
      </c>
      <c r="C429" s="105" t="s">
        <v>509</v>
      </c>
      <c r="D429" s="92" t="s">
        <v>323</v>
      </c>
      <c r="E429" s="116" t="str">
        <f t="shared" si="6"/>
        <v>Luna Colonia Marcante Feminino 75ml Frasco</v>
      </c>
      <c r="F429" s="128" t="s">
        <v>530</v>
      </c>
      <c r="G429" s="28"/>
      <c r="H429" s="4" t="s">
        <v>492</v>
      </c>
      <c r="I429" s="45" t="s">
        <v>32</v>
      </c>
      <c r="J429" s="13" t="s">
        <v>531</v>
      </c>
      <c r="K429" s="154">
        <v>189.9</v>
      </c>
      <c r="L429" s="154">
        <v>189.9</v>
      </c>
    </row>
    <row r="430" spans="2:12" ht="15" customHeight="1" x14ac:dyDescent="0.25">
      <c r="B430" s="89" t="s">
        <v>14</v>
      </c>
      <c r="C430" s="105" t="s">
        <v>509</v>
      </c>
      <c r="D430" s="92" t="s">
        <v>323</v>
      </c>
      <c r="E430" s="116" t="str">
        <f t="shared" si="6"/>
        <v>Luna Colonia Ousadia Feminino 75ml Frasco</v>
      </c>
      <c r="F430" s="128" t="s">
        <v>532</v>
      </c>
      <c r="G430" s="28"/>
      <c r="H430" s="4" t="s">
        <v>492</v>
      </c>
      <c r="I430" s="45" t="s">
        <v>32</v>
      </c>
      <c r="J430" s="30" t="s">
        <v>533</v>
      </c>
      <c r="K430" s="154">
        <v>189.9</v>
      </c>
      <c r="L430" s="154">
        <v>189.9</v>
      </c>
    </row>
    <row r="431" spans="2:12" ht="15" customHeight="1" x14ac:dyDescent="0.25">
      <c r="B431" s="89" t="s">
        <v>14</v>
      </c>
      <c r="C431" s="105" t="s">
        <v>509</v>
      </c>
      <c r="D431" s="92" t="s">
        <v>323</v>
      </c>
      <c r="E431" s="116" t="str">
        <f t="shared" si="6"/>
        <v>Luna Colonia Radiante Feminino 75ml Frasco</v>
      </c>
      <c r="F431" s="128" t="s">
        <v>534</v>
      </c>
      <c r="G431" s="28"/>
      <c r="H431" s="4" t="s">
        <v>492</v>
      </c>
      <c r="I431" s="45" t="s">
        <v>32</v>
      </c>
      <c r="J431" s="13" t="s">
        <v>535</v>
      </c>
      <c r="K431" s="154">
        <v>189.9</v>
      </c>
      <c r="L431" s="154">
        <v>189.9</v>
      </c>
    </row>
    <row r="432" spans="2:12" ht="15" customHeight="1" x14ac:dyDescent="0.25">
      <c r="B432" s="89" t="s">
        <v>14</v>
      </c>
      <c r="C432" s="105" t="s">
        <v>509</v>
      </c>
      <c r="D432" s="92" t="s">
        <v>323</v>
      </c>
      <c r="E432" s="116" t="str">
        <f t="shared" si="6"/>
        <v>Luna Colonia Rosé Feminino 75ml Frasco</v>
      </c>
      <c r="F432" s="128" t="s">
        <v>536</v>
      </c>
      <c r="G432" s="28"/>
      <c r="H432" s="4" t="s">
        <v>492</v>
      </c>
      <c r="I432" s="45" t="s">
        <v>32</v>
      </c>
      <c r="J432" s="13" t="s">
        <v>537</v>
      </c>
      <c r="K432" s="154">
        <v>189.9</v>
      </c>
      <c r="L432" s="154">
        <v>189.9</v>
      </c>
    </row>
    <row r="433" spans="2:12" ht="15" customHeight="1" x14ac:dyDescent="0.25">
      <c r="B433" s="89" t="s">
        <v>14</v>
      </c>
      <c r="C433" s="105" t="s">
        <v>509</v>
      </c>
      <c r="D433" s="90" t="s">
        <v>412</v>
      </c>
      <c r="E433" s="116" t="str">
        <f t="shared" si="6"/>
        <v>Luna Deo Parfum Ilumina 50ml Frasco</v>
      </c>
      <c r="F433" s="4" t="s">
        <v>538</v>
      </c>
      <c r="G433" s="28"/>
      <c r="H433" s="4" t="s">
        <v>539</v>
      </c>
      <c r="I433" s="45" t="s">
        <v>32</v>
      </c>
      <c r="J433" s="13" t="s">
        <v>540</v>
      </c>
      <c r="K433" s="154">
        <v>218.9</v>
      </c>
      <c r="L433" s="154">
        <v>218.9</v>
      </c>
    </row>
    <row r="434" spans="2:12" ht="15" customHeight="1" x14ac:dyDescent="0.25">
      <c r="B434" s="89" t="s">
        <v>14</v>
      </c>
      <c r="C434" s="105" t="s">
        <v>509</v>
      </c>
      <c r="D434" s="90" t="s">
        <v>412</v>
      </c>
      <c r="E434" s="116" t="str">
        <f t="shared" si="6"/>
        <v>Luna Deo Parfum Intenso 50ml Frasco</v>
      </c>
      <c r="F434" s="4" t="s">
        <v>541</v>
      </c>
      <c r="G434" s="28"/>
      <c r="H434" s="4" t="s">
        <v>539</v>
      </c>
      <c r="I434" s="45" t="s">
        <v>32</v>
      </c>
      <c r="J434" s="13" t="s">
        <v>542</v>
      </c>
      <c r="K434" s="154">
        <v>218.9</v>
      </c>
      <c r="L434" s="154">
        <v>218.9</v>
      </c>
    </row>
    <row r="435" spans="2:12" s="12" customFormat="1" ht="15" customHeight="1" x14ac:dyDescent="0.25">
      <c r="B435" s="89" t="s">
        <v>14</v>
      </c>
      <c r="C435" s="105" t="s">
        <v>509</v>
      </c>
      <c r="D435" s="90" t="s">
        <v>479</v>
      </c>
      <c r="E435" s="116" t="str">
        <f t="shared" si="6"/>
        <v>Luna Hidratante Desodorante Perfumado Intenso 200g Pote</v>
      </c>
      <c r="F435" s="11" t="s">
        <v>541</v>
      </c>
      <c r="G435" s="28"/>
      <c r="H435" s="11" t="s">
        <v>60</v>
      </c>
      <c r="I435" s="51" t="s">
        <v>55</v>
      </c>
      <c r="J435" s="13" t="s">
        <v>485</v>
      </c>
      <c r="K435" s="165">
        <v>120.9</v>
      </c>
      <c r="L435" s="165">
        <v>120.9</v>
      </c>
    </row>
    <row r="436" spans="2:12" s="12" customFormat="1" ht="15" customHeight="1" x14ac:dyDescent="0.25">
      <c r="B436" s="89" t="s">
        <v>14</v>
      </c>
      <c r="C436" s="105" t="s">
        <v>509</v>
      </c>
      <c r="D436" s="90" t="s">
        <v>479</v>
      </c>
      <c r="E436" s="116" t="str">
        <f t="shared" si="6"/>
        <v>Luna Hidratante Desodorante Perfumado Intenso 200g Refil</v>
      </c>
      <c r="F436" s="11" t="s">
        <v>541</v>
      </c>
      <c r="G436" s="28"/>
      <c r="H436" s="11" t="s">
        <v>60</v>
      </c>
      <c r="I436" s="51" t="s">
        <v>183</v>
      </c>
      <c r="J436" s="13" t="s">
        <v>485</v>
      </c>
      <c r="K436" s="165">
        <v>89.9</v>
      </c>
      <c r="L436" s="165">
        <v>89.9</v>
      </c>
    </row>
    <row r="437" spans="2:12" s="12" customFormat="1" ht="15" customHeight="1" x14ac:dyDescent="0.25">
      <c r="B437" s="89" t="s">
        <v>14</v>
      </c>
      <c r="C437" s="105" t="s">
        <v>509</v>
      </c>
      <c r="D437" s="90" t="s">
        <v>479</v>
      </c>
      <c r="E437" s="116" t="str">
        <f t="shared" si="6"/>
        <v>Luna Hidratante Desodorante Perfumado Absoluta 300ml Frasco</v>
      </c>
      <c r="F437" s="4" t="s">
        <v>543</v>
      </c>
      <c r="G437" s="28"/>
      <c r="H437" s="11" t="s">
        <v>151</v>
      </c>
      <c r="I437" s="51" t="s">
        <v>32</v>
      </c>
      <c r="J437" s="13" t="s">
        <v>480</v>
      </c>
      <c r="K437" s="165">
        <v>87.9</v>
      </c>
      <c r="L437" s="165">
        <v>87.9</v>
      </c>
    </row>
    <row r="438" spans="2:12" s="12" customFormat="1" ht="15" customHeight="1" x14ac:dyDescent="0.25">
      <c r="B438" s="89" t="s">
        <v>14</v>
      </c>
      <c r="C438" s="105" t="s">
        <v>509</v>
      </c>
      <c r="D438" s="90" t="s">
        <v>479</v>
      </c>
      <c r="E438" s="116" t="str">
        <f t="shared" si="6"/>
        <v>Luna Hidratante Desodorante Perfumado Confiante 300ml Frasco</v>
      </c>
      <c r="F438" s="4" t="s">
        <v>544</v>
      </c>
      <c r="G438" s="28"/>
      <c r="H438" s="11" t="s">
        <v>151</v>
      </c>
      <c r="I438" s="51" t="s">
        <v>32</v>
      </c>
      <c r="J438" s="13" t="s">
        <v>480</v>
      </c>
      <c r="K438" s="165">
        <v>87.9</v>
      </c>
      <c r="L438" s="165">
        <v>87.9</v>
      </c>
    </row>
    <row r="439" spans="2:12" s="12" customFormat="1" ht="15" customHeight="1" x14ac:dyDescent="0.25">
      <c r="B439" s="89" t="s">
        <v>14</v>
      </c>
      <c r="C439" s="105" t="s">
        <v>509</v>
      </c>
      <c r="D439" s="90" t="s">
        <v>479</v>
      </c>
      <c r="E439" s="116" t="str">
        <f t="shared" si="6"/>
        <v>Luna Hidratante Desodorante Perfumado Coragem 300ml Frasco</v>
      </c>
      <c r="F439" s="4" t="s">
        <v>545</v>
      </c>
      <c r="G439" s="28"/>
      <c r="H439" s="11" t="s">
        <v>151</v>
      </c>
      <c r="I439" s="51" t="s">
        <v>32</v>
      </c>
      <c r="J439" s="13" t="s">
        <v>480</v>
      </c>
      <c r="K439" s="165">
        <v>87.9</v>
      </c>
      <c r="L439" s="165">
        <v>87.9</v>
      </c>
    </row>
    <row r="440" spans="2:12" s="12" customFormat="1" ht="15" customHeight="1" x14ac:dyDescent="0.25">
      <c r="B440" s="89" t="s">
        <v>14</v>
      </c>
      <c r="C440" s="105" t="s">
        <v>509</v>
      </c>
      <c r="D440" s="90" t="s">
        <v>479</v>
      </c>
      <c r="E440" s="116" t="str">
        <f t="shared" si="6"/>
        <v>Luna Hidratante Desodorante Perfumado Feminino 300ml Frasco</v>
      </c>
      <c r="F440" s="21" t="s">
        <v>448</v>
      </c>
      <c r="G440" s="28"/>
      <c r="H440" s="11" t="s">
        <v>151</v>
      </c>
      <c r="I440" s="51" t="s">
        <v>32</v>
      </c>
      <c r="J440" s="13" t="s">
        <v>480</v>
      </c>
      <c r="K440" s="165">
        <v>87.9</v>
      </c>
      <c r="L440" s="165">
        <v>87.9</v>
      </c>
    </row>
    <row r="441" spans="2:12" s="12" customFormat="1" ht="15" customHeight="1" x14ac:dyDescent="0.25">
      <c r="B441" s="89" t="s">
        <v>14</v>
      </c>
      <c r="C441" s="105" t="s">
        <v>509</v>
      </c>
      <c r="D441" s="90" t="s">
        <v>479</v>
      </c>
      <c r="E441" s="116" t="str">
        <f t="shared" si="6"/>
        <v>Luna Hidratante Desodorante Perfumado Liberdade 300ml Frasco</v>
      </c>
      <c r="F441" s="4" t="s">
        <v>546</v>
      </c>
      <c r="G441" s="28"/>
      <c r="H441" s="11" t="s">
        <v>151</v>
      </c>
      <c r="I441" s="51" t="s">
        <v>32</v>
      </c>
      <c r="J441" s="13" t="s">
        <v>480</v>
      </c>
      <c r="K441" s="165">
        <v>87.9</v>
      </c>
      <c r="L441" s="165">
        <v>87.9</v>
      </c>
    </row>
    <row r="442" spans="2:12" s="12" customFormat="1" ht="15" customHeight="1" x14ac:dyDescent="0.25">
      <c r="B442" s="89" t="s">
        <v>14</v>
      </c>
      <c r="C442" s="105" t="s">
        <v>509</v>
      </c>
      <c r="D442" s="90" t="s">
        <v>479</v>
      </c>
      <c r="E442" s="116" t="str">
        <f t="shared" si="6"/>
        <v>Luna Hidratante Desodorante Perfumado Ousadia 300ml Frasco</v>
      </c>
      <c r="F442" s="4" t="s">
        <v>547</v>
      </c>
      <c r="G442" s="28"/>
      <c r="H442" s="11" t="s">
        <v>151</v>
      </c>
      <c r="I442" s="51" t="s">
        <v>32</v>
      </c>
      <c r="J442" s="13" t="s">
        <v>480</v>
      </c>
      <c r="K442" s="165">
        <v>87.9</v>
      </c>
      <c r="L442" s="165">
        <v>87.9</v>
      </c>
    </row>
    <row r="443" spans="2:12" s="12" customFormat="1" ht="15" customHeight="1" x14ac:dyDescent="0.25">
      <c r="B443" s="89" t="s">
        <v>14</v>
      </c>
      <c r="C443" s="105" t="s">
        <v>509</v>
      </c>
      <c r="D443" s="90" t="s">
        <v>479</v>
      </c>
      <c r="E443" s="116" t="str">
        <f t="shared" si="6"/>
        <v>Luna Hidratante Desodorante Perfumado Radiante 300ml Frasco</v>
      </c>
      <c r="F443" s="4" t="s">
        <v>548</v>
      </c>
      <c r="G443" s="28"/>
      <c r="H443" s="11" t="s">
        <v>151</v>
      </c>
      <c r="I443" s="51" t="s">
        <v>32</v>
      </c>
      <c r="J443" s="13" t="s">
        <v>480</v>
      </c>
      <c r="K443" s="165">
        <v>87.9</v>
      </c>
      <c r="L443" s="165">
        <v>87.9</v>
      </c>
    </row>
    <row r="444" spans="2:12" s="12" customFormat="1" ht="15" customHeight="1" x14ac:dyDescent="0.25">
      <c r="B444" s="89" t="s">
        <v>14</v>
      </c>
      <c r="C444" s="105" t="s">
        <v>509</v>
      </c>
      <c r="D444" s="90" t="s">
        <v>479</v>
      </c>
      <c r="E444" s="116" t="str">
        <f t="shared" si="6"/>
        <v>Luna Hidratante Desodorante Perfumado Ousadia 300ml Frasco</v>
      </c>
      <c r="F444" s="4" t="s">
        <v>547</v>
      </c>
      <c r="G444" s="28"/>
      <c r="H444" s="11" t="s">
        <v>151</v>
      </c>
      <c r="I444" s="51" t="s">
        <v>32</v>
      </c>
      <c r="J444" s="13" t="s">
        <v>480</v>
      </c>
      <c r="K444" s="165">
        <v>87.9</v>
      </c>
      <c r="L444" s="165">
        <v>87.9</v>
      </c>
    </row>
    <row r="445" spans="2:12" ht="15" customHeight="1" x14ac:dyDescent="0.25">
      <c r="B445" s="89" t="s">
        <v>14</v>
      </c>
      <c r="C445" s="105" t="s">
        <v>509</v>
      </c>
      <c r="D445" s="90" t="s">
        <v>479</v>
      </c>
      <c r="E445" s="116" t="str">
        <f t="shared" si="6"/>
        <v>Luna Hidratante Desodorante Perfumado Absoluta 300ml Refil</v>
      </c>
      <c r="F445" s="4" t="s">
        <v>543</v>
      </c>
      <c r="G445" s="28"/>
      <c r="H445" s="11" t="s">
        <v>151</v>
      </c>
      <c r="I445" s="45" t="s">
        <v>183</v>
      </c>
      <c r="J445" s="13" t="s">
        <v>480</v>
      </c>
      <c r="K445" s="154">
        <v>59.9</v>
      </c>
      <c r="L445" s="154">
        <v>59.9</v>
      </c>
    </row>
    <row r="446" spans="2:12" ht="15" customHeight="1" x14ac:dyDescent="0.25">
      <c r="B446" s="89" t="s">
        <v>14</v>
      </c>
      <c r="C446" s="105" t="s">
        <v>509</v>
      </c>
      <c r="D446" s="90" t="s">
        <v>479</v>
      </c>
      <c r="E446" s="116" t="str">
        <f t="shared" si="6"/>
        <v>Luna Hidratante Desodorante Perfumado Confiante 300ml Refil</v>
      </c>
      <c r="F446" s="4" t="s">
        <v>544</v>
      </c>
      <c r="G446" s="28"/>
      <c r="H446" s="11" t="s">
        <v>151</v>
      </c>
      <c r="I446" s="45" t="s">
        <v>183</v>
      </c>
      <c r="J446" s="13" t="s">
        <v>480</v>
      </c>
      <c r="K446" s="154">
        <v>59.9</v>
      </c>
      <c r="L446" s="154">
        <v>59.9</v>
      </c>
    </row>
    <row r="447" spans="2:12" ht="15" customHeight="1" x14ac:dyDescent="0.25">
      <c r="B447" s="89" t="s">
        <v>14</v>
      </c>
      <c r="C447" s="105" t="s">
        <v>509</v>
      </c>
      <c r="D447" s="90" t="s">
        <v>479</v>
      </c>
      <c r="E447" s="116" t="str">
        <f t="shared" si="6"/>
        <v>Luna Hidratante Desodorante Perfumado Coragem 300ml Refil</v>
      </c>
      <c r="F447" s="4" t="s">
        <v>545</v>
      </c>
      <c r="G447" s="28"/>
      <c r="H447" s="11" t="s">
        <v>151</v>
      </c>
      <c r="I447" s="45" t="s">
        <v>183</v>
      </c>
      <c r="J447" s="13" t="s">
        <v>480</v>
      </c>
      <c r="K447" s="154">
        <v>59.9</v>
      </c>
      <c r="L447" s="154">
        <v>59.9</v>
      </c>
    </row>
    <row r="448" spans="2:12" ht="15" customHeight="1" x14ac:dyDescent="0.25">
      <c r="B448" s="89" t="s">
        <v>14</v>
      </c>
      <c r="C448" s="105" t="s">
        <v>509</v>
      </c>
      <c r="D448" s="90" t="s">
        <v>479</v>
      </c>
      <c r="E448" s="116" t="str">
        <f t="shared" si="6"/>
        <v>Luna Hidratante Desodorante Perfumado Feminino 300ml Refil</v>
      </c>
      <c r="F448" s="21" t="s">
        <v>448</v>
      </c>
      <c r="G448" s="28"/>
      <c r="H448" s="11" t="s">
        <v>151</v>
      </c>
      <c r="I448" s="45" t="s">
        <v>183</v>
      </c>
      <c r="J448" s="13" t="s">
        <v>480</v>
      </c>
      <c r="K448" s="154">
        <v>59.9</v>
      </c>
      <c r="L448" s="154">
        <v>59.9</v>
      </c>
    </row>
    <row r="449" spans="2:12" ht="15" customHeight="1" x14ac:dyDescent="0.25">
      <c r="B449" s="89" t="s">
        <v>14</v>
      </c>
      <c r="C449" s="105" t="s">
        <v>509</v>
      </c>
      <c r="D449" s="90" t="s">
        <v>479</v>
      </c>
      <c r="E449" s="116" t="str">
        <f t="shared" si="6"/>
        <v>Luna Hidratante Desodorante Perfumado Liberdade 300ml Refil</v>
      </c>
      <c r="F449" s="4" t="s">
        <v>546</v>
      </c>
      <c r="G449" s="28"/>
      <c r="H449" s="11" t="s">
        <v>151</v>
      </c>
      <c r="I449" s="45" t="s">
        <v>183</v>
      </c>
      <c r="J449" s="13" t="s">
        <v>480</v>
      </c>
      <c r="K449" s="154">
        <v>59.9</v>
      </c>
      <c r="L449" s="154">
        <v>59.9</v>
      </c>
    </row>
    <row r="450" spans="2:12" ht="15" customHeight="1" x14ac:dyDescent="0.25">
      <c r="B450" s="89" t="s">
        <v>14</v>
      </c>
      <c r="C450" s="105" t="s">
        <v>509</v>
      </c>
      <c r="D450" s="90" t="s">
        <v>479</v>
      </c>
      <c r="E450" s="116" t="str">
        <f t="shared" si="6"/>
        <v>Luna Hidratante Desodorante Perfumado Ousadia 300ml Refil</v>
      </c>
      <c r="F450" s="4" t="s">
        <v>547</v>
      </c>
      <c r="G450" s="28"/>
      <c r="H450" s="11" t="s">
        <v>151</v>
      </c>
      <c r="I450" s="45" t="s">
        <v>183</v>
      </c>
      <c r="J450" s="13" t="s">
        <v>480</v>
      </c>
      <c r="K450" s="154">
        <v>59.9</v>
      </c>
      <c r="L450" s="154">
        <v>59.9</v>
      </c>
    </row>
    <row r="451" spans="2:12" ht="15" customHeight="1" x14ac:dyDescent="0.25">
      <c r="B451" s="89" t="s">
        <v>14</v>
      </c>
      <c r="C451" s="105" t="s">
        <v>509</v>
      </c>
      <c r="D451" s="90" t="s">
        <v>479</v>
      </c>
      <c r="E451" s="116" t="str">
        <f t="shared" ref="E451:E514" si="7">TRIM(CONCATENATE(C451, " ", D451, " ", F451, " ", IF(G451&gt;0, G451 &amp; "x" &amp; H451, H451), " ", I451))</f>
        <v>Luna Hidratante Desodorante Perfumado Radiante 300ml Refil</v>
      </c>
      <c r="F451" s="4" t="s">
        <v>548</v>
      </c>
      <c r="G451" s="28"/>
      <c r="H451" s="11" t="s">
        <v>151</v>
      </c>
      <c r="I451" s="45" t="s">
        <v>183</v>
      </c>
      <c r="J451" s="13" t="s">
        <v>480</v>
      </c>
      <c r="K451" s="154">
        <v>59.9</v>
      </c>
      <c r="L451" s="154">
        <v>59.9</v>
      </c>
    </row>
    <row r="452" spans="2:12" ht="15" customHeight="1" x14ac:dyDescent="0.25">
      <c r="B452" s="89" t="s">
        <v>14</v>
      </c>
      <c r="C452" s="105" t="s">
        <v>509</v>
      </c>
      <c r="D452" s="90" t="s">
        <v>479</v>
      </c>
      <c r="E452" s="116" t="str">
        <f t="shared" si="7"/>
        <v>Luna Hidratante Desodorante Perfumado Ousadia 300ml Refil</v>
      </c>
      <c r="F452" s="4" t="s">
        <v>547</v>
      </c>
      <c r="G452" s="28"/>
      <c r="H452" s="11" t="s">
        <v>151</v>
      </c>
      <c r="I452" s="45" t="s">
        <v>183</v>
      </c>
      <c r="J452" s="13" t="s">
        <v>480</v>
      </c>
      <c r="K452" s="154">
        <v>59.9</v>
      </c>
      <c r="L452" s="154">
        <v>59.9</v>
      </c>
    </row>
    <row r="453" spans="2:12" ht="15" customHeight="1" x14ac:dyDescent="0.25">
      <c r="B453" s="89" t="s">
        <v>14</v>
      </c>
      <c r="C453" s="105" t="s">
        <v>509</v>
      </c>
      <c r="D453" s="90" t="s">
        <v>549</v>
      </c>
      <c r="E453" s="116" t="str">
        <f t="shared" si="7"/>
        <v>Luna Oleo Corporal Desodorante Perfumado Confiante 150ml Frasco</v>
      </c>
      <c r="F453" s="4" t="s">
        <v>544</v>
      </c>
      <c r="G453" s="28"/>
      <c r="H453" s="4" t="s">
        <v>313</v>
      </c>
      <c r="I453" s="45" t="s">
        <v>32</v>
      </c>
      <c r="J453" s="13" t="s">
        <v>480</v>
      </c>
      <c r="K453" s="154">
        <v>87.9</v>
      </c>
      <c r="L453" s="154">
        <v>87.9</v>
      </c>
    </row>
    <row r="454" spans="2:12" ht="15" customHeight="1" x14ac:dyDescent="0.25">
      <c r="B454" s="89" t="s">
        <v>14</v>
      </c>
      <c r="C454" s="105" t="s">
        <v>509</v>
      </c>
      <c r="D454" s="92" t="s">
        <v>385</v>
      </c>
      <c r="E454" s="116" t="str">
        <f t="shared" si="7"/>
        <v>Luna Desodorante Corporal Absoluta 100ml Spray</v>
      </c>
      <c r="F454" s="4" t="s">
        <v>543</v>
      </c>
      <c r="G454" s="28"/>
      <c r="H454" s="4" t="s">
        <v>349</v>
      </c>
      <c r="I454" s="122" t="s">
        <v>550</v>
      </c>
      <c r="J454" s="13" t="s">
        <v>476</v>
      </c>
      <c r="K454" s="154">
        <v>54.9</v>
      </c>
      <c r="L454" s="154">
        <v>54.9</v>
      </c>
    </row>
    <row r="455" spans="2:12" ht="15" customHeight="1" x14ac:dyDescent="0.25">
      <c r="B455" s="89" t="s">
        <v>14</v>
      </c>
      <c r="C455" s="105" t="s">
        <v>509</v>
      </c>
      <c r="D455" s="92" t="s">
        <v>385</v>
      </c>
      <c r="E455" s="116" t="str">
        <f t="shared" si="7"/>
        <v>Luna Desodorante Corporal Feminino 100ml Spray</v>
      </c>
      <c r="F455" s="21" t="s">
        <v>448</v>
      </c>
      <c r="G455" s="28"/>
      <c r="H455" s="4" t="s">
        <v>349</v>
      </c>
      <c r="I455" s="122" t="s">
        <v>550</v>
      </c>
      <c r="J455" s="13" t="s">
        <v>476</v>
      </c>
      <c r="K455" s="154">
        <v>54.9</v>
      </c>
      <c r="L455" s="154">
        <v>54.9</v>
      </c>
    </row>
    <row r="456" spans="2:12" ht="15" customHeight="1" x14ac:dyDescent="0.25">
      <c r="B456" s="89" t="s">
        <v>14</v>
      </c>
      <c r="C456" s="105" t="s">
        <v>509</v>
      </c>
      <c r="D456" s="92" t="s">
        <v>385</v>
      </c>
      <c r="E456" s="116" t="str">
        <f t="shared" si="7"/>
        <v>Luna Desodorante Corporal Absoluta 100ml Refil</v>
      </c>
      <c r="F456" s="4" t="s">
        <v>543</v>
      </c>
      <c r="G456" s="28"/>
      <c r="H456" s="4" t="s">
        <v>349</v>
      </c>
      <c r="I456" s="45" t="s">
        <v>183</v>
      </c>
      <c r="J456" s="13" t="s">
        <v>476</v>
      </c>
      <c r="K456" s="154">
        <v>41.9</v>
      </c>
      <c r="L456" s="154">
        <v>41.9</v>
      </c>
    </row>
    <row r="457" spans="2:12" ht="15" customHeight="1" x14ac:dyDescent="0.25">
      <c r="B457" s="89" t="s">
        <v>14</v>
      </c>
      <c r="C457" s="105" t="s">
        <v>509</v>
      </c>
      <c r="D457" s="92" t="s">
        <v>385</v>
      </c>
      <c r="E457" s="116" t="str">
        <f t="shared" si="7"/>
        <v>Luna Desodorante Corporal Feminino 100ml Refil</v>
      </c>
      <c r="F457" s="21" t="s">
        <v>448</v>
      </c>
      <c r="G457" s="28"/>
      <c r="H457" s="4" t="s">
        <v>349</v>
      </c>
      <c r="I457" s="45" t="s">
        <v>183</v>
      </c>
      <c r="J457" s="13" t="s">
        <v>476</v>
      </c>
      <c r="K457" s="154">
        <v>41.9</v>
      </c>
      <c r="L457" s="154">
        <v>41.9</v>
      </c>
    </row>
    <row r="458" spans="2:12" ht="15" customHeight="1" x14ac:dyDescent="0.25">
      <c r="B458" s="89" t="s">
        <v>14</v>
      </c>
      <c r="C458" s="105" t="s">
        <v>509</v>
      </c>
      <c r="D458" s="90" t="s">
        <v>551</v>
      </c>
      <c r="E458" s="116" t="str">
        <f t="shared" si="7"/>
        <v>Luna Desodorante Roll-on Feminino 75ml Frasco</v>
      </c>
      <c r="F458" s="21" t="s">
        <v>448</v>
      </c>
      <c r="G458" s="28"/>
      <c r="H458" s="4" t="s">
        <v>552</v>
      </c>
      <c r="I458" s="45" t="s">
        <v>32</v>
      </c>
      <c r="J458" s="13" t="s">
        <v>476</v>
      </c>
      <c r="K458" s="154">
        <v>26.9</v>
      </c>
      <c r="L458" s="154">
        <v>26.9</v>
      </c>
    </row>
    <row r="459" spans="2:12" ht="15" customHeight="1" x14ac:dyDescent="0.25">
      <c r="B459" s="89" t="s">
        <v>14</v>
      </c>
      <c r="C459" s="105" t="s">
        <v>509</v>
      </c>
      <c r="D459" s="90" t="s">
        <v>553</v>
      </c>
      <c r="E459" s="116" t="str">
        <f t="shared" si="7"/>
        <v>Luna Essencia Para Cabelos Divina 30ml Frasco</v>
      </c>
      <c r="F459" s="21" t="s">
        <v>554</v>
      </c>
      <c r="G459" s="28"/>
      <c r="H459" s="21" t="s">
        <v>319</v>
      </c>
      <c r="I459" s="45" t="s">
        <v>32</v>
      </c>
      <c r="J459" s="21" t="s">
        <v>227</v>
      </c>
      <c r="K459" s="160">
        <v>85.9</v>
      </c>
      <c r="L459" s="160">
        <v>85.9</v>
      </c>
    </row>
    <row r="460" spans="2:12" ht="15" customHeight="1" x14ac:dyDescent="0.25">
      <c r="B460" s="89" t="s">
        <v>14</v>
      </c>
      <c r="C460" s="105" t="s">
        <v>509</v>
      </c>
      <c r="D460" s="90" t="s">
        <v>553</v>
      </c>
      <c r="E460" s="116" t="str">
        <f t="shared" si="7"/>
        <v>Luna Essencia Para Cabelos Feminino 30ml Frasco</v>
      </c>
      <c r="F460" s="4" t="s">
        <v>448</v>
      </c>
      <c r="G460" s="28"/>
      <c r="H460" s="21" t="s">
        <v>319</v>
      </c>
      <c r="I460" s="45" t="s">
        <v>32</v>
      </c>
      <c r="J460" s="21" t="s">
        <v>227</v>
      </c>
      <c r="K460" s="154">
        <v>77.900000000000006</v>
      </c>
      <c r="L460" s="154">
        <v>77.900000000000006</v>
      </c>
    </row>
    <row r="461" spans="2:12" ht="15" customHeight="1" x14ac:dyDescent="0.25">
      <c r="B461" s="89" t="s">
        <v>14</v>
      </c>
      <c r="C461" s="105" t="s">
        <v>509</v>
      </c>
      <c r="D461" s="90" t="s">
        <v>166</v>
      </c>
      <c r="E461" s="116" t="str">
        <f t="shared" si="7"/>
        <v>Luna Body Splash Fascinante 200ml Frasco</v>
      </c>
      <c r="F461" s="4" t="s">
        <v>555</v>
      </c>
      <c r="G461" s="28"/>
      <c r="H461" s="4" t="s">
        <v>31</v>
      </c>
      <c r="I461" s="45" t="s">
        <v>32</v>
      </c>
      <c r="J461" s="13" t="s">
        <v>556</v>
      </c>
      <c r="K461" s="154">
        <v>83.9</v>
      </c>
      <c r="L461" s="154">
        <v>83.9</v>
      </c>
    </row>
    <row r="462" spans="2:12" ht="15" customHeight="1" x14ac:dyDescent="0.25">
      <c r="B462" s="89" t="s">
        <v>14</v>
      </c>
      <c r="C462" s="105" t="s">
        <v>509</v>
      </c>
      <c r="D462" s="90" t="s">
        <v>166</v>
      </c>
      <c r="E462" s="116" t="str">
        <f t="shared" si="7"/>
        <v>Luna Body Splash Feminino 200ml Frasco</v>
      </c>
      <c r="F462" s="4" t="s">
        <v>448</v>
      </c>
      <c r="G462" s="28"/>
      <c r="H462" s="4" t="s">
        <v>31</v>
      </c>
      <c r="I462" s="45" t="s">
        <v>32</v>
      </c>
      <c r="J462" s="13" t="s">
        <v>556</v>
      </c>
      <c r="K462" s="154">
        <v>83.9</v>
      </c>
      <c r="L462" s="154">
        <v>83.9</v>
      </c>
    </row>
    <row r="463" spans="2:12" ht="15" customHeight="1" x14ac:dyDescent="0.25">
      <c r="B463" s="89" t="s">
        <v>14</v>
      </c>
      <c r="C463" s="105" t="s">
        <v>509</v>
      </c>
      <c r="D463" s="90" t="s">
        <v>166</v>
      </c>
      <c r="E463" s="116" t="str">
        <f t="shared" si="7"/>
        <v>Luna Body Splash Radiante 200ml Frasco</v>
      </c>
      <c r="F463" s="21" t="s">
        <v>548</v>
      </c>
      <c r="G463" s="28"/>
      <c r="H463" s="4" t="s">
        <v>31</v>
      </c>
      <c r="I463" s="45" t="s">
        <v>32</v>
      </c>
      <c r="J463" s="13" t="s">
        <v>556</v>
      </c>
      <c r="K463" s="154">
        <v>83.9</v>
      </c>
      <c r="L463" s="154">
        <v>83.9</v>
      </c>
    </row>
    <row r="464" spans="2:12" ht="15" customHeight="1" x14ac:dyDescent="0.25">
      <c r="B464" s="89" t="s">
        <v>14</v>
      </c>
      <c r="C464" s="105" t="s">
        <v>509</v>
      </c>
      <c r="D464" s="94" t="s">
        <v>557</v>
      </c>
      <c r="E464" s="116" t="str">
        <f t="shared" si="7"/>
        <v>Luna Hidrante Desodorante Perfumado Iluminador Feminio 150ml Frasco</v>
      </c>
      <c r="F464" s="4" t="s">
        <v>558</v>
      </c>
      <c r="G464" s="28"/>
      <c r="H464" s="4" t="s">
        <v>313</v>
      </c>
      <c r="I464" s="45" t="s">
        <v>32</v>
      </c>
      <c r="J464" s="13" t="s">
        <v>559</v>
      </c>
      <c r="K464" s="154">
        <v>40.200000000000003</v>
      </c>
      <c r="L464" s="154">
        <v>40.200000000000003</v>
      </c>
    </row>
    <row r="465" spans="2:12" ht="15" customHeight="1" x14ac:dyDescent="0.25">
      <c r="B465" s="89" t="s">
        <v>14</v>
      </c>
      <c r="C465" s="105" t="s">
        <v>509</v>
      </c>
      <c r="D465" s="94" t="s">
        <v>557</v>
      </c>
      <c r="E465" s="116" t="str">
        <f t="shared" si="7"/>
        <v>Luna Hidrante Desodorante Perfumado Iluminador Girl Infantil 150ml Frasco</v>
      </c>
      <c r="F465" s="26" t="s">
        <v>514</v>
      </c>
      <c r="G465" s="28"/>
      <c r="H465" s="4" t="s">
        <v>313</v>
      </c>
      <c r="I465" s="45" t="s">
        <v>32</v>
      </c>
      <c r="J465" s="13" t="s">
        <v>559</v>
      </c>
      <c r="K465" s="154" t="s">
        <v>560</v>
      </c>
      <c r="L465" s="154" t="s">
        <v>560</v>
      </c>
    </row>
    <row r="466" spans="2:12" ht="15" customHeight="1" x14ac:dyDescent="0.25">
      <c r="B466" s="89" t="s">
        <v>14</v>
      </c>
      <c r="C466" s="105" t="s">
        <v>509</v>
      </c>
      <c r="D466" s="94" t="s">
        <v>557</v>
      </c>
      <c r="E466" s="116" t="str">
        <f t="shared" si="7"/>
        <v>Luna Hidrante Desodorante Perfumado Iluminador Radiante 100g Frasco</v>
      </c>
      <c r="F466" s="21" t="s">
        <v>548</v>
      </c>
      <c r="G466" s="28"/>
      <c r="H466" s="21" t="s">
        <v>113</v>
      </c>
      <c r="I466" s="45" t="s">
        <v>32</v>
      </c>
      <c r="J466" s="13" t="s">
        <v>559</v>
      </c>
      <c r="K466" s="167" t="s">
        <v>561</v>
      </c>
      <c r="L466" s="167" t="s">
        <v>561</v>
      </c>
    </row>
    <row r="467" spans="2:12" ht="15" customHeight="1" x14ac:dyDescent="0.25">
      <c r="B467" s="89" t="s">
        <v>14</v>
      </c>
      <c r="C467" s="105" t="s">
        <v>509</v>
      </c>
      <c r="D467" s="90" t="s">
        <v>479</v>
      </c>
      <c r="E467" s="116" t="str">
        <f t="shared" si="7"/>
        <v>Luna Hidratante Desodorante Perfumado Feminino 40g Frasco</v>
      </c>
      <c r="F467" s="4" t="s">
        <v>448</v>
      </c>
      <c r="G467" s="28"/>
      <c r="H467" s="4" t="s">
        <v>562</v>
      </c>
      <c r="I467" s="45" t="s">
        <v>32</v>
      </c>
      <c r="J467" s="13" t="s">
        <v>480</v>
      </c>
      <c r="K467" s="154">
        <v>42.9</v>
      </c>
      <c r="L467" s="154">
        <v>42.9</v>
      </c>
    </row>
    <row r="468" spans="2:12" ht="15" customHeight="1" x14ac:dyDescent="0.25">
      <c r="B468" s="89" t="s">
        <v>14</v>
      </c>
      <c r="C468" s="105" t="s">
        <v>509</v>
      </c>
      <c r="D468" s="90" t="s">
        <v>479</v>
      </c>
      <c r="E468" s="116" t="str">
        <f t="shared" si="7"/>
        <v>Luna Hidratante Desodorante Perfumado Divina 80ml Frasco</v>
      </c>
      <c r="F468" s="21" t="s">
        <v>554</v>
      </c>
      <c r="G468" s="28"/>
      <c r="H468" s="4" t="s">
        <v>563</v>
      </c>
      <c r="I468" s="45" t="s">
        <v>32</v>
      </c>
      <c r="J468" s="13" t="s">
        <v>480</v>
      </c>
      <c r="K468" s="167" t="s">
        <v>561</v>
      </c>
      <c r="L468" s="167" t="s">
        <v>561</v>
      </c>
    </row>
    <row r="469" spans="2:12" ht="15" customHeight="1" x14ac:dyDescent="0.25">
      <c r="B469" s="89" t="s">
        <v>14</v>
      </c>
      <c r="C469" s="105" t="s">
        <v>509</v>
      </c>
      <c r="D469" s="90" t="s">
        <v>479</v>
      </c>
      <c r="E469" s="116" t="str">
        <f t="shared" si="7"/>
        <v>Luna Hidratante Desodorante Perfumado Força 80ml Frasco</v>
      </c>
      <c r="F469" s="21" t="s">
        <v>564</v>
      </c>
      <c r="G469" s="28"/>
      <c r="H469" s="4" t="s">
        <v>563</v>
      </c>
      <c r="I469" s="45" t="s">
        <v>32</v>
      </c>
      <c r="J469" s="13" t="s">
        <v>480</v>
      </c>
      <c r="K469" s="13"/>
      <c r="L469" s="13"/>
    </row>
    <row r="470" spans="2:12" ht="15" customHeight="1" x14ac:dyDescent="0.25">
      <c r="B470" s="89" t="s">
        <v>14</v>
      </c>
      <c r="C470" s="105" t="s">
        <v>509</v>
      </c>
      <c r="D470" s="90" t="s">
        <v>479</v>
      </c>
      <c r="E470" s="116" t="str">
        <f t="shared" si="7"/>
        <v>Luna Hidratante Desodorante Perfumado Fascinante 80ml Frasco</v>
      </c>
      <c r="F470" s="4" t="s">
        <v>555</v>
      </c>
      <c r="G470" s="28"/>
      <c r="H470" s="4" t="s">
        <v>563</v>
      </c>
      <c r="I470" s="45" t="s">
        <v>32</v>
      </c>
      <c r="J470" s="13" t="s">
        <v>480</v>
      </c>
      <c r="K470" s="13"/>
      <c r="L470" s="13"/>
    </row>
    <row r="471" spans="2:12" ht="15" customHeight="1" x14ac:dyDescent="0.25">
      <c r="B471" s="89" t="s">
        <v>14</v>
      </c>
      <c r="C471" s="105" t="s">
        <v>509</v>
      </c>
      <c r="D471" s="90" t="s">
        <v>479</v>
      </c>
      <c r="E471" s="116" t="str">
        <f t="shared" si="7"/>
        <v>Luna Hidratante Desodorante Perfumado Feminino 80ml Frasco</v>
      </c>
      <c r="F471" s="4" t="s">
        <v>448</v>
      </c>
      <c r="G471" s="28"/>
      <c r="H471" s="4" t="s">
        <v>563</v>
      </c>
      <c r="I471" s="45" t="s">
        <v>32</v>
      </c>
      <c r="J471" s="13" t="s">
        <v>480</v>
      </c>
      <c r="K471" s="154">
        <v>42.9</v>
      </c>
      <c r="L471" s="154">
        <v>42.9</v>
      </c>
    </row>
    <row r="472" spans="2:12" ht="15" customHeight="1" x14ac:dyDescent="0.25">
      <c r="B472" s="89" t="s">
        <v>14</v>
      </c>
      <c r="C472" s="105" t="s">
        <v>509</v>
      </c>
      <c r="D472" s="90" t="s">
        <v>479</v>
      </c>
      <c r="E472" s="116" t="str">
        <f t="shared" si="7"/>
        <v>Luna Hidratante Desodorante Perfumado Rosé 80ml Frasco</v>
      </c>
      <c r="F472" s="4" t="s">
        <v>565</v>
      </c>
      <c r="G472" s="28"/>
      <c r="H472" s="4" t="s">
        <v>563</v>
      </c>
      <c r="I472" s="45" t="s">
        <v>32</v>
      </c>
      <c r="J472" s="13" t="s">
        <v>480</v>
      </c>
      <c r="K472" s="13"/>
      <c r="L472" s="13"/>
    </row>
    <row r="473" spans="2:12" ht="15" customHeight="1" x14ac:dyDescent="0.25">
      <c r="B473" s="89" t="s">
        <v>14</v>
      </c>
      <c r="C473" s="106" t="s">
        <v>566</v>
      </c>
      <c r="D473" s="132" t="s">
        <v>323</v>
      </c>
      <c r="E473" s="116" t="str">
        <f t="shared" si="7"/>
        <v>Kaiak Colonia Masculino 25ml Miniatura</v>
      </c>
      <c r="F473" s="4" t="s">
        <v>417</v>
      </c>
      <c r="G473" s="28"/>
      <c r="H473" s="4" t="s">
        <v>510</v>
      </c>
      <c r="I473" s="45" t="s">
        <v>511</v>
      </c>
      <c r="J473" s="13" t="s">
        <v>567</v>
      </c>
      <c r="K473" s="167" t="s">
        <v>568</v>
      </c>
      <c r="L473" s="167" t="s">
        <v>568</v>
      </c>
    </row>
    <row r="474" spans="2:12" ht="15" customHeight="1" x14ac:dyDescent="0.25">
      <c r="B474" s="89" t="s">
        <v>14</v>
      </c>
      <c r="C474" s="106" t="s">
        <v>566</v>
      </c>
      <c r="D474" s="132" t="s">
        <v>323</v>
      </c>
      <c r="E474" s="116" t="str">
        <f t="shared" si="7"/>
        <v>Kaiak Colonia Aero Masculino 100ml Frasco</v>
      </c>
      <c r="F474" s="128" t="s">
        <v>569</v>
      </c>
      <c r="G474" s="28"/>
      <c r="H474" s="4" t="s">
        <v>122</v>
      </c>
      <c r="I474" s="45" t="s">
        <v>32</v>
      </c>
      <c r="J474" s="13" t="s">
        <v>570</v>
      </c>
      <c r="K474" s="167" t="s">
        <v>568</v>
      </c>
      <c r="L474" s="167" t="s">
        <v>568</v>
      </c>
    </row>
    <row r="475" spans="2:12" ht="15" customHeight="1" x14ac:dyDescent="0.25">
      <c r="B475" s="89" t="s">
        <v>14</v>
      </c>
      <c r="C475" s="106" t="s">
        <v>566</v>
      </c>
      <c r="D475" s="132" t="s">
        <v>323</v>
      </c>
      <c r="E475" s="116" t="str">
        <f t="shared" si="7"/>
        <v>Kaiak Colonia Aventura Masculino 100ml Frasco</v>
      </c>
      <c r="F475" s="128" t="s">
        <v>571</v>
      </c>
      <c r="G475" s="28"/>
      <c r="H475" s="4" t="s">
        <v>122</v>
      </c>
      <c r="I475" s="45" t="s">
        <v>32</v>
      </c>
      <c r="J475" s="13" t="s">
        <v>572</v>
      </c>
      <c r="K475" s="167" t="s">
        <v>568</v>
      </c>
      <c r="L475" s="167" t="s">
        <v>568</v>
      </c>
    </row>
    <row r="476" spans="2:12" ht="15" customHeight="1" x14ac:dyDescent="0.25">
      <c r="B476" s="89" t="s">
        <v>14</v>
      </c>
      <c r="C476" s="106" t="s">
        <v>566</v>
      </c>
      <c r="D476" s="132" t="s">
        <v>323</v>
      </c>
      <c r="E476" s="116" t="str">
        <f t="shared" si="7"/>
        <v>Kaiak Colonia Aventura Intensa Masculino 100ml Frasco</v>
      </c>
      <c r="F476" s="128" t="s">
        <v>573</v>
      </c>
      <c r="G476" s="28"/>
      <c r="H476" s="4" t="s">
        <v>122</v>
      </c>
      <c r="I476" s="45" t="s">
        <v>32</v>
      </c>
      <c r="J476" s="13" t="s">
        <v>574</v>
      </c>
      <c r="K476" s="167" t="s">
        <v>568</v>
      </c>
      <c r="L476" s="167" t="s">
        <v>568</v>
      </c>
    </row>
    <row r="477" spans="2:12" ht="15" customHeight="1" x14ac:dyDescent="0.25">
      <c r="B477" s="89" t="s">
        <v>14</v>
      </c>
      <c r="C477" s="106" t="s">
        <v>566</v>
      </c>
      <c r="D477" s="132" t="s">
        <v>323</v>
      </c>
      <c r="E477" s="116" t="str">
        <f t="shared" si="7"/>
        <v>Kaiak Colonia Masculino 100ml Frasco</v>
      </c>
      <c r="F477" s="128" t="s">
        <v>417</v>
      </c>
      <c r="G477" s="28"/>
      <c r="H477" s="4" t="s">
        <v>122</v>
      </c>
      <c r="I477" s="45" t="s">
        <v>32</v>
      </c>
      <c r="J477" s="13" t="s">
        <v>567</v>
      </c>
      <c r="K477" s="167" t="s">
        <v>568</v>
      </c>
      <c r="L477" s="167" t="s">
        <v>568</v>
      </c>
    </row>
    <row r="478" spans="2:12" ht="15" customHeight="1" x14ac:dyDescent="0.25">
      <c r="B478" s="89" t="s">
        <v>14</v>
      </c>
      <c r="C478" s="106" t="s">
        <v>566</v>
      </c>
      <c r="D478" s="132" t="s">
        <v>323</v>
      </c>
      <c r="E478" s="116" t="str">
        <f t="shared" si="7"/>
        <v>Kaiak Colonia Oceano Masculino 100ml Frasco</v>
      </c>
      <c r="F478" s="128" t="s">
        <v>575</v>
      </c>
      <c r="G478" s="28"/>
      <c r="H478" s="4" t="s">
        <v>122</v>
      </c>
      <c r="I478" s="45" t="s">
        <v>32</v>
      </c>
      <c r="J478" s="13" t="s">
        <v>576</v>
      </c>
      <c r="K478" s="167" t="s">
        <v>568</v>
      </c>
      <c r="L478" s="167" t="s">
        <v>568</v>
      </c>
    </row>
    <row r="479" spans="2:12" ht="15" customHeight="1" x14ac:dyDescent="0.25">
      <c r="B479" s="89" t="s">
        <v>14</v>
      </c>
      <c r="C479" s="106" t="s">
        <v>566</v>
      </c>
      <c r="D479" s="132" t="s">
        <v>323</v>
      </c>
      <c r="E479" s="116" t="str">
        <f t="shared" si="7"/>
        <v>Kaiak Colonia O2 Masculino 100ml Frasco</v>
      </c>
      <c r="F479" s="128" t="s">
        <v>577</v>
      </c>
      <c r="G479" s="28"/>
      <c r="H479" s="4" t="s">
        <v>122</v>
      </c>
      <c r="I479" s="45" t="s">
        <v>32</v>
      </c>
      <c r="J479" s="13" t="s">
        <v>578</v>
      </c>
      <c r="K479" s="167" t="s">
        <v>568</v>
      </c>
      <c r="L479" s="167" t="s">
        <v>568</v>
      </c>
    </row>
    <row r="480" spans="2:12" ht="15" customHeight="1" x14ac:dyDescent="0.25">
      <c r="B480" s="89" t="s">
        <v>14</v>
      </c>
      <c r="C480" s="106" t="s">
        <v>566</v>
      </c>
      <c r="D480" s="132" t="s">
        <v>323</v>
      </c>
      <c r="E480" s="116" t="str">
        <f t="shared" si="7"/>
        <v>Kaiak Colonia Pulso Masculino 100ml Frasco</v>
      </c>
      <c r="F480" s="128" t="s">
        <v>579</v>
      </c>
      <c r="G480" s="28"/>
      <c r="H480" s="4" t="s">
        <v>122</v>
      </c>
      <c r="I480" s="45" t="s">
        <v>32</v>
      </c>
      <c r="J480" s="13" t="s">
        <v>580</v>
      </c>
      <c r="K480" s="167" t="s">
        <v>568</v>
      </c>
      <c r="L480" s="167" t="s">
        <v>568</v>
      </c>
    </row>
    <row r="481" spans="2:12" ht="15" customHeight="1" x14ac:dyDescent="0.25">
      <c r="B481" s="89" t="s">
        <v>14</v>
      </c>
      <c r="C481" s="106" t="s">
        <v>566</v>
      </c>
      <c r="D481" s="132" t="s">
        <v>323</v>
      </c>
      <c r="E481" s="116" t="str">
        <f t="shared" si="7"/>
        <v>Kaiak Colonia Sonar Masculino 100ml Frasco</v>
      </c>
      <c r="F481" s="128" t="s">
        <v>581</v>
      </c>
      <c r="G481" s="28"/>
      <c r="H481" s="4" t="s">
        <v>122</v>
      </c>
      <c r="I481" s="45" t="s">
        <v>32</v>
      </c>
      <c r="J481" s="13" t="s">
        <v>582</v>
      </c>
      <c r="K481" s="167" t="s">
        <v>568</v>
      </c>
      <c r="L481" s="167" t="s">
        <v>568</v>
      </c>
    </row>
    <row r="482" spans="2:12" ht="15" customHeight="1" x14ac:dyDescent="0.25">
      <c r="B482" s="89" t="s">
        <v>14</v>
      </c>
      <c r="C482" s="106" t="s">
        <v>566</v>
      </c>
      <c r="D482" s="132" t="s">
        <v>323</v>
      </c>
      <c r="E482" s="116" t="str">
        <f t="shared" si="7"/>
        <v>Kaiak Colonia Uber Masculino 100ml Frasco</v>
      </c>
      <c r="F482" s="128" t="s">
        <v>583</v>
      </c>
      <c r="G482" s="28"/>
      <c r="H482" s="4" t="s">
        <v>122</v>
      </c>
      <c r="I482" s="45" t="s">
        <v>32</v>
      </c>
      <c r="J482" s="13" t="s">
        <v>584</v>
      </c>
      <c r="K482" s="167" t="s">
        <v>568</v>
      </c>
      <c r="L482" s="167" t="s">
        <v>568</v>
      </c>
    </row>
    <row r="483" spans="2:12" ht="15" customHeight="1" x14ac:dyDescent="0.25">
      <c r="B483" s="89" t="s">
        <v>14</v>
      </c>
      <c r="C483" s="106" t="s">
        <v>566</v>
      </c>
      <c r="D483" s="132" t="s">
        <v>323</v>
      </c>
      <c r="E483" s="116" t="str">
        <f t="shared" si="7"/>
        <v>Kaiak Colonia Ultra Masculino 100ml Frasco</v>
      </c>
      <c r="F483" s="128" t="s">
        <v>585</v>
      </c>
      <c r="G483" s="28"/>
      <c r="H483" s="4" t="s">
        <v>122</v>
      </c>
      <c r="I483" s="45" t="s">
        <v>32</v>
      </c>
      <c r="J483" s="13" t="s">
        <v>586</v>
      </c>
      <c r="K483" s="167" t="s">
        <v>568</v>
      </c>
      <c r="L483" s="167" t="s">
        <v>568</v>
      </c>
    </row>
    <row r="484" spans="2:12" ht="15" customHeight="1" x14ac:dyDescent="0.25">
      <c r="B484" s="89" t="s">
        <v>14</v>
      </c>
      <c r="C484" s="106" t="s">
        <v>566</v>
      </c>
      <c r="D484" s="132" t="s">
        <v>323</v>
      </c>
      <c r="E484" s="116" t="str">
        <f t="shared" si="7"/>
        <v>Kaiak Colonia Vital Masculino 100ml Frasco</v>
      </c>
      <c r="F484" s="128" t="s">
        <v>587</v>
      </c>
      <c r="G484" s="28"/>
      <c r="H484" s="4" t="s">
        <v>122</v>
      </c>
      <c r="I484" s="45" t="s">
        <v>32</v>
      </c>
      <c r="J484" s="13" t="s">
        <v>588</v>
      </c>
      <c r="K484" s="167" t="s">
        <v>568</v>
      </c>
      <c r="L484" s="167" t="s">
        <v>568</v>
      </c>
    </row>
    <row r="485" spans="2:12" s="12" customFormat="1" ht="15" customHeight="1" x14ac:dyDescent="0.25">
      <c r="B485" s="89" t="s">
        <v>14</v>
      </c>
      <c r="C485" s="106" t="s">
        <v>566</v>
      </c>
      <c r="D485" s="92" t="s">
        <v>323</v>
      </c>
      <c r="E485" s="116" t="str">
        <f t="shared" si="7"/>
        <v>Kaiak Colonia Aero Feminino 100ml Frasco</v>
      </c>
      <c r="F485" s="128" t="s">
        <v>589</v>
      </c>
      <c r="G485" s="28"/>
      <c r="H485" s="4" t="s">
        <v>122</v>
      </c>
      <c r="I485" s="51" t="s">
        <v>32</v>
      </c>
      <c r="J485" s="27" t="s">
        <v>590</v>
      </c>
      <c r="K485" s="167" t="s">
        <v>568</v>
      </c>
      <c r="L485" s="167" t="s">
        <v>568</v>
      </c>
    </row>
    <row r="486" spans="2:12" ht="15" customHeight="1" x14ac:dyDescent="0.25">
      <c r="B486" s="89" t="s">
        <v>14</v>
      </c>
      <c r="C486" s="106" t="s">
        <v>566</v>
      </c>
      <c r="D486" s="92" t="s">
        <v>323</v>
      </c>
      <c r="E486" s="116" t="str">
        <f t="shared" si="7"/>
        <v>Kaiak Colonia Aventura Feminino 100ml Frasco</v>
      </c>
      <c r="F486" s="128" t="s">
        <v>591</v>
      </c>
      <c r="G486" s="28"/>
      <c r="H486" s="4" t="s">
        <v>122</v>
      </c>
      <c r="I486" s="51" t="s">
        <v>32</v>
      </c>
      <c r="J486" s="13" t="s">
        <v>592</v>
      </c>
      <c r="K486" s="167" t="s">
        <v>568</v>
      </c>
      <c r="L486" s="167" t="s">
        <v>568</v>
      </c>
    </row>
    <row r="487" spans="2:12" ht="15" customHeight="1" x14ac:dyDescent="0.25">
      <c r="B487" s="89" t="s">
        <v>14</v>
      </c>
      <c r="C487" s="106" t="s">
        <v>566</v>
      </c>
      <c r="D487" s="92" t="s">
        <v>323</v>
      </c>
      <c r="E487" s="116" t="str">
        <f t="shared" si="7"/>
        <v>Kaiak Colonia Aventura Intensa Feminino 100ml Frasco</v>
      </c>
      <c r="F487" s="128" t="s">
        <v>593</v>
      </c>
      <c r="G487" s="28"/>
      <c r="H487" s="4" t="s">
        <v>122</v>
      </c>
      <c r="I487" s="51" t="s">
        <v>32</v>
      </c>
      <c r="J487" s="13" t="s">
        <v>594</v>
      </c>
      <c r="K487" s="167" t="s">
        <v>568</v>
      </c>
      <c r="L487" s="167" t="s">
        <v>568</v>
      </c>
    </row>
    <row r="488" spans="2:12" ht="15" customHeight="1" x14ac:dyDescent="0.25">
      <c r="B488" s="89" t="s">
        <v>14</v>
      </c>
      <c r="C488" s="106" t="s">
        <v>566</v>
      </c>
      <c r="D488" s="92" t="s">
        <v>323</v>
      </c>
      <c r="E488" s="116" t="str">
        <f t="shared" si="7"/>
        <v>Kaiak Colonia Extremo Feminino 100ml Frasco</v>
      </c>
      <c r="F488" s="128" t="s">
        <v>595</v>
      </c>
      <c r="G488" s="28"/>
      <c r="H488" s="4" t="s">
        <v>122</v>
      </c>
      <c r="I488" s="51" t="s">
        <v>32</v>
      </c>
      <c r="J488" s="13"/>
      <c r="K488" s="167" t="s">
        <v>568</v>
      </c>
      <c r="L488" s="167" t="s">
        <v>568</v>
      </c>
    </row>
    <row r="489" spans="2:12" ht="15" customHeight="1" x14ac:dyDescent="0.25">
      <c r="B489" s="89" t="s">
        <v>14</v>
      </c>
      <c r="C489" s="106" t="s">
        <v>566</v>
      </c>
      <c r="D489" s="92" t="s">
        <v>323</v>
      </c>
      <c r="E489" s="116" t="str">
        <f t="shared" si="7"/>
        <v>Kaiak Colonia Energia 100ml Frasco</v>
      </c>
      <c r="F489" s="4" t="s">
        <v>596</v>
      </c>
      <c r="G489" s="28"/>
      <c r="H489" s="4" t="s">
        <v>122</v>
      </c>
      <c r="I489" s="51" t="s">
        <v>32</v>
      </c>
      <c r="J489" s="13"/>
      <c r="K489" s="167" t="s">
        <v>568</v>
      </c>
      <c r="L489" s="167" t="s">
        <v>568</v>
      </c>
    </row>
    <row r="490" spans="2:12" ht="15" customHeight="1" x14ac:dyDescent="0.25">
      <c r="B490" s="89" t="s">
        <v>14</v>
      </c>
      <c r="C490" s="106" t="s">
        <v>566</v>
      </c>
      <c r="D490" s="92" t="s">
        <v>323</v>
      </c>
      <c r="E490" s="116" t="str">
        <f t="shared" si="7"/>
        <v>Kaiak Colonia Feminino 100ml Frasco</v>
      </c>
      <c r="F490" s="133" t="s">
        <v>448</v>
      </c>
      <c r="G490" s="28"/>
      <c r="H490" s="4" t="s">
        <v>122</v>
      </c>
      <c r="I490" s="51" t="s">
        <v>32</v>
      </c>
      <c r="J490" s="13" t="s">
        <v>597</v>
      </c>
      <c r="K490" s="167" t="s">
        <v>568</v>
      </c>
      <c r="L490" s="167" t="s">
        <v>568</v>
      </c>
    </row>
    <row r="491" spans="2:12" ht="15" customHeight="1" x14ac:dyDescent="0.25">
      <c r="B491" s="89" t="s">
        <v>14</v>
      </c>
      <c r="C491" s="106" t="s">
        <v>566</v>
      </c>
      <c r="D491" s="92" t="s">
        <v>323</v>
      </c>
      <c r="E491" s="116" t="str">
        <f t="shared" si="7"/>
        <v>Kaiak Colonia O2 Feminino 100ml Frasco</v>
      </c>
      <c r="F491" s="128" t="s">
        <v>598</v>
      </c>
      <c r="G491" s="28"/>
      <c r="H491" s="4" t="s">
        <v>122</v>
      </c>
      <c r="I491" s="51" t="s">
        <v>32</v>
      </c>
      <c r="J491" s="13" t="s">
        <v>599</v>
      </c>
      <c r="K491" s="167" t="s">
        <v>568</v>
      </c>
      <c r="L491" s="167" t="s">
        <v>568</v>
      </c>
    </row>
    <row r="492" spans="2:12" ht="15" customHeight="1" x14ac:dyDescent="0.25">
      <c r="B492" s="89" t="s">
        <v>14</v>
      </c>
      <c r="C492" s="106" t="s">
        <v>566</v>
      </c>
      <c r="D492" s="92" t="s">
        <v>323</v>
      </c>
      <c r="E492" s="116" t="str">
        <f t="shared" si="7"/>
        <v>Kaiak Colonia Oceano Feminino 100ml Frasco</v>
      </c>
      <c r="F492" s="128" t="s">
        <v>600</v>
      </c>
      <c r="G492" s="28"/>
      <c r="H492" s="4" t="s">
        <v>122</v>
      </c>
      <c r="I492" s="51" t="s">
        <v>32</v>
      </c>
      <c r="J492" s="13" t="s">
        <v>601</v>
      </c>
      <c r="K492" s="167" t="s">
        <v>568</v>
      </c>
      <c r="L492" s="167" t="s">
        <v>568</v>
      </c>
    </row>
    <row r="493" spans="2:12" ht="15" customHeight="1" x14ac:dyDescent="0.25">
      <c r="B493" s="89" t="s">
        <v>14</v>
      </c>
      <c r="C493" s="106" t="s">
        <v>566</v>
      </c>
      <c r="D493" s="92" t="s">
        <v>323</v>
      </c>
      <c r="E493" s="116" t="str">
        <f t="shared" si="7"/>
        <v>Kaiak Colonia Sonar Feminino 100ml Frasco</v>
      </c>
      <c r="F493" s="128" t="s">
        <v>602</v>
      </c>
      <c r="G493" s="28"/>
      <c r="H493" s="4" t="s">
        <v>122</v>
      </c>
      <c r="I493" s="51" t="s">
        <v>32</v>
      </c>
      <c r="J493" s="13" t="s">
        <v>603</v>
      </c>
      <c r="K493" s="167" t="s">
        <v>568</v>
      </c>
      <c r="L493" s="167" t="s">
        <v>568</v>
      </c>
    </row>
    <row r="494" spans="2:12" ht="15" customHeight="1" x14ac:dyDescent="0.25">
      <c r="B494" s="89" t="s">
        <v>14</v>
      </c>
      <c r="C494" s="106" t="s">
        <v>566</v>
      </c>
      <c r="D494" s="92" t="s">
        <v>323</v>
      </c>
      <c r="E494" s="116" t="str">
        <f t="shared" si="7"/>
        <v>Kaiak Colonia Ultra Feminino 100ml Frasco</v>
      </c>
      <c r="F494" s="128" t="s">
        <v>604</v>
      </c>
      <c r="G494" s="28"/>
      <c r="H494" s="4" t="s">
        <v>122</v>
      </c>
      <c r="I494" s="51" t="s">
        <v>32</v>
      </c>
      <c r="J494" s="13" t="s">
        <v>605</v>
      </c>
      <c r="K494" s="167" t="s">
        <v>568</v>
      </c>
      <c r="L494" s="167" t="s">
        <v>568</v>
      </c>
    </row>
    <row r="495" spans="2:12" ht="15" customHeight="1" x14ac:dyDescent="0.25">
      <c r="B495" s="89" t="s">
        <v>14</v>
      </c>
      <c r="C495" s="106" t="s">
        <v>566</v>
      </c>
      <c r="D495" s="92" t="s">
        <v>323</v>
      </c>
      <c r="E495" s="116" t="str">
        <f t="shared" si="7"/>
        <v>Kaiak Colonia Vital Feminino 100ml Frasco</v>
      </c>
      <c r="F495" s="128" t="s">
        <v>606</v>
      </c>
      <c r="G495" s="28"/>
      <c r="H495" s="4" t="s">
        <v>122</v>
      </c>
      <c r="I495" s="51" t="s">
        <v>32</v>
      </c>
      <c r="J495" s="13" t="s">
        <v>607</v>
      </c>
      <c r="K495" s="167" t="s">
        <v>568</v>
      </c>
      <c r="L495" s="167" t="s">
        <v>568</v>
      </c>
    </row>
    <row r="496" spans="2:12" ht="15" customHeight="1" x14ac:dyDescent="0.25">
      <c r="B496" s="89" t="s">
        <v>14</v>
      </c>
      <c r="C496" s="106" t="s">
        <v>566</v>
      </c>
      <c r="D496" s="132" t="s">
        <v>608</v>
      </c>
      <c r="E496" s="116" t="str">
        <f t="shared" si="7"/>
        <v>Kaiak Deo Perfum K Masculino 100ml Frasco</v>
      </c>
      <c r="F496" s="128" t="s">
        <v>609</v>
      </c>
      <c r="G496" s="28"/>
      <c r="H496" s="4" t="s">
        <v>122</v>
      </c>
      <c r="I496" s="51" t="s">
        <v>32</v>
      </c>
      <c r="J496" s="13" t="s">
        <v>610</v>
      </c>
      <c r="K496" s="13" t="s">
        <v>611</v>
      </c>
      <c r="L496" s="13" t="s">
        <v>611</v>
      </c>
    </row>
    <row r="497" spans="2:12" ht="15" customHeight="1" x14ac:dyDescent="0.25">
      <c r="B497" s="89" t="s">
        <v>14</v>
      </c>
      <c r="C497" s="106" t="s">
        <v>566</v>
      </c>
      <c r="D497" s="132" t="s">
        <v>608</v>
      </c>
      <c r="E497" s="116" t="str">
        <f t="shared" si="7"/>
        <v>Kaiak Deo Perfum K Max Masculino 100ml Frasco</v>
      </c>
      <c r="F497" s="128" t="s">
        <v>612</v>
      </c>
      <c r="G497" s="28"/>
      <c r="H497" s="4" t="s">
        <v>122</v>
      </c>
      <c r="I497" s="51" t="s">
        <v>32</v>
      </c>
      <c r="J497" s="13" t="s">
        <v>613</v>
      </c>
      <c r="K497" s="13" t="s">
        <v>611</v>
      </c>
      <c r="L497" s="13" t="s">
        <v>611</v>
      </c>
    </row>
    <row r="498" spans="2:12" ht="15" customHeight="1" x14ac:dyDescent="0.25">
      <c r="B498" s="89" t="s">
        <v>14</v>
      </c>
      <c r="C498" s="106" t="s">
        <v>566</v>
      </c>
      <c r="D498" s="90" t="s">
        <v>614</v>
      </c>
      <c r="E498" s="116" t="str">
        <f t="shared" si="7"/>
        <v>Kaiak Gel 2 em 1 Barbear e Pos Barba Uber Masculino 100g Frasco</v>
      </c>
      <c r="F498" s="128" t="s">
        <v>583</v>
      </c>
      <c r="G498" s="28"/>
      <c r="H498" s="4" t="s">
        <v>499</v>
      </c>
      <c r="I498" s="45" t="s">
        <v>32</v>
      </c>
      <c r="J498" s="4" t="s">
        <v>615</v>
      </c>
      <c r="K498" s="13" t="s">
        <v>616</v>
      </c>
      <c r="L498" s="13" t="s">
        <v>616</v>
      </c>
    </row>
    <row r="499" spans="2:12" ht="15" customHeight="1" x14ac:dyDescent="0.25">
      <c r="B499" s="89" t="s">
        <v>14</v>
      </c>
      <c r="C499" s="106" t="s">
        <v>566</v>
      </c>
      <c r="D499" s="90" t="s">
        <v>614</v>
      </c>
      <c r="E499" s="116" t="str">
        <f t="shared" si="7"/>
        <v>Kaiak Gel 2 em 1 Barbear e Pos Barba Aventura 100g Frasco</v>
      </c>
      <c r="F499" s="4" t="s">
        <v>617</v>
      </c>
      <c r="G499" s="28"/>
      <c r="H499" s="4" t="s">
        <v>499</v>
      </c>
      <c r="I499" s="45" t="s">
        <v>32</v>
      </c>
      <c r="J499" s="4" t="s">
        <v>615</v>
      </c>
      <c r="K499" s="13" t="s">
        <v>616</v>
      </c>
      <c r="L499" s="13" t="s">
        <v>616</v>
      </c>
    </row>
    <row r="500" spans="2:12" ht="15" customHeight="1" x14ac:dyDescent="0.25">
      <c r="B500" s="89" t="s">
        <v>14</v>
      </c>
      <c r="C500" s="106" t="s">
        <v>566</v>
      </c>
      <c r="D500" s="90" t="s">
        <v>614</v>
      </c>
      <c r="E500" s="116" t="str">
        <f t="shared" si="7"/>
        <v>Kaiak Gel 2 em 1 Barbear e Pos Barba Extremo 100g Frasco</v>
      </c>
      <c r="F500" s="4" t="s">
        <v>618</v>
      </c>
      <c r="G500" s="28"/>
      <c r="H500" s="4" t="s">
        <v>499</v>
      </c>
      <c r="I500" s="45" t="s">
        <v>32</v>
      </c>
      <c r="J500" s="4" t="s">
        <v>615</v>
      </c>
      <c r="K500" s="13" t="s">
        <v>616</v>
      </c>
      <c r="L500" s="13" t="s">
        <v>616</v>
      </c>
    </row>
    <row r="501" spans="2:12" ht="15" customHeight="1" x14ac:dyDescent="0.25">
      <c r="B501" s="89" t="s">
        <v>14</v>
      </c>
      <c r="C501" s="106" t="s">
        <v>566</v>
      </c>
      <c r="D501" s="90" t="s">
        <v>614</v>
      </c>
      <c r="E501" s="116" t="str">
        <f t="shared" si="7"/>
        <v>Kaiak Gel 2 em 1 Barbear e Pos Barba Oceano 100g Frasco</v>
      </c>
      <c r="F501" s="4" t="s">
        <v>619</v>
      </c>
      <c r="G501" s="28"/>
      <c r="H501" s="4" t="s">
        <v>499</v>
      </c>
      <c r="I501" s="45" t="s">
        <v>32</v>
      </c>
      <c r="J501" s="4" t="s">
        <v>615</v>
      </c>
      <c r="K501" s="13" t="s">
        <v>616</v>
      </c>
      <c r="L501" s="13" t="s">
        <v>616</v>
      </c>
    </row>
    <row r="502" spans="2:12" s="12" customFormat="1" ht="15" customHeight="1" x14ac:dyDescent="0.25">
      <c r="B502" s="89" t="s">
        <v>14</v>
      </c>
      <c r="C502" s="106" t="s">
        <v>566</v>
      </c>
      <c r="D502" s="90" t="s">
        <v>614</v>
      </c>
      <c r="E502" s="116" t="str">
        <f t="shared" si="7"/>
        <v>Kaiak Gel 2 em 1 Barbear e Pos Barba Pulso 100g Frasco</v>
      </c>
      <c r="F502" s="11" t="s">
        <v>620</v>
      </c>
      <c r="G502" s="28"/>
      <c r="H502" s="4" t="s">
        <v>499</v>
      </c>
      <c r="I502" s="45" t="s">
        <v>32</v>
      </c>
      <c r="J502" s="4" t="s">
        <v>615</v>
      </c>
      <c r="K502" s="13" t="s">
        <v>616</v>
      </c>
      <c r="L502" s="13" t="s">
        <v>616</v>
      </c>
    </row>
    <row r="503" spans="2:12" x14ac:dyDescent="0.25">
      <c r="B503" s="89" t="s">
        <v>14</v>
      </c>
      <c r="C503" s="106" t="s">
        <v>566</v>
      </c>
      <c r="D503" s="90" t="s">
        <v>621</v>
      </c>
      <c r="E503" s="116" t="str">
        <f t="shared" si="7"/>
        <v>Kaiak Shampoo Cabelo e Corpo Aero 125ml Frasco</v>
      </c>
      <c r="F503" s="4" t="s">
        <v>622</v>
      </c>
      <c r="G503" s="28"/>
      <c r="H503" s="4" t="s">
        <v>623</v>
      </c>
      <c r="I503" s="45" t="s">
        <v>32</v>
      </c>
      <c r="J503" s="71" t="s">
        <v>624</v>
      </c>
      <c r="K503" s="13"/>
      <c r="L503" s="13"/>
    </row>
    <row r="504" spans="2:12" x14ac:dyDescent="0.25">
      <c r="B504" s="89" t="s">
        <v>14</v>
      </c>
      <c r="C504" s="106" t="s">
        <v>566</v>
      </c>
      <c r="D504" s="90" t="s">
        <v>621</v>
      </c>
      <c r="E504" s="116" t="str">
        <f t="shared" si="7"/>
        <v>Kaiak Shampoo Cabelo e Corpo Extremo 125ml Frasco</v>
      </c>
      <c r="F504" s="4" t="s">
        <v>625</v>
      </c>
      <c r="G504" s="28"/>
      <c r="H504" s="4" t="s">
        <v>623</v>
      </c>
      <c r="I504" s="45" t="s">
        <v>32</v>
      </c>
      <c r="J504" s="71" t="s">
        <v>624</v>
      </c>
      <c r="K504" s="13" t="s">
        <v>626</v>
      </c>
      <c r="L504" s="13" t="s">
        <v>626</v>
      </c>
    </row>
    <row r="505" spans="2:12" x14ac:dyDescent="0.25">
      <c r="B505" s="89" t="s">
        <v>14</v>
      </c>
      <c r="C505" s="106" t="s">
        <v>566</v>
      </c>
      <c r="D505" s="90" t="s">
        <v>621</v>
      </c>
      <c r="E505" s="116" t="str">
        <f t="shared" si="7"/>
        <v>Kaiak Shampoo Cabelo e Corpo Masculino 125ml Frasco</v>
      </c>
      <c r="F505" s="4" t="s">
        <v>417</v>
      </c>
      <c r="G505" s="28"/>
      <c r="H505" s="4" t="s">
        <v>623</v>
      </c>
      <c r="I505" s="45" t="s">
        <v>32</v>
      </c>
      <c r="J505" s="71" t="s">
        <v>624</v>
      </c>
      <c r="K505" s="13" t="s">
        <v>627</v>
      </c>
      <c r="L505" s="13" t="s">
        <v>627</v>
      </c>
    </row>
    <row r="506" spans="2:12" x14ac:dyDescent="0.25">
      <c r="B506" s="89" t="s">
        <v>14</v>
      </c>
      <c r="C506" s="106" t="s">
        <v>566</v>
      </c>
      <c r="D506" s="90" t="s">
        <v>621</v>
      </c>
      <c r="E506" s="116" t="str">
        <f t="shared" si="7"/>
        <v>Kaiak Shampoo Cabelo e Corpo Oceano 125ml Frasco</v>
      </c>
      <c r="F506" s="4" t="s">
        <v>619</v>
      </c>
      <c r="G506" s="28"/>
      <c r="H506" s="4" t="s">
        <v>623</v>
      </c>
      <c r="I506" s="45" t="s">
        <v>32</v>
      </c>
      <c r="J506" s="71" t="s">
        <v>624</v>
      </c>
      <c r="K506" s="13"/>
      <c r="L506" s="13"/>
    </row>
    <row r="507" spans="2:12" x14ac:dyDescent="0.25">
      <c r="B507" s="89" t="s">
        <v>14</v>
      </c>
      <c r="C507" s="106" t="s">
        <v>566</v>
      </c>
      <c r="D507" s="90" t="s">
        <v>621</v>
      </c>
      <c r="E507" s="116" t="str">
        <f t="shared" si="7"/>
        <v>Kaiak Shampoo Cabelo e Corpo Pulso 125ml Frasco</v>
      </c>
      <c r="F507" s="4" t="s">
        <v>620</v>
      </c>
      <c r="G507" s="28"/>
      <c r="H507" s="4" t="s">
        <v>623</v>
      </c>
      <c r="I507" s="45" t="s">
        <v>32</v>
      </c>
      <c r="J507" s="71" t="s">
        <v>624</v>
      </c>
      <c r="K507" s="4"/>
      <c r="L507" s="4"/>
    </row>
    <row r="508" spans="2:12" x14ac:dyDescent="0.25">
      <c r="B508" s="89" t="s">
        <v>14</v>
      </c>
      <c r="C508" s="106" t="s">
        <v>566</v>
      </c>
      <c r="D508" s="90" t="s">
        <v>621</v>
      </c>
      <c r="E508" s="116" t="str">
        <f t="shared" si="7"/>
        <v>Kaiak Shampoo Cabelo e Corpo Uber 125ml Frasco</v>
      </c>
      <c r="F508" s="4" t="s">
        <v>628</v>
      </c>
      <c r="G508" s="28"/>
      <c r="H508" s="4" t="s">
        <v>623</v>
      </c>
      <c r="I508" s="45" t="s">
        <v>32</v>
      </c>
      <c r="J508" s="71" t="s">
        <v>624</v>
      </c>
      <c r="K508" s="13"/>
      <c r="L508" s="13"/>
    </row>
    <row r="509" spans="2:12" ht="15" customHeight="1" x14ac:dyDescent="0.25">
      <c r="B509" s="89" t="s">
        <v>14</v>
      </c>
      <c r="C509" s="106" t="s">
        <v>566</v>
      </c>
      <c r="D509" s="92" t="s">
        <v>629</v>
      </c>
      <c r="E509" s="116" t="str">
        <f t="shared" si="7"/>
        <v>Kaiak Sabonete Loquido em Gel Masculino 200ml Frasco</v>
      </c>
      <c r="F509" s="26" t="s">
        <v>417</v>
      </c>
      <c r="G509" s="28"/>
      <c r="H509" s="4" t="s">
        <v>31</v>
      </c>
      <c r="I509" s="45" t="s">
        <v>32</v>
      </c>
      <c r="J509" s="13"/>
      <c r="K509" s="13"/>
      <c r="L509" s="13"/>
    </row>
    <row r="510" spans="2:12" ht="15" customHeight="1" x14ac:dyDescent="0.25">
      <c r="B510" s="89" t="s">
        <v>14</v>
      </c>
      <c r="C510" s="106" t="s">
        <v>566</v>
      </c>
      <c r="D510" s="92" t="s">
        <v>629</v>
      </c>
      <c r="E510" s="116" t="str">
        <f t="shared" si="7"/>
        <v>Kaiak Sabonete Loquido em Gel Masculino 200ml Frasco</v>
      </c>
      <c r="F510" s="26" t="s">
        <v>504</v>
      </c>
      <c r="G510" s="28"/>
      <c r="H510" s="4" t="s">
        <v>31</v>
      </c>
      <c r="I510" s="45" t="s">
        <v>32</v>
      </c>
      <c r="J510" s="13"/>
      <c r="K510" s="13"/>
      <c r="L510" s="13"/>
    </row>
    <row r="511" spans="2:12" ht="15" customHeight="1" x14ac:dyDescent="0.25">
      <c r="B511" s="89" t="s">
        <v>14</v>
      </c>
      <c r="C511" s="106" t="s">
        <v>566</v>
      </c>
      <c r="D511" s="90" t="s">
        <v>551</v>
      </c>
      <c r="E511" s="116" t="str">
        <f t="shared" si="7"/>
        <v>Kaiak Desodorante Roll-on Aventura Masculino 75ml Frasco</v>
      </c>
      <c r="F511" s="4" t="s">
        <v>571</v>
      </c>
      <c r="G511" s="28"/>
      <c r="H511" s="4" t="s">
        <v>334</v>
      </c>
      <c r="I511" s="45" t="s">
        <v>32</v>
      </c>
      <c r="J511" s="13" t="s">
        <v>630</v>
      </c>
      <c r="K511" s="154">
        <v>29.9</v>
      </c>
      <c r="L511" s="154">
        <v>29.9</v>
      </c>
    </row>
    <row r="512" spans="2:12" ht="15" customHeight="1" x14ac:dyDescent="0.25">
      <c r="B512" s="89" t="s">
        <v>14</v>
      </c>
      <c r="C512" s="106" t="s">
        <v>566</v>
      </c>
      <c r="D512" s="90" t="s">
        <v>551</v>
      </c>
      <c r="E512" s="116" t="str">
        <f t="shared" si="7"/>
        <v>Kaiak Desodorante Roll-on Aero Masculino 75ml Frasco</v>
      </c>
      <c r="F512" s="4" t="s">
        <v>569</v>
      </c>
      <c r="G512" s="28"/>
      <c r="H512" s="4" t="s">
        <v>334</v>
      </c>
      <c r="I512" s="45" t="s">
        <v>32</v>
      </c>
      <c r="J512" s="13" t="s">
        <v>630</v>
      </c>
      <c r="K512" s="154">
        <v>29.9</v>
      </c>
      <c r="L512" s="154">
        <v>29.9</v>
      </c>
    </row>
    <row r="513" spans="2:12" ht="15" customHeight="1" x14ac:dyDescent="0.25">
      <c r="B513" s="89" t="s">
        <v>14</v>
      </c>
      <c r="C513" s="106" t="s">
        <v>566</v>
      </c>
      <c r="D513" s="90" t="s">
        <v>551</v>
      </c>
      <c r="E513" s="116" t="str">
        <f t="shared" si="7"/>
        <v>Kaiak Desodorante Roll-on Masculino 75ml Frasco</v>
      </c>
      <c r="F513" s="4" t="s">
        <v>417</v>
      </c>
      <c r="G513" s="28"/>
      <c r="H513" s="4" t="s">
        <v>334</v>
      </c>
      <c r="I513" s="45" t="s">
        <v>32</v>
      </c>
      <c r="J513" s="13" t="s">
        <v>630</v>
      </c>
      <c r="K513" s="154">
        <v>29.9</v>
      </c>
      <c r="L513" s="154">
        <v>29.9</v>
      </c>
    </row>
    <row r="514" spans="2:12" ht="15" customHeight="1" x14ac:dyDescent="0.25">
      <c r="B514" s="89" t="s">
        <v>14</v>
      </c>
      <c r="C514" s="106" t="s">
        <v>566</v>
      </c>
      <c r="D514" s="90" t="s">
        <v>551</v>
      </c>
      <c r="E514" s="116" t="str">
        <f t="shared" si="7"/>
        <v>Kaiak Desodorante Roll-on Pulso Masculino 75ml Frasco</v>
      </c>
      <c r="F514" s="4" t="s">
        <v>579</v>
      </c>
      <c r="G514" s="28"/>
      <c r="H514" s="4" t="s">
        <v>334</v>
      </c>
      <c r="I514" s="45" t="s">
        <v>32</v>
      </c>
      <c r="J514" s="13" t="s">
        <v>630</v>
      </c>
      <c r="K514" s="154">
        <v>29.9</v>
      </c>
      <c r="L514" s="154">
        <v>29.9</v>
      </c>
    </row>
    <row r="515" spans="2:12" ht="15" customHeight="1" x14ac:dyDescent="0.25">
      <c r="B515" s="89" t="s">
        <v>14</v>
      </c>
      <c r="C515" s="106" t="s">
        <v>566</v>
      </c>
      <c r="D515" s="90" t="s">
        <v>551</v>
      </c>
      <c r="E515" s="116" t="str">
        <f t="shared" ref="E515:E578" si="8">TRIM(CONCATENATE(C515, " ", D515, " ", F515, " ", IF(G515&gt;0, G515 &amp; "x" &amp; H515, H515), " ", I515))</f>
        <v>Kaiak Desodorante Roll-on Uber Masculino 75ml Frasco</v>
      </c>
      <c r="F515" s="4" t="s">
        <v>583</v>
      </c>
      <c r="G515" s="28"/>
      <c r="H515" s="4" t="s">
        <v>334</v>
      </c>
      <c r="I515" s="45" t="s">
        <v>32</v>
      </c>
      <c r="J515" s="13" t="s">
        <v>630</v>
      </c>
      <c r="K515" s="154">
        <v>29.9</v>
      </c>
      <c r="L515" s="154">
        <v>29.9</v>
      </c>
    </row>
    <row r="516" spans="2:12" ht="15" customHeight="1" x14ac:dyDescent="0.25">
      <c r="B516" s="89" t="s">
        <v>14</v>
      </c>
      <c r="C516" s="106" t="s">
        <v>566</v>
      </c>
      <c r="D516" s="90" t="s">
        <v>551</v>
      </c>
      <c r="E516" s="116" t="str">
        <f t="shared" si="8"/>
        <v>Kaiak Desodorante Roll-on Aventura Feminino 75ml Frasco</v>
      </c>
      <c r="F516" s="4" t="s">
        <v>591</v>
      </c>
      <c r="G516" s="28"/>
      <c r="H516" s="4" t="s">
        <v>334</v>
      </c>
      <c r="I516" s="45" t="s">
        <v>32</v>
      </c>
      <c r="J516" s="13" t="s">
        <v>631</v>
      </c>
      <c r="K516" s="154">
        <v>29.9</v>
      </c>
      <c r="L516" s="154">
        <v>29.9</v>
      </c>
    </row>
    <row r="517" spans="2:12" ht="15" customHeight="1" x14ac:dyDescent="0.25">
      <c r="B517" s="89" t="s">
        <v>14</v>
      </c>
      <c r="C517" s="106" t="s">
        <v>566</v>
      </c>
      <c r="D517" s="90" t="s">
        <v>551</v>
      </c>
      <c r="E517" s="116" t="str">
        <f t="shared" si="8"/>
        <v>Kaiak Desodorante Roll-on Feminino 75ml Frasco</v>
      </c>
      <c r="F517" s="4" t="s">
        <v>448</v>
      </c>
      <c r="G517" s="28"/>
      <c r="H517" s="4" t="s">
        <v>334</v>
      </c>
      <c r="I517" s="45" t="s">
        <v>32</v>
      </c>
      <c r="J517" s="13" t="s">
        <v>631</v>
      </c>
      <c r="K517" s="154">
        <v>29.9</v>
      </c>
      <c r="L517" s="154">
        <v>29.9</v>
      </c>
    </row>
    <row r="518" spans="2:12" ht="15" customHeight="1" x14ac:dyDescent="0.25">
      <c r="B518" s="89" t="s">
        <v>14</v>
      </c>
      <c r="C518" s="131" t="s">
        <v>566</v>
      </c>
      <c r="D518" s="90" t="s">
        <v>551</v>
      </c>
      <c r="E518" s="116" t="str">
        <f t="shared" si="8"/>
        <v>Kaiak Desodorante Roll-on Oceano Feminino 75ml Frasco</v>
      </c>
      <c r="F518" s="4" t="s">
        <v>600</v>
      </c>
      <c r="G518" s="28"/>
      <c r="H518" s="4" t="s">
        <v>334</v>
      </c>
      <c r="I518" s="45" t="s">
        <v>32</v>
      </c>
      <c r="J518" s="13" t="s">
        <v>631</v>
      </c>
      <c r="K518" s="154">
        <v>29.9</v>
      </c>
      <c r="L518" s="154">
        <v>29.9</v>
      </c>
    </row>
    <row r="519" spans="2:12" ht="15" customHeight="1" x14ac:dyDescent="0.25">
      <c r="B519" s="89" t="s">
        <v>14</v>
      </c>
      <c r="C519" s="106" t="s">
        <v>566</v>
      </c>
      <c r="D519" s="92" t="s">
        <v>385</v>
      </c>
      <c r="E519" s="116" t="str">
        <f t="shared" si="8"/>
        <v>Kaiak Desodorante Corporal Aventura Masculino 100ml Frasco</v>
      </c>
      <c r="F519" s="4" t="s">
        <v>571</v>
      </c>
      <c r="G519" s="28"/>
      <c r="H519" s="4" t="s">
        <v>349</v>
      </c>
      <c r="I519" s="45" t="s">
        <v>32</v>
      </c>
      <c r="J519" s="13" t="s">
        <v>632</v>
      </c>
      <c r="K519" s="13" t="s">
        <v>633</v>
      </c>
      <c r="L519" s="13" t="s">
        <v>633</v>
      </c>
    </row>
    <row r="520" spans="2:12" ht="15" customHeight="1" x14ac:dyDescent="0.25">
      <c r="B520" s="89" t="s">
        <v>14</v>
      </c>
      <c r="C520" s="106" t="s">
        <v>566</v>
      </c>
      <c r="D520" s="92" t="s">
        <v>385</v>
      </c>
      <c r="E520" s="116" t="str">
        <f t="shared" si="8"/>
        <v>Kaiak Desodorante Corporal Extremo Masculino 100ml Frasco</v>
      </c>
      <c r="F520" s="4" t="s">
        <v>634</v>
      </c>
      <c r="G520" s="28"/>
      <c r="H520" s="4" t="s">
        <v>349</v>
      </c>
      <c r="I520" s="45" t="s">
        <v>32</v>
      </c>
      <c r="J520" s="13" t="s">
        <v>632</v>
      </c>
      <c r="K520" s="13" t="s">
        <v>633</v>
      </c>
      <c r="L520" s="13" t="s">
        <v>633</v>
      </c>
    </row>
    <row r="521" spans="2:12" ht="15" customHeight="1" x14ac:dyDescent="0.25">
      <c r="B521" s="89" t="s">
        <v>14</v>
      </c>
      <c r="C521" s="106" t="s">
        <v>566</v>
      </c>
      <c r="D521" s="92" t="s">
        <v>385</v>
      </c>
      <c r="E521" s="116" t="str">
        <f t="shared" si="8"/>
        <v>Kaiak Desodorante Corporal Masculino 100ml Frasco</v>
      </c>
      <c r="F521" s="4" t="s">
        <v>417</v>
      </c>
      <c r="G521" s="28"/>
      <c r="H521" s="4" t="s">
        <v>349</v>
      </c>
      <c r="I521" s="45" t="s">
        <v>32</v>
      </c>
      <c r="J521" s="13" t="s">
        <v>632</v>
      </c>
      <c r="K521" s="13" t="s">
        <v>633</v>
      </c>
      <c r="L521" s="13" t="s">
        <v>633</v>
      </c>
    </row>
    <row r="522" spans="2:12" ht="15" customHeight="1" x14ac:dyDescent="0.25">
      <c r="B522" s="89" t="s">
        <v>14</v>
      </c>
      <c r="C522" s="106" t="s">
        <v>566</v>
      </c>
      <c r="D522" s="92" t="s">
        <v>385</v>
      </c>
      <c r="E522" s="116" t="str">
        <f t="shared" si="8"/>
        <v>Kaiak Desodorante Corporal O2 Masculino 100ml Frasco</v>
      </c>
      <c r="F522" s="4" t="s">
        <v>577</v>
      </c>
      <c r="G522" s="28"/>
      <c r="H522" s="4" t="s">
        <v>349</v>
      </c>
      <c r="I522" s="45" t="s">
        <v>32</v>
      </c>
      <c r="J522" s="13" t="s">
        <v>632</v>
      </c>
      <c r="K522" s="13" t="s">
        <v>633</v>
      </c>
      <c r="L522" s="13" t="s">
        <v>633</v>
      </c>
    </row>
    <row r="523" spans="2:12" ht="15" customHeight="1" x14ac:dyDescent="0.25">
      <c r="B523" s="89" t="s">
        <v>14</v>
      </c>
      <c r="C523" s="106" t="s">
        <v>566</v>
      </c>
      <c r="D523" s="92" t="s">
        <v>385</v>
      </c>
      <c r="E523" s="116" t="str">
        <f t="shared" si="8"/>
        <v>Kaiak Desodorante Corporal Oceano Masculino 100ml Frasco</v>
      </c>
      <c r="F523" s="4" t="s">
        <v>575</v>
      </c>
      <c r="G523" s="28"/>
      <c r="H523" s="4" t="s">
        <v>349</v>
      </c>
      <c r="I523" s="45" t="s">
        <v>32</v>
      </c>
      <c r="J523" s="13" t="s">
        <v>632</v>
      </c>
      <c r="K523" s="13" t="s">
        <v>633</v>
      </c>
      <c r="L523" s="13" t="s">
        <v>633</v>
      </c>
    </row>
    <row r="524" spans="2:12" ht="15" customHeight="1" x14ac:dyDescent="0.25">
      <c r="B524" s="89" t="s">
        <v>14</v>
      </c>
      <c r="C524" s="106" t="s">
        <v>566</v>
      </c>
      <c r="D524" s="92" t="s">
        <v>385</v>
      </c>
      <c r="E524" s="116" t="str">
        <f t="shared" si="8"/>
        <v>Kaiak Desodorante Corporal Uber Masculino 100ml Frasco</v>
      </c>
      <c r="F524" s="4" t="s">
        <v>583</v>
      </c>
      <c r="G524" s="28"/>
      <c r="H524" s="4" t="s">
        <v>349</v>
      </c>
      <c r="I524" s="45" t="s">
        <v>32</v>
      </c>
      <c r="J524" s="13" t="s">
        <v>632</v>
      </c>
      <c r="K524" s="13" t="s">
        <v>633</v>
      </c>
      <c r="L524" s="13" t="s">
        <v>633</v>
      </c>
    </row>
    <row r="525" spans="2:12" ht="15" customHeight="1" x14ac:dyDescent="0.25">
      <c r="B525" s="89" t="s">
        <v>14</v>
      </c>
      <c r="C525" s="106" t="s">
        <v>566</v>
      </c>
      <c r="D525" s="92" t="s">
        <v>385</v>
      </c>
      <c r="E525" s="116" t="str">
        <f t="shared" si="8"/>
        <v>Kaiak Desodorante Corporal Pulso Masculino 100ml Frasco</v>
      </c>
      <c r="F525" s="4" t="s">
        <v>579</v>
      </c>
      <c r="G525" s="28"/>
      <c r="H525" s="4" t="s">
        <v>349</v>
      </c>
      <c r="I525" s="45" t="s">
        <v>32</v>
      </c>
      <c r="J525" s="13" t="s">
        <v>632</v>
      </c>
      <c r="K525" s="13" t="s">
        <v>633</v>
      </c>
      <c r="L525" s="13" t="s">
        <v>633</v>
      </c>
    </row>
    <row r="526" spans="2:12" ht="15" customHeight="1" x14ac:dyDescent="0.25">
      <c r="B526" s="89" t="s">
        <v>14</v>
      </c>
      <c r="C526" s="106" t="s">
        <v>566</v>
      </c>
      <c r="D526" s="92" t="s">
        <v>385</v>
      </c>
      <c r="E526" s="116" t="str">
        <f t="shared" si="8"/>
        <v>Kaiak Desodorante Corporal Aventura Masculino 100ml Refil</v>
      </c>
      <c r="F526" s="4" t="s">
        <v>571</v>
      </c>
      <c r="G526" s="28"/>
      <c r="H526" s="4" t="s">
        <v>349</v>
      </c>
      <c r="I526" s="45" t="s">
        <v>183</v>
      </c>
      <c r="J526" s="13" t="s">
        <v>632</v>
      </c>
      <c r="K526" s="13" t="s">
        <v>635</v>
      </c>
      <c r="L526" s="13" t="s">
        <v>635</v>
      </c>
    </row>
    <row r="527" spans="2:12" ht="15" customHeight="1" x14ac:dyDescent="0.25">
      <c r="B527" s="89" t="s">
        <v>14</v>
      </c>
      <c r="C527" s="106" t="s">
        <v>566</v>
      </c>
      <c r="D527" s="92" t="s">
        <v>385</v>
      </c>
      <c r="E527" s="116" t="str">
        <f t="shared" si="8"/>
        <v>Kaiak Desodorante Corporal Extremo Masculino 100ml Refil</v>
      </c>
      <c r="F527" s="4" t="s">
        <v>634</v>
      </c>
      <c r="G527" s="28"/>
      <c r="H527" s="4" t="s">
        <v>349</v>
      </c>
      <c r="I527" s="45" t="s">
        <v>183</v>
      </c>
      <c r="J527" s="13" t="s">
        <v>632</v>
      </c>
      <c r="K527" s="13" t="s">
        <v>626</v>
      </c>
      <c r="L527" s="13" t="s">
        <v>626</v>
      </c>
    </row>
    <row r="528" spans="2:12" ht="15" customHeight="1" x14ac:dyDescent="0.25">
      <c r="B528" s="89" t="s">
        <v>14</v>
      </c>
      <c r="C528" s="106" t="s">
        <v>566</v>
      </c>
      <c r="D528" s="92" t="s">
        <v>385</v>
      </c>
      <c r="E528" s="116" t="str">
        <f t="shared" si="8"/>
        <v>Kaiak Desodorante Corporal Masculino 100ml Refil</v>
      </c>
      <c r="F528" s="4" t="s">
        <v>417</v>
      </c>
      <c r="G528" s="28"/>
      <c r="H528" s="4" t="s">
        <v>349</v>
      </c>
      <c r="I528" s="45" t="s">
        <v>183</v>
      </c>
      <c r="J528" s="13" t="s">
        <v>632</v>
      </c>
      <c r="K528" s="13" t="s">
        <v>626</v>
      </c>
      <c r="L528" s="13" t="s">
        <v>626</v>
      </c>
    </row>
    <row r="529" spans="2:12" ht="15" customHeight="1" x14ac:dyDescent="0.25">
      <c r="B529" s="89" t="s">
        <v>14</v>
      </c>
      <c r="C529" s="106" t="s">
        <v>566</v>
      </c>
      <c r="D529" s="92" t="s">
        <v>385</v>
      </c>
      <c r="E529" s="116" t="str">
        <f t="shared" si="8"/>
        <v>Kaiak Desodorante Corporal O2 Masculino 100ml Refil</v>
      </c>
      <c r="F529" s="4" t="s">
        <v>577</v>
      </c>
      <c r="G529" s="28"/>
      <c r="H529" s="4" t="s">
        <v>349</v>
      </c>
      <c r="I529" s="45" t="s">
        <v>183</v>
      </c>
      <c r="J529" s="13" t="s">
        <v>632</v>
      </c>
      <c r="K529" s="13" t="s">
        <v>626</v>
      </c>
      <c r="L529" s="13" t="s">
        <v>626</v>
      </c>
    </row>
    <row r="530" spans="2:12" ht="15" customHeight="1" x14ac:dyDescent="0.25">
      <c r="B530" s="89" t="s">
        <v>14</v>
      </c>
      <c r="C530" s="106" t="s">
        <v>566</v>
      </c>
      <c r="D530" s="92" t="s">
        <v>385</v>
      </c>
      <c r="E530" s="116" t="str">
        <f t="shared" si="8"/>
        <v>Kaiak Desodorante Corporal Oceano Masculino 100ml Refil</v>
      </c>
      <c r="F530" s="4" t="s">
        <v>575</v>
      </c>
      <c r="G530" s="28"/>
      <c r="H530" s="4" t="s">
        <v>349</v>
      </c>
      <c r="I530" s="45" t="s">
        <v>183</v>
      </c>
      <c r="J530" s="13" t="s">
        <v>632</v>
      </c>
      <c r="K530" s="13" t="s">
        <v>626</v>
      </c>
      <c r="L530" s="13" t="s">
        <v>626</v>
      </c>
    </row>
    <row r="531" spans="2:12" ht="15" customHeight="1" x14ac:dyDescent="0.25">
      <c r="B531" s="89" t="s">
        <v>14</v>
      </c>
      <c r="C531" s="106" t="s">
        <v>566</v>
      </c>
      <c r="D531" s="92" t="s">
        <v>385</v>
      </c>
      <c r="E531" s="116" t="str">
        <f t="shared" si="8"/>
        <v>Kaiak Desodorante Corporal Uber Masculino 100ml Refil</v>
      </c>
      <c r="F531" s="4" t="s">
        <v>583</v>
      </c>
      <c r="G531" s="28"/>
      <c r="H531" s="4" t="s">
        <v>349</v>
      </c>
      <c r="I531" s="45" t="s">
        <v>183</v>
      </c>
      <c r="J531" s="13" t="s">
        <v>632</v>
      </c>
      <c r="K531" s="13" t="s">
        <v>626</v>
      </c>
      <c r="L531" s="13" t="s">
        <v>626</v>
      </c>
    </row>
    <row r="532" spans="2:12" ht="15" customHeight="1" x14ac:dyDescent="0.25">
      <c r="B532" s="89" t="s">
        <v>14</v>
      </c>
      <c r="C532" s="106" t="s">
        <v>566</v>
      </c>
      <c r="D532" s="92" t="s">
        <v>385</v>
      </c>
      <c r="E532" s="116" t="str">
        <f t="shared" si="8"/>
        <v>Kaiak Desodorante Corporal Pulso Masculino 100ml Refil</v>
      </c>
      <c r="F532" s="4" t="s">
        <v>579</v>
      </c>
      <c r="G532" s="28"/>
      <c r="H532" s="4" t="s">
        <v>349</v>
      </c>
      <c r="I532" s="45" t="s">
        <v>183</v>
      </c>
      <c r="J532" s="13" t="s">
        <v>632</v>
      </c>
      <c r="K532" s="13" t="s">
        <v>626</v>
      </c>
      <c r="L532" s="13" t="s">
        <v>626</v>
      </c>
    </row>
    <row r="533" spans="2:12" ht="15" customHeight="1" x14ac:dyDescent="0.25">
      <c r="B533" s="89" t="s">
        <v>14</v>
      </c>
      <c r="C533" s="106" t="s">
        <v>566</v>
      </c>
      <c r="D533" s="92" t="s">
        <v>385</v>
      </c>
      <c r="E533" s="116" t="str">
        <f t="shared" si="8"/>
        <v>Kaiak Desodorante Corporal Aventura Feminino 100ml Frasco</v>
      </c>
      <c r="F533" s="4" t="s">
        <v>591</v>
      </c>
      <c r="G533" s="28"/>
      <c r="H533" s="4" t="s">
        <v>349</v>
      </c>
      <c r="I533" s="45" t="s">
        <v>32</v>
      </c>
      <c r="J533" s="13" t="s">
        <v>632</v>
      </c>
      <c r="K533" s="13" t="s">
        <v>636</v>
      </c>
      <c r="L533" s="13" t="s">
        <v>636</v>
      </c>
    </row>
    <row r="534" spans="2:12" ht="15" customHeight="1" x14ac:dyDescent="0.25">
      <c r="B534" s="89" t="s">
        <v>14</v>
      </c>
      <c r="C534" s="106" t="s">
        <v>566</v>
      </c>
      <c r="D534" s="92" t="s">
        <v>385</v>
      </c>
      <c r="E534" s="116" t="str">
        <f t="shared" si="8"/>
        <v>Kaiak Desodorante Corporal Aero Feminino 100ml Frasco</v>
      </c>
      <c r="F534" s="4" t="s">
        <v>589</v>
      </c>
      <c r="G534" s="28"/>
      <c r="H534" s="4" t="s">
        <v>349</v>
      </c>
      <c r="I534" s="45" t="s">
        <v>32</v>
      </c>
      <c r="J534" s="13" t="s">
        <v>632</v>
      </c>
      <c r="K534" s="13" t="s">
        <v>636</v>
      </c>
      <c r="L534" s="13" t="s">
        <v>636</v>
      </c>
    </row>
    <row r="535" spans="2:12" ht="15" customHeight="1" x14ac:dyDescent="0.25">
      <c r="B535" s="89" t="s">
        <v>14</v>
      </c>
      <c r="C535" s="106" t="s">
        <v>566</v>
      </c>
      <c r="D535" s="92" t="s">
        <v>385</v>
      </c>
      <c r="E535" s="116" t="str">
        <f t="shared" si="8"/>
        <v>Kaiak Desodorante Corporal Feminino 100ml Frasco</v>
      </c>
      <c r="F535" s="4" t="s">
        <v>448</v>
      </c>
      <c r="G535" s="28"/>
      <c r="H535" s="4" t="s">
        <v>349</v>
      </c>
      <c r="I535" s="45" t="s">
        <v>32</v>
      </c>
      <c r="J535" s="13" t="s">
        <v>632</v>
      </c>
      <c r="K535" s="13" t="s">
        <v>636</v>
      </c>
      <c r="L535" s="13" t="s">
        <v>636</v>
      </c>
    </row>
    <row r="536" spans="2:12" ht="15" customHeight="1" x14ac:dyDescent="0.25">
      <c r="B536" s="89" t="s">
        <v>14</v>
      </c>
      <c r="C536" s="106" t="s">
        <v>566</v>
      </c>
      <c r="D536" s="92" t="s">
        <v>385</v>
      </c>
      <c r="E536" s="116" t="str">
        <f t="shared" si="8"/>
        <v>Kaiak Desodorante Corporal Oceano Feminino 100ml Frasco</v>
      </c>
      <c r="F536" s="4" t="s">
        <v>600</v>
      </c>
      <c r="G536" s="28"/>
      <c r="H536" s="4" t="s">
        <v>349</v>
      </c>
      <c r="I536" s="45" t="s">
        <v>32</v>
      </c>
      <c r="J536" s="13" t="s">
        <v>632</v>
      </c>
      <c r="K536" s="13" t="s">
        <v>636</v>
      </c>
      <c r="L536" s="13" t="s">
        <v>636</v>
      </c>
    </row>
    <row r="537" spans="2:12" s="12" customFormat="1" ht="15" customHeight="1" x14ac:dyDescent="0.25">
      <c r="B537" s="89" t="s">
        <v>14</v>
      </c>
      <c r="C537" s="106" t="s">
        <v>566</v>
      </c>
      <c r="D537" s="92" t="s">
        <v>385</v>
      </c>
      <c r="E537" s="116" t="str">
        <f t="shared" si="8"/>
        <v>Kaiak Desodorante Corporal Aventura Feminino 100ml Refiil</v>
      </c>
      <c r="F537" s="4" t="s">
        <v>591</v>
      </c>
      <c r="G537" s="28"/>
      <c r="H537" s="4" t="s">
        <v>349</v>
      </c>
      <c r="I537" s="45" t="s">
        <v>637</v>
      </c>
      <c r="J537" s="13" t="s">
        <v>632</v>
      </c>
      <c r="K537" s="27" t="s">
        <v>638</v>
      </c>
      <c r="L537" s="27" t="s">
        <v>638</v>
      </c>
    </row>
    <row r="538" spans="2:12" ht="15" customHeight="1" x14ac:dyDescent="0.25">
      <c r="B538" s="89" t="s">
        <v>14</v>
      </c>
      <c r="C538" s="106" t="s">
        <v>566</v>
      </c>
      <c r="D538" s="92" t="s">
        <v>385</v>
      </c>
      <c r="E538" s="116" t="str">
        <f t="shared" si="8"/>
        <v>Kaiak Desodorante Corporal Aero Feminino 100ml Refiil</v>
      </c>
      <c r="F538" s="4" t="s">
        <v>639</v>
      </c>
      <c r="G538" s="28"/>
      <c r="H538" s="4" t="s">
        <v>349</v>
      </c>
      <c r="I538" s="45" t="s">
        <v>637</v>
      </c>
      <c r="J538" s="13" t="s">
        <v>632</v>
      </c>
      <c r="K538" s="27" t="s">
        <v>638</v>
      </c>
      <c r="L538" s="27" t="s">
        <v>638</v>
      </c>
    </row>
    <row r="539" spans="2:12" ht="15" customHeight="1" x14ac:dyDescent="0.25">
      <c r="B539" s="89" t="s">
        <v>14</v>
      </c>
      <c r="C539" s="106" t="s">
        <v>566</v>
      </c>
      <c r="D539" s="92" t="s">
        <v>385</v>
      </c>
      <c r="E539" s="116" t="str">
        <f t="shared" si="8"/>
        <v>Kaiak Desodorante Corporal Feminino 100ml Refiil</v>
      </c>
      <c r="F539" s="4" t="s">
        <v>448</v>
      </c>
      <c r="G539" s="28"/>
      <c r="H539" s="4" t="s">
        <v>349</v>
      </c>
      <c r="I539" s="45" t="s">
        <v>637</v>
      </c>
      <c r="J539" s="13" t="s">
        <v>632</v>
      </c>
      <c r="K539" s="27" t="s">
        <v>638</v>
      </c>
      <c r="L539" s="27" t="s">
        <v>638</v>
      </c>
    </row>
    <row r="540" spans="2:12" ht="15" customHeight="1" x14ac:dyDescent="0.25">
      <c r="B540" s="89" t="s">
        <v>14</v>
      </c>
      <c r="C540" s="106" t="s">
        <v>566</v>
      </c>
      <c r="D540" s="92" t="s">
        <v>385</v>
      </c>
      <c r="E540" s="116" t="str">
        <f t="shared" si="8"/>
        <v>Kaiak Desodorante Corporal Oceano Feminino 100ml Refiil</v>
      </c>
      <c r="F540" s="4" t="s">
        <v>600</v>
      </c>
      <c r="G540" s="28"/>
      <c r="H540" s="4" t="s">
        <v>349</v>
      </c>
      <c r="I540" s="45" t="s">
        <v>637</v>
      </c>
      <c r="J540" s="13" t="s">
        <v>632</v>
      </c>
      <c r="K540" s="27" t="s">
        <v>638</v>
      </c>
      <c r="L540" s="27" t="s">
        <v>638</v>
      </c>
    </row>
    <row r="541" spans="2:12" ht="15" customHeight="1" x14ac:dyDescent="0.25">
      <c r="B541" s="89" t="s">
        <v>14</v>
      </c>
      <c r="C541" s="106" t="s">
        <v>566</v>
      </c>
      <c r="D541" s="91" t="s">
        <v>640</v>
      </c>
      <c r="E541" s="116" t="str">
        <f t="shared" si="8"/>
        <v>Kaiak Desodorante Hidratante Corporal Masculino 150ml Frasco</v>
      </c>
      <c r="F541" s="4" t="s">
        <v>417</v>
      </c>
      <c r="G541" s="28"/>
      <c r="H541" s="4" t="s">
        <v>313</v>
      </c>
      <c r="I541" s="45" t="s">
        <v>32</v>
      </c>
      <c r="J541" s="13" t="s">
        <v>641</v>
      </c>
      <c r="K541" s="13" t="s">
        <v>642</v>
      </c>
      <c r="L541" s="13" t="s">
        <v>642</v>
      </c>
    </row>
    <row r="542" spans="2:12" ht="15" customHeight="1" x14ac:dyDescent="0.25">
      <c r="B542" s="89" t="s">
        <v>14</v>
      </c>
      <c r="C542" s="106" t="s">
        <v>566</v>
      </c>
      <c r="D542" s="91" t="s">
        <v>640</v>
      </c>
      <c r="E542" s="116" t="str">
        <f t="shared" si="8"/>
        <v>Kaiak Desodorante Hidratante Corporal Feminino 150ml Refil</v>
      </c>
      <c r="F542" s="4" t="s">
        <v>448</v>
      </c>
      <c r="G542" s="28"/>
      <c r="H542" s="4" t="s">
        <v>313</v>
      </c>
      <c r="I542" s="45" t="s">
        <v>183</v>
      </c>
      <c r="J542" s="13" t="s">
        <v>641</v>
      </c>
      <c r="K542" s="13" t="s">
        <v>643</v>
      </c>
      <c r="L542" s="13" t="s">
        <v>643</v>
      </c>
    </row>
    <row r="543" spans="2:12" ht="15" customHeight="1" x14ac:dyDescent="0.25">
      <c r="B543" s="89" t="s">
        <v>14</v>
      </c>
      <c r="C543" s="106" t="s">
        <v>566</v>
      </c>
      <c r="D543" s="91" t="s">
        <v>640</v>
      </c>
      <c r="E543" s="116" t="str">
        <f t="shared" si="8"/>
        <v>Kaiak Desodorante Hidratante Corporal Masculino 150ml Frasco</v>
      </c>
      <c r="F543" s="4" t="s">
        <v>417</v>
      </c>
      <c r="G543" s="28"/>
      <c r="H543" s="4" t="s">
        <v>313</v>
      </c>
      <c r="I543" s="45" t="s">
        <v>32</v>
      </c>
      <c r="J543" s="13" t="s">
        <v>641</v>
      </c>
      <c r="K543" s="13" t="s">
        <v>642</v>
      </c>
      <c r="L543" s="13" t="s">
        <v>642</v>
      </c>
    </row>
    <row r="544" spans="2:12" ht="15" customHeight="1" x14ac:dyDescent="0.25">
      <c r="B544" s="89" t="s">
        <v>14</v>
      </c>
      <c r="C544" s="106" t="s">
        <v>566</v>
      </c>
      <c r="D544" s="91" t="s">
        <v>640</v>
      </c>
      <c r="E544" s="116" t="str">
        <f t="shared" si="8"/>
        <v>Kaiak Desodorante Hidratante Corporal Feminino 150ml Refil</v>
      </c>
      <c r="F544" s="4" t="s">
        <v>448</v>
      </c>
      <c r="G544" s="28"/>
      <c r="H544" s="4" t="s">
        <v>313</v>
      </c>
      <c r="I544" s="45" t="s">
        <v>183</v>
      </c>
      <c r="J544" s="13" t="s">
        <v>641</v>
      </c>
      <c r="K544" s="13" t="s">
        <v>643</v>
      </c>
      <c r="L544" s="13" t="s">
        <v>643</v>
      </c>
    </row>
    <row r="545" spans="2:12" ht="15" customHeight="1" x14ac:dyDescent="0.25">
      <c r="B545" s="89" t="s">
        <v>14</v>
      </c>
      <c r="C545" s="106" t="s">
        <v>566</v>
      </c>
      <c r="D545" s="132" t="s">
        <v>644</v>
      </c>
      <c r="E545" s="116" t="str">
        <f t="shared" si="8"/>
        <v>Kaiak Spray Pos Barba Masculino 150ml Frasco</v>
      </c>
      <c r="F545" s="4" t="s">
        <v>417</v>
      </c>
      <c r="G545" s="28"/>
      <c r="H545" s="4" t="s">
        <v>313</v>
      </c>
      <c r="I545" s="45" t="s">
        <v>32</v>
      </c>
      <c r="J545" s="42" t="s">
        <v>645</v>
      </c>
      <c r="K545" s="13" t="s">
        <v>646</v>
      </c>
      <c r="L545" s="13" t="s">
        <v>646</v>
      </c>
    </row>
    <row r="546" spans="2:12" ht="15" customHeight="1" x14ac:dyDescent="0.25">
      <c r="B546" s="89" t="s">
        <v>14</v>
      </c>
      <c r="C546" s="106" t="s">
        <v>566</v>
      </c>
      <c r="D546" s="91" t="s">
        <v>165</v>
      </c>
      <c r="E546" s="116" t="str">
        <f t="shared" si="8"/>
        <v>Kaiak Sabonete em Barra Masculino 1x90g Caixa</v>
      </c>
      <c r="F546" s="4" t="s">
        <v>417</v>
      </c>
      <c r="G546" s="28">
        <v>1</v>
      </c>
      <c r="H546" s="4" t="s">
        <v>74</v>
      </c>
      <c r="I546" s="45" t="s">
        <v>270</v>
      </c>
      <c r="J546" s="13" t="s">
        <v>647</v>
      </c>
      <c r="K546" s="13" t="s">
        <v>648</v>
      </c>
      <c r="L546" s="13" t="s">
        <v>648</v>
      </c>
    </row>
    <row r="547" spans="2:12" ht="15" customHeight="1" x14ac:dyDescent="0.25">
      <c r="B547" s="89" t="s">
        <v>14</v>
      </c>
      <c r="C547" s="106" t="s">
        <v>566</v>
      </c>
      <c r="D547" s="91" t="s">
        <v>165</v>
      </c>
      <c r="E547" s="116" t="str">
        <f t="shared" si="8"/>
        <v>Kaiak Sabonete em Barra Vital 1x90g Caixa</v>
      </c>
      <c r="F547" s="4" t="s">
        <v>649</v>
      </c>
      <c r="G547" s="28">
        <v>1</v>
      </c>
      <c r="H547" s="4" t="s">
        <v>74</v>
      </c>
      <c r="I547" s="45" t="s">
        <v>270</v>
      </c>
      <c r="J547" s="13" t="s">
        <v>647</v>
      </c>
      <c r="K547" s="13" t="s">
        <v>648</v>
      </c>
      <c r="L547" s="13" t="s">
        <v>648</v>
      </c>
    </row>
    <row r="548" spans="2:12" ht="15" customHeight="1" x14ac:dyDescent="0.25">
      <c r="B548" s="89" t="s">
        <v>14</v>
      </c>
      <c r="C548" s="106" t="s">
        <v>566</v>
      </c>
      <c r="D548" s="91" t="s">
        <v>165</v>
      </c>
      <c r="E548" s="116" t="str">
        <f t="shared" si="8"/>
        <v>Kaiak Sabonete em Barra Pulso 1x90g Caixa</v>
      </c>
      <c r="F548" s="4" t="s">
        <v>620</v>
      </c>
      <c r="G548" s="28">
        <v>1</v>
      </c>
      <c r="H548" s="4" t="s">
        <v>74</v>
      </c>
      <c r="I548" s="45" t="s">
        <v>270</v>
      </c>
      <c r="J548" s="13" t="s">
        <v>647</v>
      </c>
      <c r="K548" s="13" t="s">
        <v>648</v>
      </c>
      <c r="L548" s="13" t="s">
        <v>648</v>
      </c>
    </row>
    <row r="549" spans="2:12" ht="15" customHeight="1" x14ac:dyDescent="0.25">
      <c r="B549" s="89" t="s">
        <v>14</v>
      </c>
      <c r="C549" s="106" t="s">
        <v>566</v>
      </c>
      <c r="D549" s="91" t="s">
        <v>165</v>
      </c>
      <c r="E549" s="116" t="str">
        <f t="shared" si="8"/>
        <v>Kaiak Sabonete em Barra Uber 1x90g Caixa</v>
      </c>
      <c r="F549" s="4" t="s">
        <v>650</v>
      </c>
      <c r="G549" s="28">
        <v>1</v>
      </c>
      <c r="H549" s="4" t="s">
        <v>74</v>
      </c>
      <c r="I549" s="45" t="s">
        <v>270</v>
      </c>
      <c r="J549" s="13" t="s">
        <v>647</v>
      </c>
      <c r="K549" s="13" t="s">
        <v>648</v>
      </c>
      <c r="L549" s="13" t="s">
        <v>648</v>
      </c>
    </row>
    <row r="550" spans="2:12" ht="15" customHeight="1" x14ac:dyDescent="0.25">
      <c r="B550" s="89" t="s">
        <v>14</v>
      </c>
      <c r="C550" s="106" t="s">
        <v>566</v>
      </c>
      <c r="D550" s="91" t="s">
        <v>165</v>
      </c>
      <c r="E550" s="116" t="str">
        <f t="shared" si="8"/>
        <v>Kaiak Sabonete em Barra Oceano 1x90g Caixa</v>
      </c>
      <c r="F550" s="4" t="s">
        <v>651</v>
      </c>
      <c r="G550" s="28">
        <v>1</v>
      </c>
      <c r="H550" s="4" t="s">
        <v>74</v>
      </c>
      <c r="I550" s="45" t="s">
        <v>270</v>
      </c>
      <c r="J550" s="13" t="s">
        <v>647</v>
      </c>
      <c r="K550" s="13" t="s">
        <v>648</v>
      </c>
      <c r="L550" s="13" t="s">
        <v>648</v>
      </c>
    </row>
    <row r="551" spans="2:12" ht="15" customHeight="1" x14ac:dyDescent="0.25">
      <c r="B551" s="89" t="s">
        <v>14</v>
      </c>
      <c r="C551" s="106" t="s">
        <v>566</v>
      </c>
      <c r="D551" s="91" t="s">
        <v>163</v>
      </c>
      <c r="E551" s="116" t="str">
        <f t="shared" si="8"/>
        <v>Kaiak Sabonete em Barra Corpo e Barba 1x90g Caixa</v>
      </c>
      <c r="F551" s="4" t="s">
        <v>652</v>
      </c>
      <c r="G551" s="28">
        <v>1</v>
      </c>
      <c r="H551" s="4" t="s">
        <v>74</v>
      </c>
      <c r="I551" s="45" t="s">
        <v>270</v>
      </c>
      <c r="J551" s="13" t="s">
        <v>653</v>
      </c>
      <c r="K551" s="13" t="s">
        <v>654</v>
      </c>
      <c r="L551" s="13" t="s">
        <v>654</v>
      </c>
    </row>
    <row r="552" spans="2:12" ht="15" customHeight="1" x14ac:dyDescent="0.25">
      <c r="B552" s="89" t="s">
        <v>14</v>
      </c>
      <c r="C552" s="106" t="s">
        <v>566</v>
      </c>
      <c r="D552" s="90" t="s">
        <v>655</v>
      </c>
      <c r="E552" s="116" t="str">
        <f t="shared" si="8"/>
        <v>Kaiak Água gel Feminino</v>
      </c>
      <c r="F552" s="4" t="s">
        <v>448</v>
      </c>
      <c r="G552" s="28"/>
      <c r="H552" s="4"/>
      <c r="I552" s="45"/>
      <c r="J552" s="4"/>
      <c r="K552" s="13"/>
      <c r="L552" s="13"/>
    </row>
    <row r="553" spans="2:12" ht="15" customHeight="1" x14ac:dyDescent="0.25">
      <c r="B553" s="89" t="s">
        <v>14</v>
      </c>
      <c r="C553" s="106" t="s">
        <v>566</v>
      </c>
      <c r="D553" s="91" t="s">
        <v>656</v>
      </c>
      <c r="E553" s="116" t="str">
        <f t="shared" si="8"/>
        <v>Kaiak Hidratante Corporal Aventura 300ml Frasco</v>
      </c>
      <c r="F553" s="4" t="s">
        <v>617</v>
      </c>
      <c r="G553" s="28"/>
      <c r="H553" s="4" t="s">
        <v>151</v>
      </c>
      <c r="I553" s="45" t="s">
        <v>32</v>
      </c>
      <c r="J553" s="13" t="s">
        <v>657</v>
      </c>
      <c r="K553" s="13" t="s">
        <v>658</v>
      </c>
      <c r="L553" s="13" t="s">
        <v>658</v>
      </c>
    </row>
    <row r="554" spans="2:12" ht="15" customHeight="1" x14ac:dyDescent="0.25">
      <c r="B554" s="89" t="s">
        <v>14</v>
      </c>
      <c r="C554" s="106" t="s">
        <v>566</v>
      </c>
      <c r="D554" s="91" t="s">
        <v>656</v>
      </c>
      <c r="E554" s="116" t="str">
        <f t="shared" si="8"/>
        <v>Kaiak Hidratante Corporal Masculino 300ml Frasco</v>
      </c>
      <c r="F554" s="4" t="s">
        <v>417</v>
      </c>
      <c r="G554" s="28"/>
      <c r="H554" s="4" t="s">
        <v>151</v>
      </c>
      <c r="I554" s="45" t="s">
        <v>32</v>
      </c>
      <c r="J554" s="13" t="s">
        <v>657</v>
      </c>
      <c r="K554" s="13" t="s">
        <v>658</v>
      </c>
      <c r="L554" s="13" t="s">
        <v>658</v>
      </c>
    </row>
    <row r="555" spans="2:12" ht="15" customHeight="1" x14ac:dyDescent="0.25">
      <c r="B555" s="89" t="s">
        <v>14</v>
      </c>
      <c r="C555" s="106" t="s">
        <v>566</v>
      </c>
      <c r="D555" s="91" t="s">
        <v>656</v>
      </c>
      <c r="E555" s="116" t="str">
        <f t="shared" si="8"/>
        <v>Kaiak Hidratante Corporal Vital 300ml Frasco</v>
      </c>
      <c r="F555" s="4" t="s">
        <v>649</v>
      </c>
      <c r="G555" s="28"/>
      <c r="H555" s="4" t="s">
        <v>151</v>
      </c>
      <c r="I555" s="45" t="s">
        <v>32</v>
      </c>
      <c r="J555" s="13" t="s">
        <v>657</v>
      </c>
      <c r="K555" s="13" t="s">
        <v>658</v>
      </c>
      <c r="L555" s="13" t="s">
        <v>658</v>
      </c>
    </row>
    <row r="556" spans="2:12" ht="15.75" customHeight="1" x14ac:dyDescent="0.25">
      <c r="B556" s="89" t="s">
        <v>14</v>
      </c>
      <c r="C556" s="107" t="s">
        <v>659</v>
      </c>
      <c r="D556" s="90" t="s">
        <v>323</v>
      </c>
      <c r="E556" s="116" t="str">
        <f t="shared" si="8"/>
        <v>Ilia Colonia Dual Feminino 50ml Frasco</v>
      </c>
      <c r="F556" s="21" t="s">
        <v>660</v>
      </c>
      <c r="G556" s="28"/>
      <c r="H556" s="4" t="s">
        <v>144</v>
      </c>
      <c r="I556" s="45" t="s">
        <v>32</v>
      </c>
      <c r="J556" s="72" t="s">
        <v>661</v>
      </c>
      <c r="K556" s="13" t="s">
        <v>662</v>
      </c>
      <c r="L556" s="13" t="s">
        <v>662</v>
      </c>
    </row>
    <row r="557" spans="2:12" x14ac:dyDescent="0.25">
      <c r="B557" s="89" t="s">
        <v>14</v>
      </c>
      <c r="C557" s="107" t="s">
        <v>659</v>
      </c>
      <c r="D557" s="90" t="s">
        <v>323</v>
      </c>
      <c r="E557" s="116" t="str">
        <f t="shared" si="8"/>
        <v>Ilia Colonia Completa Feminino 50ml Frasco</v>
      </c>
      <c r="F557" s="21" t="s">
        <v>663</v>
      </c>
      <c r="G557" s="28"/>
      <c r="H557" s="4" t="s">
        <v>144</v>
      </c>
      <c r="I557" s="45" t="s">
        <v>32</v>
      </c>
      <c r="J557" s="13" t="s">
        <v>664</v>
      </c>
      <c r="K557" s="13" t="s">
        <v>662</v>
      </c>
      <c r="L557" s="13" t="s">
        <v>662</v>
      </c>
    </row>
    <row r="558" spans="2:12" x14ac:dyDescent="0.25">
      <c r="B558" s="89" t="s">
        <v>14</v>
      </c>
      <c r="C558" s="107" t="s">
        <v>659</v>
      </c>
      <c r="D558" s="90" t="s">
        <v>323</v>
      </c>
      <c r="E558" s="116" t="str">
        <f t="shared" si="8"/>
        <v>Ilia Colonia Florescer Feminino 50ml Frasco</v>
      </c>
      <c r="F558" s="4" t="s">
        <v>665</v>
      </c>
      <c r="G558" s="28"/>
      <c r="H558" s="4" t="s">
        <v>144</v>
      </c>
      <c r="I558" s="45" t="s">
        <v>32</v>
      </c>
      <c r="J558" s="13" t="s">
        <v>666</v>
      </c>
      <c r="K558" s="13" t="s">
        <v>662</v>
      </c>
      <c r="L558" s="13" t="s">
        <v>662</v>
      </c>
    </row>
    <row r="559" spans="2:12" x14ac:dyDescent="0.25">
      <c r="B559" s="89" t="s">
        <v>14</v>
      </c>
      <c r="C559" s="107" t="s">
        <v>659</v>
      </c>
      <c r="D559" s="90" t="s">
        <v>323</v>
      </c>
      <c r="E559" s="116" t="str">
        <f t="shared" si="8"/>
        <v>Ilia Colonia Flor de Laranjeira Feminino 50ml Frasco</v>
      </c>
      <c r="F559" s="4" t="s">
        <v>667</v>
      </c>
      <c r="G559" s="28"/>
      <c r="H559" s="4" t="s">
        <v>144</v>
      </c>
      <c r="I559" s="45" t="s">
        <v>32</v>
      </c>
      <c r="J559" s="13" t="s">
        <v>668</v>
      </c>
      <c r="K559" s="13" t="s">
        <v>662</v>
      </c>
      <c r="L559" s="13" t="s">
        <v>662</v>
      </c>
    </row>
    <row r="560" spans="2:12" x14ac:dyDescent="0.25">
      <c r="B560" s="89" t="s">
        <v>14</v>
      </c>
      <c r="C560" s="107" t="s">
        <v>659</v>
      </c>
      <c r="D560" s="90" t="s">
        <v>323</v>
      </c>
      <c r="E560" s="116" t="str">
        <f t="shared" si="8"/>
        <v>Ilia Colonia Feminino 50ml Frasco</v>
      </c>
      <c r="F560" s="4" t="s">
        <v>448</v>
      </c>
      <c r="G560" s="28"/>
      <c r="H560" s="4" t="s">
        <v>144</v>
      </c>
      <c r="I560" s="45" t="s">
        <v>32</v>
      </c>
      <c r="J560" s="4" t="s">
        <v>669</v>
      </c>
      <c r="K560" s="13" t="s">
        <v>662</v>
      </c>
      <c r="L560" s="13" t="s">
        <v>662</v>
      </c>
    </row>
    <row r="561" spans="2:12" x14ac:dyDescent="0.25">
      <c r="B561" s="89" t="s">
        <v>14</v>
      </c>
      <c r="C561" s="107" t="s">
        <v>659</v>
      </c>
      <c r="D561" s="90" t="s">
        <v>323</v>
      </c>
      <c r="E561" s="116" t="str">
        <f t="shared" si="8"/>
        <v>Ilia Colonia Laços Feminino 50ml Frasco</v>
      </c>
      <c r="F561" s="21" t="s">
        <v>670</v>
      </c>
      <c r="G561" s="28"/>
      <c r="H561" s="4" t="s">
        <v>144</v>
      </c>
      <c r="I561" s="45" t="s">
        <v>32</v>
      </c>
      <c r="J561" s="13" t="s">
        <v>671</v>
      </c>
      <c r="K561" s="13" t="s">
        <v>662</v>
      </c>
      <c r="L561" s="13" t="s">
        <v>662</v>
      </c>
    </row>
    <row r="562" spans="2:12" x14ac:dyDescent="0.25">
      <c r="B562" s="89" t="s">
        <v>14</v>
      </c>
      <c r="C562" s="107" t="s">
        <v>659</v>
      </c>
      <c r="D562" s="90" t="s">
        <v>323</v>
      </c>
      <c r="E562" s="116" t="str">
        <f t="shared" si="8"/>
        <v>Ilia Colonia Plena Feminino 50ml Frasco</v>
      </c>
      <c r="F562" s="4" t="s">
        <v>672</v>
      </c>
      <c r="G562" s="28"/>
      <c r="H562" s="4" t="s">
        <v>144</v>
      </c>
      <c r="I562" s="45" t="s">
        <v>32</v>
      </c>
      <c r="J562" s="13" t="s">
        <v>673</v>
      </c>
      <c r="K562" s="13" t="s">
        <v>662</v>
      </c>
      <c r="L562" s="13" t="s">
        <v>662</v>
      </c>
    </row>
    <row r="563" spans="2:12" x14ac:dyDescent="0.25">
      <c r="B563" s="89" t="s">
        <v>14</v>
      </c>
      <c r="C563" s="107" t="s">
        <v>659</v>
      </c>
      <c r="D563" s="90" t="s">
        <v>323</v>
      </c>
      <c r="E563" s="116" t="str">
        <f t="shared" si="8"/>
        <v>Ilia Colonia Ser Feminino 50ml Frasco</v>
      </c>
      <c r="F563" s="4" t="s">
        <v>674</v>
      </c>
      <c r="G563" s="28"/>
      <c r="H563" s="4" t="s">
        <v>144</v>
      </c>
      <c r="I563" s="45" t="s">
        <v>32</v>
      </c>
      <c r="J563" s="73" t="s">
        <v>675</v>
      </c>
      <c r="K563" s="13" t="s">
        <v>662</v>
      </c>
      <c r="L563" s="13" t="s">
        <v>662</v>
      </c>
    </row>
    <row r="564" spans="2:12" x14ac:dyDescent="0.25">
      <c r="B564" s="89" t="s">
        <v>14</v>
      </c>
      <c r="C564" s="107" t="s">
        <v>659</v>
      </c>
      <c r="D564" s="90" t="s">
        <v>323</v>
      </c>
      <c r="E564" s="116" t="str">
        <f t="shared" si="8"/>
        <v>Ilia Colonia Secreto Feminino 50ml Frasco</v>
      </c>
      <c r="F564" s="4" t="s">
        <v>676</v>
      </c>
      <c r="G564" s="28"/>
      <c r="H564" s="4" t="s">
        <v>144</v>
      </c>
      <c r="I564" s="45" t="s">
        <v>32</v>
      </c>
      <c r="J564" s="13" t="s">
        <v>1024</v>
      </c>
      <c r="K564" s="13" t="s">
        <v>662</v>
      </c>
      <c r="L564" s="13" t="s">
        <v>662</v>
      </c>
    </row>
    <row r="565" spans="2:12" x14ac:dyDescent="0.25">
      <c r="B565" s="89" t="s">
        <v>14</v>
      </c>
      <c r="C565" s="107" t="s">
        <v>659</v>
      </c>
      <c r="D565" s="90" t="s">
        <v>323</v>
      </c>
      <c r="E565" s="116" t="str">
        <f t="shared" si="8"/>
        <v>Ilia Colonia Viver Feminino 50ml Frasco</v>
      </c>
      <c r="F565" s="4" t="s">
        <v>677</v>
      </c>
      <c r="G565" s="28"/>
      <c r="H565" s="4" t="s">
        <v>144</v>
      </c>
      <c r="I565" s="45" t="s">
        <v>32</v>
      </c>
      <c r="J565" s="13" t="s">
        <v>678</v>
      </c>
      <c r="K565" s="13" t="s">
        <v>662</v>
      </c>
      <c r="L565" s="13" t="s">
        <v>662</v>
      </c>
    </row>
    <row r="566" spans="2:12" x14ac:dyDescent="0.25">
      <c r="B566" s="89" t="s">
        <v>14</v>
      </c>
      <c r="C566" s="107" t="s">
        <v>659</v>
      </c>
      <c r="D566" s="91" t="s">
        <v>679</v>
      </c>
      <c r="E566" s="116" t="str">
        <f t="shared" si="8"/>
        <v>Ilia Creme Hidrante Desodorante Perfumado Completa 80ml Frasco</v>
      </c>
      <c r="F566" s="21" t="s">
        <v>680</v>
      </c>
      <c r="G566" s="28"/>
      <c r="H566" s="4" t="s">
        <v>563</v>
      </c>
      <c r="I566" s="45" t="s">
        <v>32</v>
      </c>
      <c r="J566" s="13" t="s">
        <v>681</v>
      </c>
      <c r="K566" s="13"/>
      <c r="L566" s="13"/>
    </row>
    <row r="567" spans="2:12" x14ac:dyDescent="0.25">
      <c r="B567" s="89" t="s">
        <v>14</v>
      </c>
      <c r="C567" s="107" t="s">
        <v>659</v>
      </c>
      <c r="D567" s="91" t="s">
        <v>679</v>
      </c>
      <c r="E567" s="116" t="str">
        <f t="shared" si="8"/>
        <v>Ilia Creme Hidrante Desodorante Perfumado Feminino 80ml Frasco</v>
      </c>
      <c r="F567" s="4" t="s">
        <v>448</v>
      </c>
      <c r="G567" s="28"/>
      <c r="H567" s="4" t="s">
        <v>563</v>
      </c>
      <c r="I567" s="45" t="s">
        <v>32</v>
      </c>
      <c r="J567" s="13" t="s">
        <v>681</v>
      </c>
      <c r="K567" s="13"/>
      <c r="L567" s="13"/>
    </row>
    <row r="568" spans="2:12" x14ac:dyDescent="0.25">
      <c r="B568" s="89" t="s">
        <v>14</v>
      </c>
      <c r="C568" s="107" t="s">
        <v>659</v>
      </c>
      <c r="D568" s="91" t="s">
        <v>679</v>
      </c>
      <c r="E568" s="116" t="str">
        <f t="shared" si="8"/>
        <v>Ilia Creme Hidrante Desodorante Perfumado Secreto 80ml Frasco</v>
      </c>
      <c r="F568" s="4" t="s">
        <v>682</v>
      </c>
      <c r="G568" s="28"/>
      <c r="H568" s="4" t="s">
        <v>563</v>
      </c>
      <c r="I568" s="45" t="s">
        <v>32</v>
      </c>
      <c r="J568" s="13" t="s">
        <v>681</v>
      </c>
      <c r="K568" s="13"/>
      <c r="L568" s="13"/>
    </row>
    <row r="569" spans="2:12" x14ac:dyDescent="0.25">
      <c r="B569" s="89" t="s">
        <v>14</v>
      </c>
      <c r="C569" s="107" t="s">
        <v>659</v>
      </c>
      <c r="D569" s="91" t="s">
        <v>679</v>
      </c>
      <c r="E569" s="116" t="str">
        <f t="shared" si="8"/>
        <v>Ilia Creme Hidrante Desodorante Perfumado Ser 80ml Frasco</v>
      </c>
      <c r="F569" s="4" t="s">
        <v>683</v>
      </c>
      <c r="G569" s="28"/>
      <c r="H569" s="4" t="s">
        <v>563</v>
      </c>
      <c r="I569" s="45" t="s">
        <v>32</v>
      </c>
      <c r="J569" s="13" t="s">
        <v>681</v>
      </c>
      <c r="K569" s="13"/>
      <c r="L569" s="13"/>
    </row>
    <row r="570" spans="2:12" x14ac:dyDescent="0.25">
      <c r="B570" s="89" t="s">
        <v>14</v>
      </c>
      <c r="C570" s="107" t="s">
        <v>659</v>
      </c>
      <c r="D570" s="90" t="s">
        <v>165</v>
      </c>
      <c r="E570" s="116" t="str">
        <f t="shared" si="8"/>
        <v>Ilia Sabonete em Barra Feminino 2x90g Caixa</v>
      </c>
      <c r="F570" s="4" t="s">
        <v>448</v>
      </c>
      <c r="G570" s="28">
        <v>2</v>
      </c>
      <c r="H570" s="4" t="s">
        <v>74</v>
      </c>
      <c r="I570" s="45" t="s">
        <v>270</v>
      </c>
      <c r="J570" s="4" t="s">
        <v>684</v>
      </c>
      <c r="K570" s="13"/>
      <c r="L570" s="13"/>
    </row>
    <row r="571" spans="2:12" x14ac:dyDescent="0.25">
      <c r="B571" s="89" t="s">
        <v>14</v>
      </c>
      <c r="C571" s="107" t="s">
        <v>659</v>
      </c>
      <c r="D571" s="90" t="s">
        <v>165</v>
      </c>
      <c r="E571" s="116" t="str">
        <f t="shared" si="8"/>
        <v>Ilia Sabonete em Barra Secreto 2x90g Caixa</v>
      </c>
      <c r="F571" s="4" t="s">
        <v>682</v>
      </c>
      <c r="G571" s="28">
        <v>2</v>
      </c>
      <c r="H571" s="4" t="s">
        <v>74</v>
      </c>
      <c r="I571" s="45" t="s">
        <v>270</v>
      </c>
      <c r="J571" s="4" t="s">
        <v>684</v>
      </c>
      <c r="K571" s="13"/>
      <c r="L571" s="13"/>
    </row>
    <row r="572" spans="2:12" x14ac:dyDescent="0.25">
      <c r="B572" s="89" t="s">
        <v>14</v>
      </c>
      <c r="C572" s="107" t="s">
        <v>659</v>
      </c>
      <c r="D572" s="90" t="s">
        <v>165</v>
      </c>
      <c r="E572" s="116" t="str">
        <f t="shared" si="8"/>
        <v>Ilia Sabonete em Barra Sortido 3x90g Caixa</v>
      </c>
      <c r="F572" s="4" t="s">
        <v>685</v>
      </c>
      <c r="G572" s="28">
        <v>3</v>
      </c>
      <c r="H572" s="4" t="s">
        <v>74</v>
      </c>
      <c r="I572" s="45" t="s">
        <v>270</v>
      </c>
      <c r="J572" s="4" t="s">
        <v>684</v>
      </c>
      <c r="K572" s="13"/>
      <c r="L572" s="13"/>
    </row>
    <row r="573" spans="2:12" ht="15" customHeight="1" x14ac:dyDescent="0.25">
      <c r="B573" s="89" t="s">
        <v>14</v>
      </c>
      <c r="C573" s="108" t="s">
        <v>686</v>
      </c>
      <c r="D573" s="90" t="s">
        <v>687</v>
      </c>
      <c r="E573" s="116" t="str">
        <f t="shared" si="8"/>
        <v>Kriska Colonia Feminina Drama 100ml Frasco</v>
      </c>
      <c r="F573" s="21" t="s">
        <v>688</v>
      </c>
      <c r="G573" s="28"/>
      <c r="H573" s="4" t="s">
        <v>122</v>
      </c>
      <c r="I573" s="45" t="s">
        <v>32</v>
      </c>
      <c r="J573" s="13" t="s">
        <v>689</v>
      </c>
      <c r="K573" s="13" t="s">
        <v>690</v>
      </c>
      <c r="L573" s="13" t="s">
        <v>690</v>
      </c>
    </row>
    <row r="574" spans="2:12" ht="15" customHeight="1" x14ac:dyDescent="0.25">
      <c r="B574" s="89" t="s">
        <v>14</v>
      </c>
      <c r="C574" s="108" t="s">
        <v>686</v>
      </c>
      <c r="D574" s="90" t="s">
        <v>687</v>
      </c>
      <c r="E574" s="116" t="str">
        <f t="shared" si="8"/>
        <v>Kriska Colonia Feminina Jeans 100ml Frasco</v>
      </c>
      <c r="F574" s="21" t="s">
        <v>691</v>
      </c>
      <c r="G574" s="28"/>
      <c r="H574" s="4" t="s">
        <v>122</v>
      </c>
      <c r="I574" s="45" t="s">
        <v>32</v>
      </c>
      <c r="J574" s="13" t="s">
        <v>692</v>
      </c>
      <c r="K574" s="13" t="s">
        <v>690</v>
      </c>
      <c r="L574" s="13" t="s">
        <v>690</v>
      </c>
    </row>
    <row r="575" spans="2:12" ht="15" customHeight="1" x14ac:dyDescent="0.25">
      <c r="B575" s="89" t="s">
        <v>14</v>
      </c>
      <c r="C575" s="108" t="s">
        <v>686</v>
      </c>
      <c r="D575" s="90" t="s">
        <v>687</v>
      </c>
      <c r="E575" s="116" t="str">
        <f t="shared" si="8"/>
        <v>Kriska Colonia Feminina Feminino 100ml Frasco</v>
      </c>
      <c r="F575" s="26" t="s">
        <v>448</v>
      </c>
      <c r="G575" s="28"/>
      <c r="H575" s="4" t="s">
        <v>122</v>
      </c>
      <c r="I575" s="45" t="s">
        <v>32</v>
      </c>
      <c r="J575" s="13" t="s">
        <v>693</v>
      </c>
      <c r="K575" s="13" t="s">
        <v>690</v>
      </c>
      <c r="L575" s="13" t="s">
        <v>690</v>
      </c>
    </row>
    <row r="576" spans="2:12" ht="15" customHeight="1" x14ac:dyDescent="0.25">
      <c r="B576" s="89" t="s">
        <v>14</v>
      </c>
      <c r="C576" s="108" t="s">
        <v>686</v>
      </c>
      <c r="D576" s="90" t="s">
        <v>687</v>
      </c>
      <c r="E576" s="116" t="str">
        <f t="shared" si="8"/>
        <v>Kriska Colonia Feminina Romance 100ml Frasco</v>
      </c>
      <c r="F576" s="26" t="s">
        <v>694</v>
      </c>
      <c r="G576" s="28"/>
      <c r="H576" s="4" t="s">
        <v>122</v>
      </c>
      <c r="I576" s="45" t="s">
        <v>32</v>
      </c>
      <c r="J576" s="13" t="s">
        <v>695</v>
      </c>
      <c r="K576" s="13" t="s">
        <v>690</v>
      </c>
      <c r="L576" s="13" t="s">
        <v>690</v>
      </c>
    </row>
    <row r="577" spans="2:12" ht="15" customHeight="1" x14ac:dyDescent="0.25">
      <c r="B577" s="89" t="s">
        <v>14</v>
      </c>
      <c r="C577" s="108" t="s">
        <v>686</v>
      </c>
      <c r="D577" s="90" t="s">
        <v>687</v>
      </c>
      <c r="E577" s="116" t="str">
        <f t="shared" si="8"/>
        <v>Kriska Colonia Feminina Shock 100ml Frasco</v>
      </c>
      <c r="F577" s="4" t="s">
        <v>696</v>
      </c>
      <c r="G577" s="28"/>
      <c r="H577" s="4" t="s">
        <v>122</v>
      </c>
      <c r="I577" s="45" t="s">
        <v>32</v>
      </c>
      <c r="J577" s="13" t="s">
        <v>697</v>
      </c>
      <c r="K577" s="13" t="s">
        <v>690</v>
      </c>
      <c r="L577" s="13" t="s">
        <v>690</v>
      </c>
    </row>
    <row r="578" spans="2:12" ht="15" customHeight="1" x14ac:dyDescent="0.25">
      <c r="B578" s="89" t="s">
        <v>14</v>
      </c>
      <c r="C578" s="108" t="s">
        <v>686</v>
      </c>
      <c r="D578" s="90" t="s">
        <v>165</v>
      </c>
      <c r="E578" s="116" t="str">
        <f t="shared" si="8"/>
        <v>Kriska Sabonete em Barra Jeans 2x90g Caixa</v>
      </c>
      <c r="F578" s="21" t="s">
        <v>691</v>
      </c>
      <c r="G578" s="28">
        <v>2</v>
      </c>
      <c r="H578" s="28" t="s">
        <v>74</v>
      </c>
      <c r="I578" s="45" t="s">
        <v>270</v>
      </c>
      <c r="J578" s="4" t="s">
        <v>684</v>
      </c>
      <c r="K578" s="13"/>
      <c r="L578" s="13"/>
    </row>
    <row r="579" spans="2:12" ht="15" customHeight="1" x14ac:dyDescent="0.25">
      <c r="B579" s="89" t="s">
        <v>14</v>
      </c>
      <c r="C579" s="108" t="s">
        <v>686</v>
      </c>
      <c r="D579" s="90" t="s">
        <v>165</v>
      </c>
      <c r="E579" s="116" t="str">
        <f t="shared" ref="E579:E642" si="9">TRIM(CONCATENATE(C579, " ", D579, " ", F579, " ", IF(G579&gt;0, G579 &amp; "x" &amp; H579, H579), " ", I579))</f>
        <v>Kriska Sabonete em Barra Feminino 1x90g Caixa</v>
      </c>
      <c r="F579" s="26" t="s">
        <v>448</v>
      </c>
      <c r="G579" s="28">
        <v>1</v>
      </c>
      <c r="H579" s="28" t="s">
        <v>74</v>
      </c>
      <c r="I579" s="45" t="s">
        <v>270</v>
      </c>
      <c r="J579" s="4" t="s">
        <v>684</v>
      </c>
      <c r="K579" s="13"/>
      <c r="L579" s="13"/>
    </row>
    <row r="580" spans="2:12" s="12" customFormat="1" ht="15" customHeight="1" x14ac:dyDescent="0.25">
      <c r="B580" s="89" t="s">
        <v>14</v>
      </c>
      <c r="C580" s="108" t="s">
        <v>686</v>
      </c>
      <c r="D580" s="134" t="s">
        <v>698</v>
      </c>
      <c r="E580" s="116" t="str">
        <f t="shared" si="9"/>
        <v>Kriska Sabonete Liquido Drama 125ml Frasco</v>
      </c>
      <c r="F580" s="21" t="s">
        <v>688</v>
      </c>
      <c r="G580" s="28"/>
      <c r="H580" s="70" t="s">
        <v>623</v>
      </c>
      <c r="I580" s="51" t="s">
        <v>32</v>
      </c>
      <c r="J580" s="11" t="s">
        <v>699</v>
      </c>
      <c r="K580" s="165">
        <v>40</v>
      </c>
      <c r="L580" s="165">
        <v>40</v>
      </c>
    </row>
    <row r="581" spans="2:12" s="12" customFormat="1" ht="15" customHeight="1" x14ac:dyDescent="0.25">
      <c r="B581" s="89" t="s">
        <v>14</v>
      </c>
      <c r="C581" s="108" t="s">
        <v>686</v>
      </c>
      <c r="D581" s="134" t="s">
        <v>698</v>
      </c>
      <c r="E581" s="116" t="str">
        <f t="shared" si="9"/>
        <v>Kriska Sabonete Liquido Feminino 125ml Frasco</v>
      </c>
      <c r="F581" s="26" t="s">
        <v>448</v>
      </c>
      <c r="G581" s="28"/>
      <c r="H581" s="70" t="s">
        <v>623</v>
      </c>
      <c r="I581" s="51" t="s">
        <v>32</v>
      </c>
      <c r="J581" s="11" t="s">
        <v>699</v>
      </c>
      <c r="K581" s="165">
        <v>40</v>
      </c>
      <c r="L581" s="165">
        <v>40</v>
      </c>
    </row>
    <row r="582" spans="2:12" s="12" customFormat="1" ht="15" customHeight="1" x14ac:dyDescent="0.25">
      <c r="B582" s="89" t="s">
        <v>14</v>
      </c>
      <c r="C582" s="108" t="s">
        <v>686</v>
      </c>
      <c r="D582" s="94" t="s">
        <v>700</v>
      </c>
      <c r="E582" s="116" t="str">
        <f t="shared" si="9"/>
        <v>Kriska Hidratante Corporal Perfumado Drama 125ml Frasco</v>
      </c>
      <c r="F582" s="21" t="s">
        <v>688</v>
      </c>
      <c r="G582" s="28"/>
      <c r="H582" s="70" t="s">
        <v>623</v>
      </c>
      <c r="I582" s="51" t="s">
        <v>32</v>
      </c>
      <c r="J582" s="13" t="s">
        <v>681</v>
      </c>
      <c r="K582" s="13"/>
      <c r="L582" s="13"/>
    </row>
    <row r="583" spans="2:12" s="12" customFormat="1" ht="15" customHeight="1" x14ac:dyDescent="0.25">
      <c r="B583" s="89" t="s">
        <v>14</v>
      </c>
      <c r="C583" s="108" t="s">
        <v>686</v>
      </c>
      <c r="D583" s="94" t="s">
        <v>700</v>
      </c>
      <c r="E583" s="116" t="str">
        <f t="shared" si="9"/>
        <v>Kriska Hidratante Corporal Perfumado Jeans 125ml Frasco</v>
      </c>
      <c r="F583" s="21" t="s">
        <v>691</v>
      </c>
      <c r="G583" s="28"/>
      <c r="H583" s="70" t="s">
        <v>623</v>
      </c>
      <c r="I583" s="51" t="s">
        <v>32</v>
      </c>
      <c r="J583" s="13" t="s">
        <v>681</v>
      </c>
      <c r="K583" s="13"/>
      <c r="L583" s="13"/>
    </row>
    <row r="584" spans="2:12" s="12" customFormat="1" ht="15" customHeight="1" x14ac:dyDescent="0.25">
      <c r="B584" s="89" t="s">
        <v>14</v>
      </c>
      <c r="C584" s="108" t="s">
        <v>686</v>
      </c>
      <c r="D584" s="94" t="s">
        <v>700</v>
      </c>
      <c r="E584" s="116" t="str">
        <f t="shared" si="9"/>
        <v>Kriska Hidratante Corporal Perfumado Feminino 125ml Frasco</v>
      </c>
      <c r="F584" s="26" t="s">
        <v>448</v>
      </c>
      <c r="G584" s="28"/>
      <c r="H584" s="70" t="s">
        <v>623</v>
      </c>
      <c r="I584" s="51" t="s">
        <v>32</v>
      </c>
      <c r="J584" s="13" t="s">
        <v>681</v>
      </c>
      <c r="K584" s="13"/>
      <c r="L584" s="13"/>
    </row>
    <row r="585" spans="2:12" s="12" customFormat="1" ht="15" customHeight="1" x14ac:dyDescent="0.25">
      <c r="B585" s="89" t="s">
        <v>14</v>
      </c>
      <c r="C585" s="108" t="s">
        <v>686</v>
      </c>
      <c r="D585" s="94" t="s">
        <v>700</v>
      </c>
      <c r="E585" s="116" t="str">
        <f t="shared" si="9"/>
        <v>Kriska Hidratante Corporal Perfumado Shock 125ml Frasco</v>
      </c>
      <c r="F585" s="4" t="s">
        <v>696</v>
      </c>
      <c r="G585" s="28"/>
      <c r="H585" s="70" t="s">
        <v>623</v>
      </c>
      <c r="I585" s="51" t="s">
        <v>32</v>
      </c>
      <c r="J585" s="13" t="s">
        <v>681</v>
      </c>
      <c r="K585" s="13"/>
      <c r="L585" s="13"/>
    </row>
    <row r="586" spans="2:12" s="12" customFormat="1" ht="15" customHeight="1" x14ac:dyDescent="0.25">
      <c r="B586" s="89" t="s">
        <v>14</v>
      </c>
      <c r="C586" s="108" t="s">
        <v>686</v>
      </c>
      <c r="D586" s="94" t="s">
        <v>64</v>
      </c>
      <c r="E586" s="116" t="str">
        <f t="shared" si="9"/>
        <v>Kriska Oleo Corporal Shock 150ml Frasco</v>
      </c>
      <c r="F586" s="4" t="s">
        <v>696</v>
      </c>
      <c r="G586" s="28"/>
      <c r="H586" s="11" t="s">
        <v>313</v>
      </c>
      <c r="I586" s="51" t="s">
        <v>32</v>
      </c>
      <c r="J586" s="11" t="s">
        <v>701</v>
      </c>
      <c r="K586" s="27" t="s">
        <v>702</v>
      </c>
      <c r="L586" s="27" t="s">
        <v>702</v>
      </c>
    </row>
    <row r="587" spans="2:12" ht="15" customHeight="1" x14ac:dyDescent="0.25">
      <c r="B587" s="89" t="s">
        <v>14</v>
      </c>
      <c r="C587" s="108" t="s">
        <v>686</v>
      </c>
      <c r="D587" s="90" t="s">
        <v>703</v>
      </c>
      <c r="E587" s="116" t="str">
        <f t="shared" si="9"/>
        <v>Kriska Desodorante Corporal Perfumado Drama 100ml Frasco</v>
      </c>
      <c r="F587" s="21" t="s">
        <v>688</v>
      </c>
      <c r="G587" s="28"/>
      <c r="H587" s="4" t="s">
        <v>349</v>
      </c>
      <c r="I587" s="45" t="s">
        <v>32</v>
      </c>
      <c r="J587" s="13" t="s">
        <v>632</v>
      </c>
      <c r="K587" s="13" t="s">
        <v>642</v>
      </c>
      <c r="L587" s="13" t="s">
        <v>642</v>
      </c>
    </row>
    <row r="588" spans="2:12" ht="15" customHeight="1" x14ac:dyDescent="0.25">
      <c r="B588" s="89" t="s">
        <v>14</v>
      </c>
      <c r="C588" s="108" t="s">
        <v>686</v>
      </c>
      <c r="D588" s="90" t="s">
        <v>703</v>
      </c>
      <c r="E588" s="116" t="str">
        <f t="shared" si="9"/>
        <v>Kriska Desodorante Corporal Perfumado Drama 100ml Frasco</v>
      </c>
      <c r="F588" s="21" t="s">
        <v>688</v>
      </c>
      <c r="G588" s="28"/>
      <c r="H588" s="4" t="s">
        <v>349</v>
      </c>
      <c r="I588" s="45" t="s">
        <v>32</v>
      </c>
      <c r="J588" s="13" t="s">
        <v>632</v>
      </c>
      <c r="K588" s="13" t="s">
        <v>642</v>
      </c>
      <c r="L588" s="13" t="s">
        <v>642</v>
      </c>
    </row>
    <row r="589" spans="2:12" ht="15" customHeight="1" x14ac:dyDescent="0.25">
      <c r="B589" s="89" t="s">
        <v>14</v>
      </c>
      <c r="C589" s="108" t="s">
        <v>686</v>
      </c>
      <c r="D589" s="90" t="s">
        <v>703</v>
      </c>
      <c r="E589" s="116" t="str">
        <f t="shared" si="9"/>
        <v>Kriska Desodorante Corporal Perfumado Feminino 100ml Frasco</v>
      </c>
      <c r="F589" s="26" t="s">
        <v>448</v>
      </c>
      <c r="G589" s="28"/>
      <c r="H589" s="4" t="s">
        <v>349</v>
      </c>
      <c r="I589" s="45" t="s">
        <v>32</v>
      </c>
      <c r="J589" s="13" t="s">
        <v>632</v>
      </c>
      <c r="K589" s="13" t="s">
        <v>642</v>
      </c>
      <c r="L589" s="13" t="s">
        <v>642</v>
      </c>
    </row>
    <row r="590" spans="2:12" ht="15" customHeight="1" x14ac:dyDescent="0.25">
      <c r="B590" s="89" t="s">
        <v>14</v>
      </c>
      <c r="C590" s="108" t="s">
        <v>686</v>
      </c>
      <c r="D590" s="90" t="s">
        <v>703</v>
      </c>
      <c r="E590" s="116" t="str">
        <f t="shared" si="9"/>
        <v>Kriska Desodorante Corporal Perfumado Shock 100ml Frasco</v>
      </c>
      <c r="F590" s="4" t="s">
        <v>704</v>
      </c>
      <c r="G590" s="28"/>
      <c r="H590" s="4" t="s">
        <v>349</v>
      </c>
      <c r="I590" s="45" t="s">
        <v>32</v>
      </c>
      <c r="J590" s="13" t="s">
        <v>632</v>
      </c>
      <c r="K590" s="13" t="s">
        <v>642</v>
      </c>
      <c r="L590" s="13" t="s">
        <v>642</v>
      </c>
    </row>
    <row r="591" spans="2:12" ht="15" customHeight="1" x14ac:dyDescent="0.25">
      <c r="B591" s="89" t="s">
        <v>14</v>
      </c>
      <c r="C591" s="109" t="s">
        <v>705</v>
      </c>
      <c r="D591" s="91" t="s">
        <v>412</v>
      </c>
      <c r="E591" s="116" t="str">
        <f t="shared" si="9"/>
        <v>Homem Deo Parfum Essence 25ml Miniatura</v>
      </c>
      <c r="F591" s="4" t="s">
        <v>706</v>
      </c>
      <c r="G591" s="28"/>
      <c r="H591" s="4" t="s">
        <v>510</v>
      </c>
      <c r="I591" s="45" t="s">
        <v>511</v>
      </c>
      <c r="J591" s="21" t="s">
        <v>707</v>
      </c>
      <c r="K591" s="4" t="s">
        <v>708</v>
      </c>
      <c r="L591" s="4" t="s">
        <v>708</v>
      </c>
    </row>
    <row r="592" spans="2:12" ht="15" customHeight="1" x14ac:dyDescent="0.25">
      <c r="B592" s="89" t="s">
        <v>14</v>
      </c>
      <c r="C592" s="109" t="s">
        <v>705</v>
      </c>
      <c r="D592" s="91" t="s">
        <v>412</v>
      </c>
      <c r="E592" s="116" t="str">
        <f t="shared" si="9"/>
        <v>Homem Deo Parfum Meninos Infantil 25ml Miniatura</v>
      </c>
      <c r="F592" s="4" t="s">
        <v>709</v>
      </c>
      <c r="G592" s="28"/>
      <c r="H592" s="128" t="s">
        <v>510</v>
      </c>
      <c r="I592" s="45" t="s">
        <v>511</v>
      </c>
      <c r="J592" s="4" t="s">
        <v>710</v>
      </c>
      <c r="K592" s="4" t="s">
        <v>708</v>
      </c>
      <c r="L592" s="4" t="s">
        <v>708</v>
      </c>
    </row>
    <row r="593" spans="2:12" ht="15" customHeight="1" x14ac:dyDescent="0.25">
      <c r="B593" s="89" t="s">
        <v>14</v>
      </c>
      <c r="C593" s="109" t="s">
        <v>705</v>
      </c>
      <c r="D593" s="91" t="s">
        <v>412</v>
      </c>
      <c r="E593" s="116" t="str">
        <f t="shared" si="9"/>
        <v>Homem Deo Parfum Aromaticos 100ml Frasco</v>
      </c>
      <c r="F593" s="4" t="s">
        <v>711</v>
      </c>
      <c r="G593" s="28"/>
      <c r="H593" s="4" t="s">
        <v>349</v>
      </c>
      <c r="I593" s="45" t="s">
        <v>32</v>
      </c>
      <c r="J593" s="4" t="s">
        <v>712</v>
      </c>
      <c r="K593" s="4" t="s">
        <v>713</v>
      </c>
      <c r="L593" s="4" t="s">
        <v>713</v>
      </c>
    </row>
    <row r="594" spans="2:12" ht="15" customHeight="1" x14ac:dyDescent="0.25">
      <c r="B594" s="89" t="s">
        <v>14</v>
      </c>
      <c r="C594" s="109" t="s">
        <v>705</v>
      </c>
      <c r="D594" s="91" t="s">
        <v>412</v>
      </c>
      <c r="E594" s="116" t="str">
        <f t="shared" si="9"/>
        <v>Homem Deo Parfum Dom 100ml Frasco</v>
      </c>
      <c r="F594" s="4" t="s">
        <v>714</v>
      </c>
      <c r="G594" s="28"/>
      <c r="H594" s="4" t="s">
        <v>349</v>
      </c>
      <c r="I594" s="45" t="s">
        <v>32</v>
      </c>
      <c r="J594" s="4" t="s">
        <v>715</v>
      </c>
      <c r="K594" s="4" t="s">
        <v>713</v>
      </c>
      <c r="L594" s="4" t="s">
        <v>713</v>
      </c>
    </row>
    <row r="595" spans="2:12" ht="15" customHeight="1" x14ac:dyDescent="0.25">
      <c r="B595" s="89" t="s">
        <v>14</v>
      </c>
      <c r="C595" s="109" t="s">
        <v>705</v>
      </c>
      <c r="D595" s="91" t="s">
        <v>412</v>
      </c>
      <c r="E595" s="116" t="str">
        <f t="shared" si="9"/>
        <v>Homem Deo Parfum Elo 100ml Frasco</v>
      </c>
      <c r="F595" s="29" t="s">
        <v>716</v>
      </c>
      <c r="G595" s="28"/>
      <c r="H595" s="4" t="s">
        <v>349</v>
      </c>
      <c r="I595" s="45" t="s">
        <v>32</v>
      </c>
      <c r="J595" s="4" t="s">
        <v>717</v>
      </c>
      <c r="K595" s="4" t="s">
        <v>713</v>
      </c>
      <c r="L595" s="4" t="s">
        <v>713</v>
      </c>
    </row>
    <row r="596" spans="2:12" ht="15" customHeight="1" x14ac:dyDescent="0.25">
      <c r="B596" s="89" t="s">
        <v>14</v>
      </c>
      <c r="C596" s="109" t="s">
        <v>705</v>
      </c>
      <c r="D596" s="91" t="s">
        <v>412</v>
      </c>
      <c r="E596" s="116" t="str">
        <f t="shared" si="9"/>
        <v>Homem Deo Parfum Essence 100ml Frasco</v>
      </c>
      <c r="F596" s="4" t="s">
        <v>706</v>
      </c>
      <c r="G596" s="28"/>
      <c r="H596" s="4" t="s">
        <v>349</v>
      </c>
      <c r="I596" s="45" t="s">
        <v>32</v>
      </c>
      <c r="J596" s="4" t="s">
        <v>718</v>
      </c>
      <c r="K596" s="4" t="s">
        <v>713</v>
      </c>
      <c r="L596" s="4" t="s">
        <v>713</v>
      </c>
    </row>
    <row r="597" spans="2:12" ht="15" customHeight="1" x14ac:dyDescent="0.25">
      <c r="B597" s="89" t="s">
        <v>14</v>
      </c>
      <c r="C597" s="109" t="s">
        <v>705</v>
      </c>
      <c r="D597" s="91" t="s">
        <v>412</v>
      </c>
      <c r="E597" s="116" t="str">
        <f t="shared" si="9"/>
        <v>Homem Deo Parfum Masculino 100ml Frasco</v>
      </c>
      <c r="F597" s="30" t="s">
        <v>504</v>
      </c>
      <c r="G597" s="28"/>
      <c r="H597" s="4" t="s">
        <v>349</v>
      </c>
      <c r="I597" s="45" t="s">
        <v>32</v>
      </c>
      <c r="J597" s="4" t="s">
        <v>719</v>
      </c>
      <c r="K597" s="4" t="s">
        <v>713</v>
      </c>
      <c r="L597" s="4" t="s">
        <v>713</v>
      </c>
    </row>
    <row r="598" spans="2:12" ht="15" customHeight="1" x14ac:dyDescent="0.25">
      <c r="B598" s="89" t="s">
        <v>14</v>
      </c>
      <c r="C598" s="109" t="s">
        <v>705</v>
      </c>
      <c r="D598" s="91" t="s">
        <v>412</v>
      </c>
      <c r="E598" s="116" t="str">
        <f t="shared" si="9"/>
        <v>Homem Deo Parfum Madeira 100ml Frasco</v>
      </c>
      <c r="F598" s="30" t="s">
        <v>720</v>
      </c>
      <c r="G598" s="28"/>
      <c r="H598" s="4" t="s">
        <v>349</v>
      </c>
      <c r="I598" s="45" t="s">
        <v>32</v>
      </c>
      <c r="J598" s="4" t="s">
        <v>721</v>
      </c>
      <c r="K598" s="4" t="s">
        <v>713</v>
      </c>
      <c r="L598" s="4" t="s">
        <v>713</v>
      </c>
    </row>
    <row r="599" spans="2:12" ht="15" customHeight="1" x14ac:dyDescent="0.25">
      <c r="B599" s="89" t="s">
        <v>14</v>
      </c>
      <c r="C599" s="109" t="s">
        <v>705</v>
      </c>
      <c r="D599" s="91" t="s">
        <v>412</v>
      </c>
      <c r="E599" s="116" t="str">
        <f t="shared" si="9"/>
        <v>Homem Deo Parfum Nós 100ml Frasco</v>
      </c>
      <c r="F599" s="4" t="s">
        <v>722</v>
      </c>
      <c r="G599" s="28"/>
      <c r="H599" s="4" t="s">
        <v>349</v>
      </c>
      <c r="I599" s="45" t="s">
        <v>32</v>
      </c>
      <c r="J599" s="4" t="s">
        <v>723</v>
      </c>
      <c r="K599" s="4" t="s">
        <v>713</v>
      </c>
      <c r="L599" s="4" t="s">
        <v>713</v>
      </c>
    </row>
    <row r="600" spans="2:12" ht="15" customHeight="1" x14ac:dyDescent="0.25">
      <c r="B600" s="89" t="s">
        <v>14</v>
      </c>
      <c r="C600" s="109" t="s">
        <v>705</v>
      </c>
      <c r="D600" s="91" t="s">
        <v>412</v>
      </c>
      <c r="E600" s="116" t="str">
        <f t="shared" si="9"/>
        <v>Homem Deo Parfum Neo 100ml Frasco</v>
      </c>
      <c r="F600" s="4" t="s">
        <v>724</v>
      </c>
      <c r="G600" s="28"/>
      <c r="H600" s="4" t="s">
        <v>349</v>
      </c>
      <c r="I600" s="45" t="s">
        <v>32</v>
      </c>
      <c r="J600" s="4" t="s">
        <v>725</v>
      </c>
      <c r="K600" s="4" t="s">
        <v>713</v>
      </c>
      <c r="L600" s="4" t="s">
        <v>713</v>
      </c>
    </row>
    <row r="601" spans="2:12" ht="15" customHeight="1" x14ac:dyDescent="0.25">
      <c r="B601" s="89" t="s">
        <v>14</v>
      </c>
      <c r="C601" s="109" t="s">
        <v>705</v>
      </c>
      <c r="D601" s="91" t="s">
        <v>412</v>
      </c>
      <c r="E601" s="116" t="str">
        <f t="shared" si="9"/>
        <v>Homem Deo Parfum Sagaz 100ml Frasco</v>
      </c>
      <c r="F601" s="29" t="s">
        <v>726</v>
      </c>
      <c r="G601" s="28"/>
      <c r="H601" s="4" t="s">
        <v>349</v>
      </c>
      <c r="I601" s="45" t="s">
        <v>32</v>
      </c>
      <c r="J601" s="4" t="s">
        <v>727</v>
      </c>
      <c r="K601" s="4" t="s">
        <v>713</v>
      </c>
      <c r="L601" s="4" t="s">
        <v>713</v>
      </c>
    </row>
    <row r="602" spans="2:12" ht="15" customHeight="1" x14ac:dyDescent="0.25">
      <c r="B602" s="89" t="s">
        <v>14</v>
      </c>
      <c r="C602" s="109" t="s">
        <v>705</v>
      </c>
      <c r="D602" s="91" t="s">
        <v>412</v>
      </c>
      <c r="E602" s="116" t="str">
        <f t="shared" si="9"/>
        <v>Homem Deo Parfum Tato 100ml Frasco</v>
      </c>
      <c r="F602" s="4" t="s">
        <v>728</v>
      </c>
      <c r="G602" s="28"/>
      <c r="H602" s="4" t="s">
        <v>349</v>
      </c>
      <c r="I602" s="45" t="s">
        <v>32</v>
      </c>
      <c r="J602" s="4" t="s">
        <v>729</v>
      </c>
      <c r="K602" s="4" t="s">
        <v>713</v>
      </c>
      <c r="L602" s="4" t="s">
        <v>713</v>
      </c>
    </row>
    <row r="603" spans="2:12" ht="15" customHeight="1" x14ac:dyDescent="0.25">
      <c r="B603" s="89" t="s">
        <v>14</v>
      </c>
      <c r="C603" s="109" t="s">
        <v>705</v>
      </c>
      <c r="D603" s="91" t="s">
        <v>412</v>
      </c>
      <c r="E603" s="116" t="str">
        <f t="shared" si="9"/>
        <v>Homem Deo Parfum Verum 100ml Frasco</v>
      </c>
      <c r="F603" s="26" t="s">
        <v>730</v>
      </c>
      <c r="G603" s="28"/>
      <c r="H603" s="4" t="s">
        <v>349</v>
      </c>
      <c r="I603" s="45" t="s">
        <v>32</v>
      </c>
      <c r="J603" s="4" t="s">
        <v>731</v>
      </c>
      <c r="K603" s="4" t="s">
        <v>713</v>
      </c>
      <c r="L603" s="4" t="s">
        <v>713</v>
      </c>
    </row>
    <row r="604" spans="2:12" ht="15" customHeight="1" x14ac:dyDescent="0.25">
      <c r="B604" s="89" t="s">
        <v>14</v>
      </c>
      <c r="C604" s="109" t="s">
        <v>705</v>
      </c>
      <c r="D604" s="91" t="s">
        <v>412</v>
      </c>
      <c r="E604" s="116" t="str">
        <f t="shared" si="9"/>
        <v>Homem Deo Parfum Coragio 100ml Frasco</v>
      </c>
      <c r="F604" s="21" t="s">
        <v>732</v>
      </c>
      <c r="G604" s="28"/>
      <c r="H604" s="4" t="s">
        <v>349</v>
      </c>
      <c r="I604" s="45" t="s">
        <v>32</v>
      </c>
      <c r="J604" s="42" t="s">
        <v>733</v>
      </c>
      <c r="K604" s="13" t="s">
        <v>734</v>
      </c>
      <c r="L604" s="13" t="s">
        <v>734</v>
      </c>
    </row>
    <row r="605" spans="2:12" ht="15" customHeight="1" x14ac:dyDescent="0.25">
      <c r="B605" s="89" t="s">
        <v>14</v>
      </c>
      <c r="C605" s="109" t="s">
        <v>705</v>
      </c>
      <c r="D605" s="91" t="s">
        <v>412</v>
      </c>
      <c r="E605" s="116" t="str">
        <f t="shared" si="9"/>
        <v>Homem Deo Parfum Evolutin 100ml Frasco</v>
      </c>
      <c r="F605" s="21" t="s">
        <v>735</v>
      </c>
      <c r="G605" s="28"/>
      <c r="H605" s="4" t="s">
        <v>349</v>
      </c>
      <c r="I605" s="45" t="s">
        <v>32</v>
      </c>
      <c r="J605" s="4" t="s">
        <v>736</v>
      </c>
      <c r="K605" s="13" t="s">
        <v>734</v>
      </c>
      <c r="L605" s="13" t="s">
        <v>734</v>
      </c>
    </row>
    <row r="606" spans="2:12" ht="15" customHeight="1" x14ac:dyDescent="0.25">
      <c r="B606" s="89" t="s">
        <v>14</v>
      </c>
      <c r="C606" s="109" t="s">
        <v>705</v>
      </c>
      <c r="D606" s="91" t="s">
        <v>412</v>
      </c>
      <c r="E606" s="116" t="str">
        <f t="shared" si="9"/>
        <v>Homem Deo Parfum Emocione 100ml Frasco</v>
      </c>
      <c r="F606" s="4" t="s">
        <v>737</v>
      </c>
      <c r="G606" s="28"/>
      <c r="H606" s="4" t="s">
        <v>349</v>
      </c>
      <c r="I606" s="45" t="s">
        <v>32</v>
      </c>
      <c r="J606" s="4" t="s">
        <v>738</v>
      </c>
      <c r="K606" s="13" t="s">
        <v>734</v>
      </c>
      <c r="L606" s="13" t="s">
        <v>734</v>
      </c>
    </row>
    <row r="607" spans="2:12" ht="15" customHeight="1" x14ac:dyDescent="0.25">
      <c r="B607" s="89" t="s">
        <v>14</v>
      </c>
      <c r="C607" s="109" t="s">
        <v>705</v>
      </c>
      <c r="D607" s="90" t="s">
        <v>385</v>
      </c>
      <c r="E607" s="116" t="str">
        <f t="shared" si="9"/>
        <v>Homem Desodorante Corporal Especiarias 100ml Frasco</v>
      </c>
      <c r="F607" s="4" t="s">
        <v>739</v>
      </c>
      <c r="G607" s="28"/>
      <c r="H607" s="4" t="s">
        <v>349</v>
      </c>
      <c r="I607" s="45" t="s">
        <v>32</v>
      </c>
      <c r="J607" s="4"/>
      <c r="K607" s="13"/>
      <c r="L607" s="13"/>
    </row>
    <row r="608" spans="2:12" ht="15" customHeight="1" x14ac:dyDescent="0.25">
      <c r="B608" s="89" t="s">
        <v>14</v>
      </c>
      <c r="C608" s="109" t="s">
        <v>705</v>
      </c>
      <c r="D608" s="90" t="s">
        <v>385</v>
      </c>
      <c r="E608" s="116" t="str">
        <f t="shared" si="9"/>
        <v>Homem Desodorante Corporal Essence 100ml Frasco</v>
      </c>
      <c r="F608" s="4" t="s">
        <v>740</v>
      </c>
      <c r="G608" s="28"/>
      <c r="H608" s="4" t="s">
        <v>349</v>
      </c>
      <c r="I608" s="45" t="s">
        <v>32</v>
      </c>
      <c r="J608" s="4"/>
      <c r="K608" s="13"/>
      <c r="L608" s="13"/>
    </row>
    <row r="609" spans="2:12" s="12" customFormat="1" ht="15" customHeight="1" x14ac:dyDescent="0.25">
      <c r="B609" s="89" t="s">
        <v>14</v>
      </c>
      <c r="C609" s="109" t="s">
        <v>705</v>
      </c>
      <c r="D609" s="90" t="s">
        <v>385</v>
      </c>
      <c r="E609" s="116" t="str">
        <f t="shared" si="9"/>
        <v>Homem Desodorante Corporal Aromaticos 100ml Frasco</v>
      </c>
      <c r="F609" s="4" t="s">
        <v>711</v>
      </c>
      <c r="G609" s="28"/>
      <c r="H609" s="4" t="s">
        <v>349</v>
      </c>
      <c r="I609" s="51" t="s">
        <v>32</v>
      </c>
      <c r="J609" s="13" t="s">
        <v>632</v>
      </c>
      <c r="K609" s="27" t="s">
        <v>636</v>
      </c>
      <c r="L609" s="27" t="s">
        <v>636</v>
      </c>
    </row>
    <row r="610" spans="2:12" ht="15" customHeight="1" x14ac:dyDescent="0.25">
      <c r="B610" s="89" t="s">
        <v>14</v>
      </c>
      <c r="C610" s="109" t="s">
        <v>705</v>
      </c>
      <c r="D610" s="90" t="s">
        <v>385</v>
      </c>
      <c r="E610" s="116" t="str">
        <f t="shared" si="9"/>
        <v>Homem Desodorante Corporal Coragio 100ml Frasco</v>
      </c>
      <c r="F610" s="21" t="s">
        <v>732</v>
      </c>
      <c r="G610" s="28"/>
      <c r="H610" s="4" t="s">
        <v>349</v>
      </c>
      <c r="I610" s="51" t="s">
        <v>32</v>
      </c>
      <c r="J610" s="13" t="s">
        <v>632</v>
      </c>
      <c r="K610" s="27" t="s">
        <v>636</v>
      </c>
      <c r="L610" s="27" t="s">
        <v>636</v>
      </c>
    </row>
    <row r="611" spans="2:12" ht="15" customHeight="1" x14ac:dyDescent="0.25">
      <c r="B611" s="89" t="s">
        <v>14</v>
      </c>
      <c r="C611" s="109" t="s">
        <v>705</v>
      </c>
      <c r="D611" s="90" t="s">
        <v>385</v>
      </c>
      <c r="E611" s="116" t="str">
        <f t="shared" si="9"/>
        <v>Homem Desodorante Corporal Dom 100ml Frasco</v>
      </c>
      <c r="F611" s="4" t="s">
        <v>714</v>
      </c>
      <c r="G611" s="28"/>
      <c r="H611" s="4" t="s">
        <v>349</v>
      </c>
      <c r="I611" s="51" t="s">
        <v>32</v>
      </c>
      <c r="J611" s="13" t="s">
        <v>632</v>
      </c>
      <c r="K611" s="27" t="s">
        <v>636</v>
      </c>
      <c r="L611" s="27" t="s">
        <v>636</v>
      </c>
    </row>
    <row r="612" spans="2:12" ht="15" customHeight="1" x14ac:dyDescent="0.25">
      <c r="B612" s="89" t="s">
        <v>14</v>
      </c>
      <c r="C612" s="109" t="s">
        <v>705</v>
      </c>
      <c r="D612" s="90" t="s">
        <v>385</v>
      </c>
      <c r="E612" s="116" t="str">
        <f t="shared" si="9"/>
        <v>Homem Desodorante Corporal Elo 100ml Frasco</v>
      </c>
      <c r="F612" s="29" t="s">
        <v>716</v>
      </c>
      <c r="G612" s="28"/>
      <c r="H612" s="4" t="s">
        <v>349</v>
      </c>
      <c r="I612" s="51" t="s">
        <v>32</v>
      </c>
      <c r="J612" s="13" t="s">
        <v>632</v>
      </c>
      <c r="K612" s="27" t="s">
        <v>636</v>
      </c>
      <c r="L612" s="27" t="s">
        <v>636</v>
      </c>
    </row>
    <row r="613" spans="2:12" ht="15" customHeight="1" x14ac:dyDescent="0.25">
      <c r="B613" s="89" t="s">
        <v>14</v>
      </c>
      <c r="C613" s="109" t="s">
        <v>705</v>
      </c>
      <c r="D613" s="90" t="s">
        <v>385</v>
      </c>
      <c r="E613" s="116" t="str">
        <f t="shared" si="9"/>
        <v>Homem Desodorante Corporal Masculino 100ml Frasco</v>
      </c>
      <c r="F613" s="30" t="s">
        <v>417</v>
      </c>
      <c r="G613" s="28"/>
      <c r="H613" s="4" t="s">
        <v>349</v>
      </c>
      <c r="I613" s="51" t="s">
        <v>32</v>
      </c>
      <c r="J613" s="13" t="s">
        <v>632</v>
      </c>
      <c r="K613" s="27" t="s">
        <v>636</v>
      </c>
      <c r="L613" s="27" t="s">
        <v>636</v>
      </c>
    </row>
    <row r="614" spans="2:12" ht="15" customHeight="1" x14ac:dyDescent="0.25">
      <c r="B614" s="89" t="s">
        <v>14</v>
      </c>
      <c r="C614" s="109" t="s">
        <v>705</v>
      </c>
      <c r="D614" s="90" t="s">
        <v>385</v>
      </c>
      <c r="E614" s="116" t="str">
        <f t="shared" si="9"/>
        <v>Homem Desodorante Corporal Nós 100ml Frasco</v>
      </c>
      <c r="F614" s="4" t="s">
        <v>722</v>
      </c>
      <c r="G614" s="28"/>
      <c r="H614" s="4" t="s">
        <v>349</v>
      </c>
      <c r="I614" s="51" t="s">
        <v>32</v>
      </c>
      <c r="J614" s="13" t="s">
        <v>632</v>
      </c>
      <c r="K614" s="27" t="s">
        <v>636</v>
      </c>
      <c r="L614" s="27" t="s">
        <v>636</v>
      </c>
    </row>
    <row r="615" spans="2:12" ht="15" customHeight="1" x14ac:dyDescent="0.25">
      <c r="B615" s="89" t="s">
        <v>14</v>
      </c>
      <c r="C615" s="109" t="s">
        <v>705</v>
      </c>
      <c r="D615" s="90" t="s">
        <v>385</v>
      </c>
      <c r="E615" s="116" t="str">
        <f t="shared" si="9"/>
        <v>Homem Desodorante Corporal Sagaz 100ml Frasco</v>
      </c>
      <c r="F615" s="29" t="s">
        <v>726</v>
      </c>
      <c r="G615" s="28"/>
      <c r="H615" s="4" t="s">
        <v>349</v>
      </c>
      <c r="I615" s="51" t="s">
        <v>32</v>
      </c>
      <c r="J615" s="13" t="s">
        <v>632</v>
      </c>
      <c r="K615" s="27" t="s">
        <v>636</v>
      </c>
      <c r="L615" s="27" t="s">
        <v>636</v>
      </c>
    </row>
    <row r="616" spans="2:12" ht="15" customHeight="1" x14ac:dyDescent="0.25">
      <c r="B616" s="89" t="s">
        <v>14</v>
      </c>
      <c r="C616" s="109" t="s">
        <v>705</v>
      </c>
      <c r="D616" s="90" t="s">
        <v>385</v>
      </c>
      <c r="E616" s="116" t="str">
        <f t="shared" si="9"/>
        <v>Homem Desodorante Corporal Tato 100ml Frasco</v>
      </c>
      <c r="F616" s="4" t="s">
        <v>728</v>
      </c>
      <c r="G616" s="28"/>
      <c r="H616" s="4" t="s">
        <v>349</v>
      </c>
      <c r="I616" s="51" t="s">
        <v>32</v>
      </c>
      <c r="J616" s="13" t="s">
        <v>632</v>
      </c>
      <c r="K616" s="27" t="s">
        <v>636</v>
      </c>
      <c r="L616" s="27" t="s">
        <v>636</v>
      </c>
    </row>
    <row r="617" spans="2:12" ht="15" customHeight="1" x14ac:dyDescent="0.25">
      <c r="B617" s="89" t="s">
        <v>14</v>
      </c>
      <c r="C617" s="109" t="s">
        <v>705</v>
      </c>
      <c r="D617" s="90" t="s">
        <v>163</v>
      </c>
      <c r="E617" s="116" t="str">
        <f t="shared" si="9"/>
        <v>Homem Sabonete em Barra Cacau 3x90g Caixa</v>
      </c>
      <c r="F617" s="4" t="s">
        <v>741</v>
      </c>
      <c r="G617" s="28">
        <v>3</v>
      </c>
      <c r="H617" s="74" t="s">
        <v>74</v>
      </c>
      <c r="I617" s="21" t="s">
        <v>270</v>
      </c>
      <c r="J617" s="4" t="s">
        <v>742</v>
      </c>
      <c r="K617" s="13"/>
      <c r="L617" s="13"/>
    </row>
    <row r="618" spans="2:12" ht="15" customHeight="1" x14ac:dyDescent="0.25">
      <c r="B618" s="89" t="s">
        <v>14</v>
      </c>
      <c r="C618" s="109" t="s">
        <v>705</v>
      </c>
      <c r="D618" s="90" t="s">
        <v>163</v>
      </c>
      <c r="E618" s="116" t="str">
        <f t="shared" si="9"/>
        <v>Homem Sabonete em Barra Corajoso 3x90g Caixa</v>
      </c>
      <c r="F618" s="4" t="s">
        <v>743</v>
      </c>
      <c r="G618" s="28">
        <v>3</v>
      </c>
      <c r="H618" s="74" t="s">
        <v>74</v>
      </c>
      <c r="I618" s="21" t="s">
        <v>270</v>
      </c>
      <c r="J618" s="4" t="s">
        <v>742</v>
      </c>
      <c r="K618" s="13"/>
      <c r="L618" s="13"/>
    </row>
    <row r="619" spans="2:12" ht="15" customHeight="1" x14ac:dyDescent="0.25">
      <c r="B619" s="89" t="s">
        <v>14</v>
      </c>
      <c r="C619" s="109" t="s">
        <v>705</v>
      </c>
      <c r="D619" s="90" t="s">
        <v>163</v>
      </c>
      <c r="E619" s="116" t="str">
        <f t="shared" si="9"/>
        <v>Homem Sabonete em Barra Elo 3x90g Caixa</v>
      </c>
      <c r="F619" s="29" t="s">
        <v>716</v>
      </c>
      <c r="G619" s="28">
        <v>3</v>
      </c>
      <c r="H619" s="74" t="s">
        <v>74</v>
      </c>
      <c r="I619" s="21" t="s">
        <v>270</v>
      </c>
      <c r="J619" s="4" t="s">
        <v>742</v>
      </c>
      <c r="K619" s="13"/>
      <c r="L619" s="13"/>
    </row>
    <row r="620" spans="2:12" ht="15" customHeight="1" x14ac:dyDescent="0.25">
      <c r="B620" s="89" t="s">
        <v>14</v>
      </c>
      <c r="C620" s="109" t="s">
        <v>705</v>
      </c>
      <c r="D620" s="90" t="s">
        <v>163</v>
      </c>
      <c r="E620" s="116" t="str">
        <f t="shared" si="9"/>
        <v>Homem Sabonete em Barra Essence 3x90g Caixa</v>
      </c>
      <c r="F620" s="4" t="s">
        <v>706</v>
      </c>
      <c r="G620" s="28">
        <v>3</v>
      </c>
      <c r="H620" s="74" t="s">
        <v>74</v>
      </c>
      <c r="I620" s="21" t="s">
        <v>270</v>
      </c>
      <c r="J620" s="4" t="s">
        <v>742</v>
      </c>
      <c r="K620" s="13"/>
      <c r="L620" s="13"/>
    </row>
    <row r="621" spans="2:12" ht="15" customHeight="1" x14ac:dyDescent="0.25">
      <c r="B621" s="89" t="s">
        <v>14</v>
      </c>
      <c r="C621" s="109" t="s">
        <v>705</v>
      </c>
      <c r="D621" s="90" t="s">
        <v>163</v>
      </c>
      <c r="E621" s="116" t="str">
        <f t="shared" si="9"/>
        <v>Homem Sabonete em Barra Emocione 3x90g Caixa</v>
      </c>
      <c r="F621" s="4" t="s">
        <v>737</v>
      </c>
      <c r="G621" s="28">
        <v>3</v>
      </c>
      <c r="H621" s="74" t="s">
        <v>74</v>
      </c>
      <c r="I621" s="21" t="s">
        <v>270</v>
      </c>
      <c r="J621" s="4" t="s">
        <v>742</v>
      </c>
      <c r="K621" s="13"/>
      <c r="L621" s="13"/>
    </row>
    <row r="622" spans="2:12" ht="15" customHeight="1" x14ac:dyDescent="0.25">
      <c r="B622" s="89" t="s">
        <v>14</v>
      </c>
      <c r="C622" s="109" t="s">
        <v>705</v>
      </c>
      <c r="D622" s="90" t="s">
        <v>163</v>
      </c>
      <c r="E622" s="116" t="str">
        <f t="shared" si="9"/>
        <v>Homem Sabonete em Barra Masculino 3x110g Caixa</v>
      </c>
      <c r="F622" s="30" t="s">
        <v>417</v>
      </c>
      <c r="G622" s="28">
        <v>3</v>
      </c>
      <c r="H622" s="74" t="s">
        <v>744</v>
      </c>
      <c r="I622" s="21" t="s">
        <v>270</v>
      </c>
      <c r="J622" s="4" t="s">
        <v>742</v>
      </c>
      <c r="K622" s="4"/>
      <c r="L622" s="4"/>
    </row>
    <row r="623" spans="2:12" ht="15" customHeight="1" x14ac:dyDescent="0.25">
      <c r="B623" s="89" t="s">
        <v>14</v>
      </c>
      <c r="C623" s="109" t="s">
        <v>705</v>
      </c>
      <c r="D623" s="90" t="s">
        <v>163</v>
      </c>
      <c r="E623" s="116" t="str">
        <f t="shared" si="9"/>
        <v>Homem Sabonete em Barra Neo 3x90g Caixa</v>
      </c>
      <c r="F623" s="4" t="s">
        <v>724</v>
      </c>
      <c r="G623" s="28">
        <v>3</v>
      </c>
      <c r="H623" s="74" t="s">
        <v>74</v>
      </c>
      <c r="I623" s="21" t="s">
        <v>270</v>
      </c>
      <c r="J623" s="4" t="s">
        <v>742</v>
      </c>
      <c r="K623" s="4"/>
      <c r="L623" s="4"/>
    </row>
    <row r="624" spans="2:12" ht="15" customHeight="1" x14ac:dyDescent="0.25">
      <c r="B624" s="89" t="s">
        <v>14</v>
      </c>
      <c r="C624" s="109" t="s">
        <v>705</v>
      </c>
      <c r="D624" s="90" t="s">
        <v>163</v>
      </c>
      <c r="E624" s="116" t="str">
        <f t="shared" si="9"/>
        <v>Homem Sabonete em Barra Sagaz 3x90g Caixa</v>
      </c>
      <c r="F624" s="29" t="s">
        <v>726</v>
      </c>
      <c r="G624" s="28">
        <v>3</v>
      </c>
      <c r="H624" s="74" t="s">
        <v>74</v>
      </c>
      <c r="I624" s="21" t="s">
        <v>270</v>
      </c>
      <c r="J624" s="4" t="s">
        <v>742</v>
      </c>
      <c r="K624" s="4"/>
      <c r="L624" s="4"/>
    </row>
    <row r="625" spans="2:12" ht="15" customHeight="1" x14ac:dyDescent="0.25">
      <c r="B625" s="89" t="s">
        <v>14</v>
      </c>
      <c r="C625" s="109" t="s">
        <v>705</v>
      </c>
      <c r="D625" s="90" t="s">
        <v>163</v>
      </c>
      <c r="E625" s="116" t="str">
        <f t="shared" si="9"/>
        <v>Homem Sabonete em Barra Tato 3x90g Caixa</v>
      </c>
      <c r="F625" s="4" t="s">
        <v>728</v>
      </c>
      <c r="G625" s="28">
        <v>3</v>
      </c>
      <c r="H625" s="74" t="s">
        <v>74</v>
      </c>
      <c r="I625" s="21" t="s">
        <v>270</v>
      </c>
      <c r="J625" s="4" t="s">
        <v>742</v>
      </c>
      <c r="K625" s="4"/>
      <c r="L625" s="4"/>
    </row>
    <row r="626" spans="2:12" ht="15" customHeight="1" x14ac:dyDescent="0.25">
      <c r="B626" s="89" t="s">
        <v>14</v>
      </c>
      <c r="C626" s="109" t="s">
        <v>705</v>
      </c>
      <c r="D626" s="90" t="s">
        <v>150</v>
      </c>
      <c r="E626" s="116" t="str">
        <f t="shared" si="9"/>
        <v>Homem Sabonete Liquido em Gel Corajoso 100ml Frasco</v>
      </c>
      <c r="F626" s="4" t="s">
        <v>743</v>
      </c>
      <c r="G626" s="28"/>
      <c r="H626" s="59" t="s">
        <v>349</v>
      </c>
      <c r="I626" s="58" t="s">
        <v>32</v>
      </c>
      <c r="J626" s="4" t="s">
        <v>742</v>
      </c>
      <c r="K626" s="13"/>
      <c r="L626" s="13"/>
    </row>
    <row r="627" spans="2:12" ht="15" customHeight="1" x14ac:dyDescent="0.25">
      <c r="B627" s="89" t="s">
        <v>14</v>
      </c>
      <c r="C627" s="109" t="s">
        <v>705</v>
      </c>
      <c r="D627" s="90" t="s">
        <v>150</v>
      </c>
      <c r="E627" s="116" t="str">
        <f t="shared" si="9"/>
        <v>Homem Sabonete Liquido em Gel Elo 100ml Frasco</v>
      </c>
      <c r="F627" s="29" t="s">
        <v>716</v>
      </c>
      <c r="G627" s="28"/>
      <c r="H627" s="59" t="s">
        <v>349</v>
      </c>
      <c r="I627" s="58" t="s">
        <v>32</v>
      </c>
      <c r="J627" s="4" t="s">
        <v>742</v>
      </c>
      <c r="K627" s="13"/>
      <c r="L627" s="13"/>
    </row>
    <row r="628" spans="2:12" ht="15" customHeight="1" x14ac:dyDescent="0.25">
      <c r="B628" s="89" t="s">
        <v>14</v>
      </c>
      <c r="C628" s="109" t="s">
        <v>705</v>
      </c>
      <c r="D628" s="90" t="s">
        <v>150</v>
      </c>
      <c r="E628" s="116" t="str">
        <f t="shared" si="9"/>
        <v>Homem Sabonete Liquido em Gel Essence 100ml Frasco</v>
      </c>
      <c r="F628" s="4" t="s">
        <v>706</v>
      </c>
      <c r="G628" s="28"/>
      <c r="H628" s="59" t="s">
        <v>349</v>
      </c>
      <c r="I628" s="58" t="s">
        <v>32</v>
      </c>
      <c r="J628" s="4" t="s">
        <v>742</v>
      </c>
      <c r="K628" s="13"/>
      <c r="L628" s="13"/>
    </row>
    <row r="629" spans="2:12" ht="15" customHeight="1" x14ac:dyDescent="0.25">
      <c r="B629" s="89" t="s">
        <v>14</v>
      </c>
      <c r="C629" s="109" t="s">
        <v>705</v>
      </c>
      <c r="D629" s="90" t="s">
        <v>150</v>
      </c>
      <c r="E629" s="116" t="str">
        <f t="shared" si="9"/>
        <v>Homem Sabonete Liquido em Gel Masculino 100ml Frasco</v>
      </c>
      <c r="F629" s="30" t="s">
        <v>417</v>
      </c>
      <c r="G629" s="28"/>
      <c r="H629" s="59" t="s">
        <v>349</v>
      </c>
      <c r="I629" s="58" t="s">
        <v>32</v>
      </c>
      <c r="J629" s="4" t="s">
        <v>742</v>
      </c>
      <c r="K629" s="13"/>
      <c r="L629" s="13"/>
    </row>
    <row r="630" spans="2:12" ht="15" customHeight="1" x14ac:dyDescent="0.25">
      <c r="B630" s="89" t="s">
        <v>14</v>
      </c>
      <c r="C630" s="109" t="s">
        <v>705</v>
      </c>
      <c r="D630" s="90" t="s">
        <v>150</v>
      </c>
      <c r="E630" s="116" t="str">
        <f t="shared" si="9"/>
        <v>Homem Sabonete Liquido em Gel Sagaz 100ml Frasco</v>
      </c>
      <c r="F630" s="29" t="s">
        <v>726</v>
      </c>
      <c r="G630" s="28"/>
      <c r="H630" s="59" t="s">
        <v>349</v>
      </c>
      <c r="I630" s="58" t="s">
        <v>32</v>
      </c>
      <c r="J630" s="4" t="s">
        <v>742</v>
      </c>
      <c r="K630" s="13"/>
      <c r="L630" s="13"/>
    </row>
    <row r="631" spans="2:12" ht="15" customHeight="1" x14ac:dyDescent="0.25">
      <c r="B631" s="89" t="s">
        <v>14</v>
      </c>
      <c r="C631" s="109" t="s">
        <v>705</v>
      </c>
      <c r="D631" s="90" t="s">
        <v>150</v>
      </c>
      <c r="E631" s="116" t="str">
        <f t="shared" si="9"/>
        <v>Homem Sabonete Liquido em Gel Tato 100ml Frasco</v>
      </c>
      <c r="F631" s="4" t="s">
        <v>728</v>
      </c>
      <c r="G631" s="28"/>
      <c r="H631" s="59" t="s">
        <v>349</v>
      </c>
      <c r="I631" s="58" t="s">
        <v>32</v>
      </c>
      <c r="J631" s="4" t="s">
        <v>742</v>
      </c>
      <c r="K631" s="13"/>
      <c r="L631" s="13"/>
    </row>
    <row r="632" spans="2:12" ht="15" customHeight="1" x14ac:dyDescent="0.25">
      <c r="B632" s="89" t="s">
        <v>14</v>
      </c>
      <c r="C632" s="109" t="s">
        <v>705</v>
      </c>
      <c r="D632" s="90" t="s">
        <v>640</v>
      </c>
      <c r="E632" s="116" t="str">
        <f t="shared" si="9"/>
        <v>Homem Desodorante Hidratante Corporal Masculino 300ml Frasco</v>
      </c>
      <c r="F632" s="4" t="s">
        <v>504</v>
      </c>
      <c r="G632" s="28"/>
      <c r="H632" s="31" t="s">
        <v>151</v>
      </c>
      <c r="I632" s="45" t="s">
        <v>32</v>
      </c>
      <c r="J632" s="13" t="s">
        <v>745</v>
      </c>
      <c r="K632" s="13"/>
      <c r="L632" s="13"/>
    </row>
    <row r="633" spans="2:12" ht="15" customHeight="1" x14ac:dyDescent="0.25">
      <c r="B633" s="89" t="s">
        <v>14</v>
      </c>
      <c r="C633" s="109" t="s">
        <v>705</v>
      </c>
      <c r="D633" s="90" t="s">
        <v>640</v>
      </c>
      <c r="E633" s="116" t="str">
        <f t="shared" si="9"/>
        <v>Homem Desodorante Hidratante Corporal Tato 300ml Frasco</v>
      </c>
      <c r="F633" s="4" t="s">
        <v>728</v>
      </c>
      <c r="G633" s="28"/>
      <c r="H633" s="31" t="s">
        <v>151</v>
      </c>
      <c r="I633" s="45" t="s">
        <v>32</v>
      </c>
      <c r="J633" s="13" t="s">
        <v>745</v>
      </c>
      <c r="K633" s="13"/>
      <c r="L633" s="13"/>
    </row>
    <row r="634" spans="2:12" ht="15" customHeight="1" x14ac:dyDescent="0.25">
      <c r="B634" s="89" t="s">
        <v>14</v>
      </c>
      <c r="C634" s="109" t="s">
        <v>705</v>
      </c>
      <c r="D634" s="90" t="s">
        <v>126</v>
      </c>
      <c r="E634" s="116" t="str">
        <f t="shared" si="9"/>
        <v>Homem Desodorante Antitranspirante Roll-on Dom 75ml Frasco</v>
      </c>
      <c r="F634" s="4" t="s">
        <v>746</v>
      </c>
      <c r="G634" s="28"/>
      <c r="H634" s="4" t="s">
        <v>334</v>
      </c>
      <c r="I634" s="45" t="s">
        <v>32</v>
      </c>
      <c r="J634" s="13" t="s">
        <v>630</v>
      </c>
      <c r="K634" s="13" t="s">
        <v>747</v>
      </c>
      <c r="L634" s="13" t="s">
        <v>747</v>
      </c>
    </row>
    <row r="635" spans="2:12" ht="15" customHeight="1" x14ac:dyDescent="0.25">
      <c r="B635" s="89" t="s">
        <v>14</v>
      </c>
      <c r="C635" s="109" t="s">
        <v>705</v>
      </c>
      <c r="D635" s="90" t="s">
        <v>126</v>
      </c>
      <c r="E635" s="116" t="str">
        <f t="shared" si="9"/>
        <v>Homem Desodorante Antitranspirante Roll-on Essence 75 ml Frasco</v>
      </c>
      <c r="F635" s="4" t="s">
        <v>706</v>
      </c>
      <c r="G635" s="28"/>
      <c r="H635" s="4" t="s">
        <v>382</v>
      </c>
      <c r="I635" s="45" t="s">
        <v>32</v>
      </c>
      <c r="J635" s="13" t="s">
        <v>630</v>
      </c>
      <c r="K635" s="13" t="s">
        <v>747</v>
      </c>
      <c r="L635" s="13" t="s">
        <v>747</v>
      </c>
    </row>
    <row r="636" spans="2:12" ht="15" customHeight="1" x14ac:dyDescent="0.25">
      <c r="B636" s="89" t="s">
        <v>14</v>
      </c>
      <c r="C636" s="109" t="s">
        <v>705</v>
      </c>
      <c r="D636" s="90" t="s">
        <v>126</v>
      </c>
      <c r="E636" s="116" t="str">
        <f t="shared" si="9"/>
        <v>Homem Desodorante Antitranspirante Roll-on Elo 75 ml Frasco</v>
      </c>
      <c r="F636" s="4" t="s">
        <v>716</v>
      </c>
      <c r="G636" s="28"/>
      <c r="H636" s="4" t="s">
        <v>382</v>
      </c>
      <c r="I636" s="45" t="s">
        <v>32</v>
      </c>
      <c r="J636" s="13" t="s">
        <v>630</v>
      </c>
      <c r="K636" s="13" t="s">
        <v>747</v>
      </c>
      <c r="L636" s="13" t="s">
        <v>747</v>
      </c>
    </row>
    <row r="637" spans="2:12" ht="15" customHeight="1" x14ac:dyDescent="0.25">
      <c r="B637" s="89" t="s">
        <v>14</v>
      </c>
      <c r="C637" s="109" t="s">
        <v>705</v>
      </c>
      <c r="D637" s="90" t="s">
        <v>126</v>
      </c>
      <c r="E637" s="116" t="str">
        <f t="shared" si="9"/>
        <v>Homem Desodorante Antitranspirante Roll-on Masculino 75 ml Frasco</v>
      </c>
      <c r="F637" s="4" t="s">
        <v>417</v>
      </c>
      <c r="G637" s="28"/>
      <c r="H637" s="4" t="s">
        <v>382</v>
      </c>
      <c r="I637" s="45" t="s">
        <v>32</v>
      </c>
      <c r="J637" s="13" t="s">
        <v>630</v>
      </c>
      <c r="K637" s="13" t="s">
        <v>747</v>
      </c>
      <c r="L637" s="13" t="s">
        <v>747</v>
      </c>
    </row>
    <row r="638" spans="2:12" ht="15" customHeight="1" x14ac:dyDescent="0.25">
      <c r="B638" s="89" t="s">
        <v>14</v>
      </c>
      <c r="C638" s="109" t="s">
        <v>705</v>
      </c>
      <c r="D638" s="90" t="s">
        <v>126</v>
      </c>
      <c r="E638" s="116" t="str">
        <f t="shared" si="9"/>
        <v>Homem Desodorante Antitranspirante Roll-on Nós 75 ml Frasco</v>
      </c>
      <c r="F638" s="4" t="s">
        <v>722</v>
      </c>
      <c r="G638" s="28"/>
      <c r="H638" s="4" t="s">
        <v>382</v>
      </c>
      <c r="I638" s="45" t="s">
        <v>32</v>
      </c>
      <c r="J638" s="13" t="s">
        <v>630</v>
      </c>
      <c r="K638" s="13" t="s">
        <v>747</v>
      </c>
      <c r="L638" s="13" t="s">
        <v>747</v>
      </c>
    </row>
    <row r="639" spans="2:12" ht="15" customHeight="1" x14ac:dyDescent="0.25">
      <c r="B639" s="89" t="s">
        <v>14</v>
      </c>
      <c r="C639" s="109" t="s">
        <v>705</v>
      </c>
      <c r="D639" s="90" t="s">
        <v>126</v>
      </c>
      <c r="E639" s="116" t="str">
        <f t="shared" si="9"/>
        <v>Homem Desodorante Antitranspirante Roll-on Sagaz 75 ml Frasco</v>
      </c>
      <c r="F639" s="4" t="s">
        <v>726</v>
      </c>
      <c r="G639" s="28"/>
      <c r="H639" s="4" t="s">
        <v>382</v>
      </c>
      <c r="I639" s="45" t="s">
        <v>32</v>
      </c>
      <c r="J639" s="13" t="s">
        <v>630</v>
      </c>
      <c r="K639" s="13" t="s">
        <v>747</v>
      </c>
      <c r="L639" s="13" t="s">
        <v>747</v>
      </c>
    </row>
    <row r="640" spans="2:12" ht="15" customHeight="1" x14ac:dyDescent="0.25">
      <c r="B640" s="89" t="s">
        <v>14</v>
      </c>
      <c r="C640" s="109" t="s">
        <v>705</v>
      </c>
      <c r="D640" s="90" t="s">
        <v>126</v>
      </c>
      <c r="E640" s="116" t="str">
        <f t="shared" si="9"/>
        <v>Homem Desodorante Antitranspirante Roll-on Sem Perfume 75 ml Frasco</v>
      </c>
      <c r="F640" s="4" t="s">
        <v>748</v>
      </c>
      <c r="G640" s="28"/>
      <c r="H640" s="4" t="s">
        <v>382</v>
      </c>
      <c r="I640" s="45" t="s">
        <v>32</v>
      </c>
      <c r="J640" s="13" t="s">
        <v>630</v>
      </c>
      <c r="K640" s="13" t="s">
        <v>747</v>
      </c>
      <c r="L640" s="13" t="s">
        <v>747</v>
      </c>
    </row>
    <row r="641" spans="2:12" ht="15" customHeight="1" x14ac:dyDescent="0.25">
      <c r="B641" s="89" t="s">
        <v>14</v>
      </c>
      <c r="C641" s="109" t="s">
        <v>705</v>
      </c>
      <c r="D641" s="90" t="s">
        <v>126</v>
      </c>
      <c r="E641" s="116" t="str">
        <f t="shared" si="9"/>
        <v>Homem Desodorante Antitranspirante Roll-on Tato 75 ml Frasco</v>
      </c>
      <c r="F641" s="4" t="s">
        <v>749</v>
      </c>
      <c r="G641" s="28"/>
      <c r="H641" s="4" t="s">
        <v>382</v>
      </c>
      <c r="I641" s="45" t="s">
        <v>32</v>
      </c>
      <c r="J641" s="13" t="s">
        <v>630</v>
      </c>
      <c r="K641" s="13" t="s">
        <v>747</v>
      </c>
      <c r="L641" s="13" t="s">
        <v>747</v>
      </c>
    </row>
    <row r="642" spans="2:12" ht="15" customHeight="1" x14ac:dyDescent="0.25">
      <c r="B642" s="89" t="s">
        <v>14</v>
      </c>
      <c r="C642" s="109" t="s">
        <v>705</v>
      </c>
      <c r="D642" s="90" t="s">
        <v>750</v>
      </c>
      <c r="E642" s="116" t="str">
        <f t="shared" si="9"/>
        <v>Homem Shampoo 2 em 1 Masculino 300ml Frasco</v>
      </c>
      <c r="F642" s="4" t="s">
        <v>751</v>
      </c>
      <c r="G642" s="28"/>
      <c r="H642" s="4" t="s">
        <v>151</v>
      </c>
      <c r="I642" s="45" t="s">
        <v>32</v>
      </c>
      <c r="J642" s="13" t="s">
        <v>752</v>
      </c>
      <c r="K642" s="13" t="s">
        <v>753</v>
      </c>
      <c r="L642" s="13" t="s">
        <v>753</v>
      </c>
    </row>
    <row r="643" spans="2:12" ht="15" customHeight="1" x14ac:dyDescent="0.25">
      <c r="B643" s="89" t="s">
        <v>14</v>
      </c>
      <c r="C643" s="109" t="s">
        <v>705</v>
      </c>
      <c r="D643" s="90" t="s">
        <v>754</v>
      </c>
      <c r="E643" s="116" t="str">
        <f t="shared" ref="E643:E706" si="10">TRIM(CONCATENATE(C643, " ", D643, " ", F643, " ", IF(G643&gt;0, G643 &amp; "x" &amp; H643, H643), " ", I643))</f>
        <v>Homem Shampoo Antiqueda Masculino 300ml Frasco</v>
      </c>
      <c r="F643" s="4" t="s">
        <v>751</v>
      </c>
      <c r="G643" s="28"/>
      <c r="H643" s="4" t="s">
        <v>151</v>
      </c>
      <c r="I643" s="45" t="s">
        <v>32</v>
      </c>
      <c r="J643" s="13" t="s">
        <v>755</v>
      </c>
      <c r="K643" s="13" t="s">
        <v>756</v>
      </c>
      <c r="L643" s="13" t="s">
        <v>756</v>
      </c>
    </row>
    <row r="644" spans="2:12" ht="15" customHeight="1" x14ac:dyDescent="0.25">
      <c r="B644" s="89" t="s">
        <v>14</v>
      </c>
      <c r="C644" s="109" t="s">
        <v>705</v>
      </c>
      <c r="D644" s="90" t="s">
        <v>757</v>
      </c>
      <c r="E644" s="116" t="str">
        <f t="shared" si="10"/>
        <v>Homem Shampoo Anticaspa Masculino 300ml Frasco</v>
      </c>
      <c r="F644" s="4" t="s">
        <v>751</v>
      </c>
      <c r="G644" s="28"/>
      <c r="H644" s="4" t="s">
        <v>151</v>
      </c>
      <c r="I644" s="45" t="s">
        <v>32</v>
      </c>
      <c r="J644" s="13" t="s">
        <v>758</v>
      </c>
      <c r="K644" s="13" t="s">
        <v>756</v>
      </c>
      <c r="L644" s="13" t="s">
        <v>756</v>
      </c>
    </row>
    <row r="645" spans="2:12" ht="15" customHeight="1" x14ac:dyDescent="0.25">
      <c r="B645" s="89" t="s">
        <v>14</v>
      </c>
      <c r="C645" s="109" t="s">
        <v>705</v>
      </c>
      <c r="D645" s="90" t="s">
        <v>759</v>
      </c>
      <c r="E645" s="116" t="str">
        <f t="shared" si="10"/>
        <v>Homem Shampoo Cabelo Corpo Meninos infantil 100ml Frasco</v>
      </c>
      <c r="F645" s="4" t="s">
        <v>760</v>
      </c>
      <c r="G645" s="28"/>
      <c r="H645" s="4" t="s">
        <v>349</v>
      </c>
      <c r="I645" s="45" t="s">
        <v>32</v>
      </c>
      <c r="J645" s="13" t="s">
        <v>761</v>
      </c>
      <c r="K645" s="13" t="s">
        <v>762</v>
      </c>
      <c r="L645" s="13" t="s">
        <v>762</v>
      </c>
    </row>
    <row r="646" spans="2:12" ht="15" customHeight="1" x14ac:dyDescent="0.25">
      <c r="B646" s="89" t="s">
        <v>14</v>
      </c>
      <c r="C646" s="109" t="s">
        <v>705</v>
      </c>
      <c r="D646" s="90" t="s">
        <v>763</v>
      </c>
      <c r="E646" s="116" t="str">
        <f t="shared" si="10"/>
        <v>Homem Shower Gel 4 em 1 Masculino 200g Frasco</v>
      </c>
      <c r="F646" s="4" t="s">
        <v>751</v>
      </c>
      <c r="G646" s="28"/>
      <c r="H646" s="4" t="s">
        <v>60</v>
      </c>
      <c r="I646" s="45" t="s">
        <v>32</v>
      </c>
      <c r="J646" s="13" t="s">
        <v>764</v>
      </c>
      <c r="K646" s="13" t="s">
        <v>756</v>
      </c>
      <c r="L646" s="13" t="s">
        <v>756</v>
      </c>
    </row>
    <row r="647" spans="2:12" ht="15" customHeight="1" x14ac:dyDescent="0.25">
      <c r="B647" s="89" t="s">
        <v>14</v>
      </c>
      <c r="C647" s="109" t="s">
        <v>705</v>
      </c>
      <c r="D647" s="90" t="s">
        <v>765</v>
      </c>
      <c r="E647" s="116" t="str">
        <f t="shared" si="10"/>
        <v>Homem Sabonete Faciel Esfolianete Masculino 75ml Frasco</v>
      </c>
      <c r="F647" s="4" t="s">
        <v>751</v>
      </c>
      <c r="G647" s="28"/>
      <c r="H647" s="4" t="s">
        <v>334</v>
      </c>
      <c r="I647" s="45" t="s">
        <v>32</v>
      </c>
      <c r="J647" s="13" t="s">
        <v>766</v>
      </c>
      <c r="K647" s="13" t="s">
        <v>767</v>
      </c>
      <c r="L647" s="13" t="s">
        <v>767</v>
      </c>
    </row>
    <row r="648" spans="2:12" ht="15" customHeight="1" x14ac:dyDescent="0.25">
      <c r="B648" s="89" t="s">
        <v>14</v>
      </c>
      <c r="C648" s="109" t="s">
        <v>705</v>
      </c>
      <c r="D648" s="90" t="s">
        <v>768</v>
      </c>
      <c r="E648" s="116" t="str">
        <f t="shared" si="10"/>
        <v>Homem Espuma de Barbear Masculino 200 ml Frasco</v>
      </c>
      <c r="F648" s="4" t="s">
        <v>751</v>
      </c>
      <c r="G648" s="28"/>
      <c r="H648" s="4" t="s">
        <v>251</v>
      </c>
      <c r="I648" s="45" t="s">
        <v>32</v>
      </c>
      <c r="J648" s="13" t="s">
        <v>769</v>
      </c>
      <c r="K648" s="13" t="s">
        <v>770</v>
      </c>
      <c r="L648" s="13" t="s">
        <v>770</v>
      </c>
    </row>
    <row r="649" spans="2:12" ht="15" customHeight="1" x14ac:dyDescent="0.25">
      <c r="B649" s="89" t="s">
        <v>14</v>
      </c>
      <c r="C649" s="109" t="s">
        <v>705</v>
      </c>
      <c r="D649" s="90" t="s">
        <v>771</v>
      </c>
      <c r="E649" s="116" t="str">
        <f t="shared" si="10"/>
        <v>Homem Gel Para Barbear Masculino 75g Frsaco</v>
      </c>
      <c r="F649" s="4" t="s">
        <v>751</v>
      </c>
      <c r="G649" s="28"/>
      <c r="H649" s="4" t="s">
        <v>488</v>
      </c>
      <c r="I649" s="45" t="s">
        <v>772</v>
      </c>
      <c r="J649" s="13" t="s">
        <v>773</v>
      </c>
      <c r="K649" s="13" t="s">
        <v>774</v>
      </c>
      <c r="L649" s="13" t="s">
        <v>774</v>
      </c>
    </row>
    <row r="650" spans="2:12" ht="15" customHeight="1" x14ac:dyDescent="0.25">
      <c r="B650" s="89" t="s">
        <v>14</v>
      </c>
      <c r="C650" s="109" t="s">
        <v>705</v>
      </c>
      <c r="D650" s="90" t="s">
        <v>775</v>
      </c>
      <c r="E650" s="116" t="str">
        <f t="shared" si="10"/>
        <v>Homem Creme Para Barbear Multifuncional Masculino 75ml Frsaco</v>
      </c>
      <c r="F650" s="4" t="s">
        <v>751</v>
      </c>
      <c r="G650" s="28"/>
      <c r="H650" s="4" t="s">
        <v>334</v>
      </c>
      <c r="I650" s="45" t="s">
        <v>772</v>
      </c>
      <c r="J650" s="13" t="s">
        <v>776</v>
      </c>
      <c r="K650" s="13" t="s">
        <v>777</v>
      </c>
      <c r="L650" s="13" t="s">
        <v>777</v>
      </c>
    </row>
    <row r="651" spans="2:12" ht="15" customHeight="1" x14ac:dyDescent="0.25">
      <c r="B651" s="89" t="s">
        <v>14</v>
      </c>
      <c r="C651" s="109" t="s">
        <v>705</v>
      </c>
      <c r="D651" s="90" t="s">
        <v>778</v>
      </c>
      <c r="E651" s="116" t="str">
        <f t="shared" si="10"/>
        <v>Homem Balm Pos Barba Multifuncinal Masculino 75ml Frasco</v>
      </c>
      <c r="F651" s="4" t="s">
        <v>751</v>
      </c>
      <c r="G651" s="28"/>
      <c r="H651" s="4" t="s">
        <v>334</v>
      </c>
      <c r="I651" s="45" t="s">
        <v>32</v>
      </c>
      <c r="J651" s="4" t="s">
        <v>779</v>
      </c>
      <c r="K651" s="4" t="s">
        <v>780</v>
      </c>
      <c r="L651" s="4" t="s">
        <v>780</v>
      </c>
    </row>
    <row r="652" spans="2:12" ht="15" customHeight="1" x14ac:dyDescent="0.25">
      <c r="B652" s="89" t="s">
        <v>14</v>
      </c>
      <c r="C652" s="109" t="s">
        <v>705</v>
      </c>
      <c r="D652" s="90" t="s">
        <v>781</v>
      </c>
      <c r="E652" s="116" t="str">
        <f t="shared" si="10"/>
        <v>Homem Oleo para Barba Masculino 30ml Frasco</v>
      </c>
      <c r="F652" s="4" t="s">
        <v>751</v>
      </c>
      <c r="G652" s="28"/>
      <c r="H652" s="4" t="s">
        <v>319</v>
      </c>
      <c r="I652" s="45" t="s">
        <v>32</v>
      </c>
      <c r="J652" s="4" t="s">
        <v>782</v>
      </c>
      <c r="K652" s="13" t="s">
        <v>783</v>
      </c>
      <c r="L652" s="13" t="s">
        <v>783</v>
      </c>
    </row>
    <row r="653" spans="2:12" ht="15" customHeight="1" x14ac:dyDescent="0.25">
      <c r="B653" s="89" t="s">
        <v>14</v>
      </c>
      <c r="C653" s="109" t="s">
        <v>705</v>
      </c>
      <c r="D653" s="90" t="s">
        <v>784</v>
      </c>
      <c r="E653" s="116" t="str">
        <f t="shared" si="10"/>
        <v>Homem Hidratante para Maos Ressecadas Masculino 50ml Frasco</v>
      </c>
      <c r="F653" s="4" t="s">
        <v>751</v>
      </c>
      <c r="G653" s="28"/>
      <c r="H653" s="4" t="s">
        <v>539</v>
      </c>
      <c r="I653" s="45" t="s">
        <v>32</v>
      </c>
      <c r="J653" s="13" t="s">
        <v>785</v>
      </c>
      <c r="K653" s="13" t="s">
        <v>786</v>
      </c>
      <c r="L653" s="13" t="s">
        <v>786</v>
      </c>
    </row>
    <row r="654" spans="2:12" ht="15" customHeight="1" x14ac:dyDescent="0.25">
      <c r="B654" s="89" t="s">
        <v>14</v>
      </c>
      <c r="C654" s="110" t="s">
        <v>787</v>
      </c>
      <c r="D654" s="90" t="s">
        <v>64</v>
      </c>
      <c r="E654" s="116" t="str">
        <f t="shared" si="10"/>
        <v>Seve Oleo Corporal Amendoas e Cereja 200ml Frasco</v>
      </c>
      <c r="F654" s="4" t="s">
        <v>788</v>
      </c>
      <c r="G654" s="28"/>
      <c r="H654" s="4" t="s">
        <v>31</v>
      </c>
      <c r="I654" s="45" t="s">
        <v>32</v>
      </c>
      <c r="J654" s="13" t="s">
        <v>789</v>
      </c>
      <c r="K654" s="13" t="s">
        <v>790</v>
      </c>
      <c r="L654" s="13" t="s">
        <v>790</v>
      </c>
    </row>
    <row r="655" spans="2:12" ht="15" customHeight="1" x14ac:dyDescent="0.25">
      <c r="B655" s="89" t="s">
        <v>14</v>
      </c>
      <c r="C655" s="110" t="s">
        <v>787</v>
      </c>
      <c r="D655" s="90" t="s">
        <v>64</v>
      </c>
      <c r="E655" s="116" t="str">
        <f t="shared" si="10"/>
        <v>Seve Oleo Corporal Amêndoas Doces 200ml Frasco</v>
      </c>
      <c r="F655" s="4" t="s">
        <v>791</v>
      </c>
      <c r="G655" s="28"/>
      <c r="H655" s="4" t="s">
        <v>31</v>
      </c>
      <c r="I655" s="45" t="s">
        <v>32</v>
      </c>
      <c r="J655" s="13" t="s">
        <v>789</v>
      </c>
      <c r="K655" s="13" t="s">
        <v>790</v>
      </c>
      <c r="L655" s="13" t="s">
        <v>790</v>
      </c>
    </row>
    <row r="656" spans="2:12" ht="15" customHeight="1" x14ac:dyDescent="0.25">
      <c r="B656" s="89" t="s">
        <v>14</v>
      </c>
      <c r="C656" s="110" t="s">
        <v>787</v>
      </c>
      <c r="D656" s="90" t="s">
        <v>64</v>
      </c>
      <c r="E656" s="116" t="str">
        <f t="shared" si="10"/>
        <v>Seve Oleo Corporal Amendoas Doces Intensa 200ml Frasco</v>
      </c>
      <c r="F656" s="4" t="s">
        <v>792</v>
      </c>
      <c r="G656" s="28"/>
      <c r="H656" s="4" t="s">
        <v>31</v>
      </c>
      <c r="I656" s="45" t="s">
        <v>32</v>
      </c>
      <c r="J656" s="13" t="s">
        <v>789</v>
      </c>
      <c r="K656" s="13" t="s">
        <v>790</v>
      </c>
      <c r="L656" s="13" t="s">
        <v>790</v>
      </c>
    </row>
    <row r="657" spans="2:12" ht="15" customHeight="1" x14ac:dyDescent="0.25">
      <c r="B657" s="89" t="s">
        <v>14</v>
      </c>
      <c r="C657" s="110" t="s">
        <v>787</v>
      </c>
      <c r="D657" s="90" t="s">
        <v>64</v>
      </c>
      <c r="E657" s="116" t="str">
        <f t="shared" si="10"/>
        <v>Seve Oleo Corporal Amêndoas e Flor de Ameixa 200ml Frasco</v>
      </c>
      <c r="F657" s="4" t="s">
        <v>793</v>
      </c>
      <c r="G657" s="28"/>
      <c r="H657" s="4" t="s">
        <v>31</v>
      </c>
      <c r="I657" s="45" t="s">
        <v>32</v>
      </c>
      <c r="J657" s="13" t="s">
        <v>789</v>
      </c>
      <c r="K657" s="13" t="s">
        <v>790</v>
      </c>
      <c r="L657" s="13" t="s">
        <v>790</v>
      </c>
    </row>
    <row r="658" spans="2:12" ht="15" customHeight="1" x14ac:dyDescent="0.25">
      <c r="B658" s="89" t="s">
        <v>14</v>
      </c>
      <c r="C658" s="110" t="s">
        <v>787</v>
      </c>
      <c r="D658" s="90" t="s">
        <v>64</v>
      </c>
      <c r="E658" s="116" t="str">
        <f t="shared" si="10"/>
        <v>Seve Oleo Corporal Amêndoas e Orquidia Negra 200ml Frasco</v>
      </c>
      <c r="F658" s="4" t="s">
        <v>794</v>
      </c>
      <c r="G658" s="28"/>
      <c r="H658" s="4" t="s">
        <v>31</v>
      </c>
      <c r="I658" s="45" t="s">
        <v>32</v>
      </c>
      <c r="J658" s="13" t="s">
        <v>789</v>
      </c>
      <c r="K658" s="13" t="s">
        <v>790</v>
      </c>
      <c r="L658" s="13" t="s">
        <v>790</v>
      </c>
    </row>
    <row r="659" spans="2:12" ht="15" customHeight="1" x14ac:dyDescent="0.25">
      <c r="B659" s="89" t="s">
        <v>14</v>
      </c>
      <c r="C659" s="110" t="s">
        <v>787</v>
      </c>
      <c r="D659" s="90" t="s">
        <v>64</v>
      </c>
      <c r="E659" s="116" t="str">
        <f t="shared" si="10"/>
        <v>Seve Oleo Corporal Rosas e Amendoas 200ml Frasco</v>
      </c>
      <c r="F659" s="4" t="s">
        <v>795</v>
      </c>
      <c r="G659" s="28"/>
      <c r="H659" s="4" t="s">
        <v>31</v>
      </c>
      <c r="I659" s="45" t="s">
        <v>32</v>
      </c>
      <c r="J659" s="13" t="s">
        <v>789</v>
      </c>
      <c r="K659" s="13" t="s">
        <v>790</v>
      </c>
      <c r="L659" s="13" t="s">
        <v>790</v>
      </c>
    </row>
    <row r="660" spans="2:12" ht="15" customHeight="1" x14ac:dyDescent="0.25">
      <c r="B660" s="89" t="s">
        <v>14</v>
      </c>
      <c r="C660" s="110" t="s">
        <v>787</v>
      </c>
      <c r="D660" s="90" t="s">
        <v>64</v>
      </c>
      <c r="E660" s="116" t="str">
        <f t="shared" si="10"/>
        <v>Seve Oleo Corporal Pimenta Rosa 200ml Frasco</v>
      </c>
      <c r="F660" s="4" t="s">
        <v>796</v>
      </c>
      <c r="G660" s="28"/>
      <c r="H660" s="4" t="s">
        <v>31</v>
      </c>
      <c r="I660" s="45" t="s">
        <v>32</v>
      </c>
      <c r="J660" s="13" t="s">
        <v>789</v>
      </c>
      <c r="K660" s="13" t="s">
        <v>790</v>
      </c>
      <c r="L660" s="13" t="s">
        <v>790</v>
      </c>
    </row>
    <row r="661" spans="2:12" ht="15" customHeight="1" x14ac:dyDescent="0.25">
      <c r="B661" s="89" t="s">
        <v>14</v>
      </c>
      <c r="C661" s="110" t="s">
        <v>787</v>
      </c>
      <c r="D661" s="90" t="s">
        <v>64</v>
      </c>
      <c r="E661" s="116" t="str">
        <f t="shared" si="10"/>
        <v>Seve Oleo Corporal Amendoas e Cereja 200ml Refil</v>
      </c>
      <c r="F661" s="4" t="s">
        <v>788</v>
      </c>
      <c r="G661" s="28"/>
      <c r="H661" s="4" t="s">
        <v>31</v>
      </c>
      <c r="I661" s="45" t="s">
        <v>183</v>
      </c>
      <c r="J661" s="13" t="s">
        <v>789</v>
      </c>
      <c r="K661" s="13" t="s">
        <v>797</v>
      </c>
      <c r="L661" s="13" t="s">
        <v>797</v>
      </c>
    </row>
    <row r="662" spans="2:12" ht="15" customHeight="1" x14ac:dyDescent="0.25">
      <c r="B662" s="89" t="s">
        <v>14</v>
      </c>
      <c r="C662" s="110" t="s">
        <v>787</v>
      </c>
      <c r="D662" s="90" t="s">
        <v>64</v>
      </c>
      <c r="E662" s="116" t="str">
        <f t="shared" si="10"/>
        <v>Seve Oleo Corporal Amêndoas Doces 200ml Refil</v>
      </c>
      <c r="F662" s="4" t="s">
        <v>791</v>
      </c>
      <c r="G662" s="28"/>
      <c r="H662" s="4" t="s">
        <v>31</v>
      </c>
      <c r="I662" s="45" t="s">
        <v>183</v>
      </c>
      <c r="J662" s="13" t="s">
        <v>789</v>
      </c>
      <c r="K662" s="13" t="s">
        <v>797</v>
      </c>
      <c r="L662" s="13" t="s">
        <v>797</v>
      </c>
    </row>
    <row r="663" spans="2:12" ht="15" customHeight="1" x14ac:dyDescent="0.25">
      <c r="B663" s="89" t="s">
        <v>14</v>
      </c>
      <c r="C663" s="110" t="s">
        <v>787</v>
      </c>
      <c r="D663" s="90" t="s">
        <v>64</v>
      </c>
      <c r="E663" s="116" t="str">
        <f t="shared" si="10"/>
        <v>Seve Oleo Corporal Amendoas Doces Intensa 200ml Refil</v>
      </c>
      <c r="F663" s="4" t="s">
        <v>792</v>
      </c>
      <c r="G663" s="28"/>
      <c r="H663" s="4" t="s">
        <v>31</v>
      </c>
      <c r="I663" s="45" t="s">
        <v>183</v>
      </c>
      <c r="J663" s="13" t="s">
        <v>789</v>
      </c>
      <c r="K663" s="13" t="s">
        <v>797</v>
      </c>
      <c r="L663" s="13" t="s">
        <v>797</v>
      </c>
    </row>
    <row r="664" spans="2:12" ht="15" customHeight="1" x14ac:dyDescent="0.25">
      <c r="B664" s="89" t="s">
        <v>14</v>
      </c>
      <c r="C664" s="110" t="s">
        <v>787</v>
      </c>
      <c r="D664" s="90" t="s">
        <v>64</v>
      </c>
      <c r="E664" s="116" t="str">
        <f t="shared" si="10"/>
        <v>Seve Oleo Corporal Amêndoas e Flor de Ameixa 200ml Refil</v>
      </c>
      <c r="F664" s="4" t="s">
        <v>793</v>
      </c>
      <c r="G664" s="28"/>
      <c r="H664" s="4" t="s">
        <v>31</v>
      </c>
      <c r="I664" s="45" t="s">
        <v>183</v>
      </c>
      <c r="J664" s="13" t="s">
        <v>789</v>
      </c>
      <c r="K664" s="13" t="s">
        <v>797</v>
      </c>
      <c r="L664" s="13" t="s">
        <v>797</v>
      </c>
    </row>
    <row r="665" spans="2:12" ht="15" customHeight="1" x14ac:dyDescent="0.25">
      <c r="B665" s="89" t="s">
        <v>14</v>
      </c>
      <c r="C665" s="110" t="s">
        <v>787</v>
      </c>
      <c r="D665" s="90" t="s">
        <v>64</v>
      </c>
      <c r="E665" s="116" t="str">
        <f t="shared" si="10"/>
        <v>Seve Oleo Corporal Amêndoas e Orquidia Negra 200ml Refil</v>
      </c>
      <c r="F665" s="4" t="s">
        <v>794</v>
      </c>
      <c r="G665" s="28"/>
      <c r="H665" s="4" t="s">
        <v>31</v>
      </c>
      <c r="I665" s="45" t="s">
        <v>183</v>
      </c>
      <c r="J665" s="13" t="s">
        <v>789</v>
      </c>
      <c r="K665" s="13" t="s">
        <v>797</v>
      </c>
      <c r="L665" s="13" t="s">
        <v>797</v>
      </c>
    </row>
    <row r="666" spans="2:12" ht="15" customHeight="1" x14ac:dyDescent="0.25">
      <c r="B666" s="89" t="s">
        <v>14</v>
      </c>
      <c r="C666" s="110" t="s">
        <v>787</v>
      </c>
      <c r="D666" s="90" t="s">
        <v>64</v>
      </c>
      <c r="E666" s="116" t="str">
        <f t="shared" si="10"/>
        <v>Seve Oleo Corporal Rosas e Amendoas 200ml Refil</v>
      </c>
      <c r="F666" s="4" t="s">
        <v>795</v>
      </c>
      <c r="G666" s="28"/>
      <c r="H666" s="4" t="s">
        <v>31</v>
      </c>
      <c r="I666" s="45" t="s">
        <v>183</v>
      </c>
      <c r="J666" s="13" t="s">
        <v>789</v>
      </c>
      <c r="K666" s="13" t="s">
        <v>797</v>
      </c>
      <c r="L666" s="13" t="s">
        <v>797</v>
      </c>
    </row>
    <row r="667" spans="2:12" ht="15" customHeight="1" x14ac:dyDescent="0.25">
      <c r="B667" s="89" t="s">
        <v>14</v>
      </c>
      <c r="C667" s="110" t="s">
        <v>787</v>
      </c>
      <c r="D667" s="90" t="s">
        <v>64</v>
      </c>
      <c r="E667" s="116" t="str">
        <f t="shared" si="10"/>
        <v>Seve Oleo Corporal Pimenta Rosa 200ml Refil</v>
      </c>
      <c r="F667" s="4" t="s">
        <v>796</v>
      </c>
      <c r="G667" s="28"/>
      <c r="H667" s="4" t="s">
        <v>31</v>
      </c>
      <c r="I667" s="45" t="s">
        <v>183</v>
      </c>
      <c r="J667" s="13" t="s">
        <v>789</v>
      </c>
      <c r="K667" s="13" t="s">
        <v>797</v>
      </c>
      <c r="L667" s="13" t="s">
        <v>797</v>
      </c>
    </row>
    <row r="668" spans="2:12" ht="15" customHeight="1" x14ac:dyDescent="0.25">
      <c r="B668" s="89" t="s">
        <v>14</v>
      </c>
      <c r="C668" s="110" t="s">
        <v>787</v>
      </c>
      <c r="D668" s="85" t="s">
        <v>798</v>
      </c>
      <c r="E668" s="116" t="str">
        <f t="shared" si="10"/>
        <v>Seve Creme Corporal Desodorante Perfumado Amêndoas Doces 200g Pote</v>
      </c>
      <c r="F668" s="26" t="s">
        <v>791</v>
      </c>
      <c r="G668" s="28"/>
      <c r="H668" s="4" t="s">
        <v>60</v>
      </c>
      <c r="I668" s="52" t="s">
        <v>55</v>
      </c>
      <c r="J668" s="21" t="s">
        <v>799</v>
      </c>
      <c r="K668" s="21" t="s">
        <v>800</v>
      </c>
      <c r="L668" s="21" t="s">
        <v>800</v>
      </c>
    </row>
    <row r="669" spans="2:12" ht="15" customHeight="1" x14ac:dyDescent="0.25">
      <c r="B669" s="89" t="s">
        <v>14</v>
      </c>
      <c r="C669" s="110" t="s">
        <v>787</v>
      </c>
      <c r="D669" s="85" t="s">
        <v>798</v>
      </c>
      <c r="E669" s="116" t="str">
        <f t="shared" si="10"/>
        <v>Seve Creme Corporal Desodorante Perfumado Amêndoas e Orquidia Negra 200g Pote</v>
      </c>
      <c r="F669" s="4" t="s">
        <v>794</v>
      </c>
      <c r="G669" s="28"/>
      <c r="H669" s="4" t="s">
        <v>60</v>
      </c>
      <c r="I669" s="52" t="s">
        <v>55</v>
      </c>
      <c r="J669" s="21" t="s">
        <v>799</v>
      </c>
      <c r="K669" s="21" t="s">
        <v>800</v>
      </c>
      <c r="L669" s="21" t="s">
        <v>800</v>
      </c>
    </row>
    <row r="670" spans="2:12" s="12" customFormat="1" ht="15" customHeight="1" x14ac:dyDescent="0.25">
      <c r="B670" s="89" t="s">
        <v>14</v>
      </c>
      <c r="C670" s="111" t="s">
        <v>801</v>
      </c>
      <c r="D670" s="130" t="s">
        <v>323</v>
      </c>
      <c r="E670" s="116" t="str">
        <f t="shared" si="10"/>
        <v>Biografia Colonia Assinatura 25ml Miniatura</v>
      </c>
      <c r="F670" s="4" t="s">
        <v>802</v>
      </c>
      <c r="G670" s="28"/>
      <c r="H670" s="11" t="s">
        <v>510</v>
      </c>
      <c r="I670" s="129" t="s">
        <v>511</v>
      </c>
      <c r="J670" s="27" t="s">
        <v>803</v>
      </c>
      <c r="K670" s="165">
        <v>67</v>
      </c>
      <c r="L670" s="165">
        <v>67</v>
      </c>
    </row>
    <row r="671" spans="2:12" ht="15" customHeight="1" x14ac:dyDescent="0.25">
      <c r="B671" s="89" t="s">
        <v>14</v>
      </c>
      <c r="C671" s="111" t="s">
        <v>801</v>
      </c>
      <c r="D671" s="130" t="s">
        <v>323</v>
      </c>
      <c r="E671" s="116" t="str">
        <f t="shared" si="10"/>
        <v>Biografia Colonia Feminino 25ml Miniatura</v>
      </c>
      <c r="F671" s="4" t="s">
        <v>448</v>
      </c>
      <c r="G671" s="28"/>
      <c r="H671" s="11" t="s">
        <v>510</v>
      </c>
      <c r="I671" s="129" t="s">
        <v>511</v>
      </c>
      <c r="J671" s="13" t="s">
        <v>804</v>
      </c>
      <c r="K671" s="165">
        <v>67</v>
      </c>
      <c r="L671" s="165">
        <v>67</v>
      </c>
    </row>
    <row r="672" spans="2:12" ht="15" customHeight="1" x14ac:dyDescent="0.25">
      <c r="B672" s="89" t="s">
        <v>14</v>
      </c>
      <c r="C672" s="111" t="s">
        <v>801</v>
      </c>
      <c r="D672" s="130" t="s">
        <v>323</v>
      </c>
      <c r="E672" s="116" t="str">
        <f t="shared" si="10"/>
        <v>Biografia Colonia Encontros 25ml Miniatura</v>
      </c>
      <c r="F672" s="4" t="s">
        <v>805</v>
      </c>
      <c r="G672" s="28"/>
      <c r="H672" s="11" t="s">
        <v>510</v>
      </c>
      <c r="I672" s="129" t="s">
        <v>511</v>
      </c>
      <c r="J672" s="13" t="s">
        <v>806</v>
      </c>
      <c r="K672" s="165">
        <v>67</v>
      </c>
      <c r="L672" s="165">
        <v>67</v>
      </c>
    </row>
    <row r="673" spans="1:12" ht="15" customHeight="1" x14ac:dyDescent="0.25">
      <c r="B673" s="89" t="s">
        <v>14</v>
      </c>
      <c r="C673" s="111" t="s">
        <v>801</v>
      </c>
      <c r="D673" s="130" t="s">
        <v>323</v>
      </c>
      <c r="E673" s="116" t="str">
        <f t="shared" si="10"/>
        <v>Biografia Colonia Assinatura 25ml Miniatura</v>
      </c>
      <c r="F673" s="4" t="s">
        <v>802</v>
      </c>
      <c r="G673" s="28"/>
      <c r="H673" s="11" t="s">
        <v>510</v>
      </c>
      <c r="I673" s="129" t="s">
        <v>511</v>
      </c>
      <c r="J673" s="27" t="s">
        <v>807</v>
      </c>
      <c r="K673" s="165">
        <v>67</v>
      </c>
      <c r="L673" s="165">
        <v>67</v>
      </c>
    </row>
    <row r="674" spans="1:12" ht="15" customHeight="1" x14ac:dyDescent="0.25">
      <c r="B674" s="89" t="s">
        <v>14</v>
      </c>
      <c r="C674" s="111" t="s">
        <v>801</v>
      </c>
      <c r="D674" s="130" t="s">
        <v>323</v>
      </c>
      <c r="E674" s="116" t="str">
        <f t="shared" si="10"/>
        <v>Biografia Colonia Feminino 25ml Miniatura</v>
      </c>
      <c r="F674" s="4" t="s">
        <v>808</v>
      </c>
      <c r="G674" s="28"/>
      <c r="H674" s="11" t="s">
        <v>510</v>
      </c>
      <c r="I674" s="129" t="s">
        <v>511</v>
      </c>
      <c r="J674" s="45" t="s">
        <v>809</v>
      </c>
      <c r="K674" s="165">
        <v>67</v>
      </c>
      <c r="L674" s="165">
        <v>67</v>
      </c>
    </row>
    <row r="675" spans="1:12" ht="15" customHeight="1" x14ac:dyDescent="0.25">
      <c r="B675" s="89" t="s">
        <v>14</v>
      </c>
      <c r="C675" s="111" t="s">
        <v>801</v>
      </c>
      <c r="D675" s="130" t="s">
        <v>323</v>
      </c>
      <c r="E675" s="116" t="str">
        <f t="shared" si="10"/>
        <v>Biografia Colonia Encontros 25ml Miniatura</v>
      </c>
      <c r="F675" s="4" t="s">
        <v>805</v>
      </c>
      <c r="G675" s="28"/>
      <c r="H675" s="11" t="s">
        <v>510</v>
      </c>
      <c r="I675" s="129" t="s">
        <v>511</v>
      </c>
      <c r="J675" s="13" t="s">
        <v>810</v>
      </c>
      <c r="K675" s="165">
        <v>67</v>
      </c>
      <c r="L675" s="165">
        <v>67</v>
      </c>
    </row>
    <row r="676" spans="1:12" ht="15" customHeight="1" x14ac:dyDescent="0.25">
      <c r="B676" s="89" t="s">
        <v>14</v>
      </c>
      <c r="C676" s="111" t="s">
        <v>801</v>
      </c>
      <c r="D676" s="130" t="s">
        <v>323</v>
      </c>
      <c r="E676" s="116" t="str">
        <f t="shared" si="10"/>
        <v>Biografia Colonia Inspire 25ml Miniatura</v>
      </c>
      <c r="F676" s="4" t="s">
        <v>811</v>
      </c>
      <c r="G676" s="28"/>
      <c r="H676" s="11" t="s">
        <v>510</v>
      </c>
      <c r="I676" s="129" t="s">
        <v>511</v>
      </c>
      <c r="J676" s="13" t="s">
        <v>812</v>
      </c>
      <c r="K676" s="165">
        <v>67</v>
      </c>
      <c r="L676" s="165">
        <v>67</v>
      </c>
    </row>
    <row r="677" spans="1:12" ht="15" customHeight="1" x14ac:dyDescent="0.25">
      <c r="B677" s="89" t="s">
        <v>14</v>
      </c>
      <c r="C677" s="111" t="s">
        <v>801</v>
      </c>
      <c r="D677" s="130" t="s">
        <v>323</v>
      </c>
      <c r="E677" s="116" t="str">
        <f t="shared" si="10"/>
        <v>Biografia Colonia Assinatura Feminino 100ml Frasco</v>
      </c>
      <c r="F677" s="128" t="s">
        <v>813</v>
      </c>
      <c r="G677" s="28"/>
      <c r="H677" s="4" t="s">
        <v>349</v>
      </c>
      <c r="I677" s="45" t="s">
        <v>814</v>
      </c>
      <c r="J677" s="27" t="s">
        <v>803</v>
      </c>
      <c r="K677" s="13"/>
      <c r="L677" s="1"/>
    </row>
    <row r="678" spans="1:12" ht="15" customHeight="1" x14ac:dyDescent="0.25">
      <c r="B678" s="89" t="s">
        <v>14</v>
      </c>
      <c r="C678" s="111" t="s">
        <v>801</v>
      </c>
      <c r="D678" s="130" t="s">
        <v>323</v>
      </c>
      <c r="E678" s="116" t="str">
        <f t="shared" si="10"/>
        <v>Biografia Colonia Feminino 100ml Frasco</v>
      </c>
      <c r="F678" s="128" t="s">
        <v>448</v>
      </c>
      <c r="G678" s="28"/>
      <c r="H678" s="4" t="s">
        <v>349</v>
      </c>
      <c r="I678" s="45" t="s">
        <v>814</v>
      </c>
      <c r="J678" s="13" t="s">
        <v>804</v>
      </c>
      <c r="K678" s="13"/>
      <c r="L678" s="1"/>
    </row>
    <row r="679" spans="1:12" ht="15" customHeight="1" x14ac:dyDescent="0.25">
      <c r="B679" s="89" t="s">
        <v>14</v>
      </c>
      <c r="C679" s="111" t="s">
        <v>801</v>
      </c>
      <c r="D679" s="130" t="s">
        <v>323</v>
      </c>
      <c r="E679" s="116" t="str">
        <f t="shared" si="10"/>
        <v>Biografia Colonia Caminhos Feminino 100ml Frasco</v>
      </c>
      <c r="F679" s="128" t="s">
        <v>815</v>
      </c>
      <c r="G679" s="28"/>
      <c r="H679" s="4" t="s">
        <v>349</v>
      </c>
      <c r="I679" s="45" t="s">
        <v>814</v>
      </c>
      <c r="J679" s="13" t="s">
        <v>816</v>
      </c>
      <c r="K679" s="13"/>
      <c r="L679" s="1"/>
    </row>
    <row r="680" spans="1:12" ht="15" customHeight="1" x14ac:dyDescent="0.25">
      <c r="B680" s="89" t="s">
        <v>14</v>
      </c>
      <c r="C680" s="111" t="s">
        <v>801</v>
      </c>
      <c r="D680" s="130" t="s">
        <v>323</v>
      </c>
      <c r="E680" s="116" t="str">
        <f t="shared" si="10"/>
        <v>Biografia Colonia Encontros Feminino 100ml Frasco</v>
      </c>
      <c r="F680" s="128" t="s">
        <v>817</v>
      </c>
      <c r="G680" s="28"/>
      <c r="H680" s="4" t="s">
        <v>349</v>
      </c>
      <c r="I680" s="45" t="s">
        <v>814</v>
      </c>
      <c r="J680" s="13" t="s">
        <v>806</v>
      </c>
      <c r="K680" s="13"/>
      <c r="L680" s="1"/>
    </row>
    <row r="681" spans="1:12" ht="15" customHeight="1" x14ac:dyDescent="0.25">
      <c r="B681" s="89" t="s">
        <v>14</v>
      </c>
      <c r="C681" s="111" t="s">
        <v>801</v>
      </c>
      <c r="D681" s="130" t="s">
        <v>323</v>
      </c>
      <c r="E681" s="116" t="str">
        <f t="shared" si="10"/>
        <v>Biografia Colonia Inspire Feminino 100ml Frasco</v>
      </c>
      <c r="F681" s="128" t="s">
        <v>818</v>
      </c>
      <c r="G681" s="28"/>
      <c r="H681" s="4" t="s">
        <v>349</v>
      </c>
      <c r="I681" s="45" t="s">
        <v>814</v>
      </c>
      <c r="J681" s="21" t="s">
        <v>819</v>
      </c>
      <c r="K681" s="13"/>
      <c r="L681" s="1"/>
    </row>
    <row r="682" spans="1:12" ht="15" customHeight="1" x14ac:dyDescent="0.25">
      <c r="B682" s="89" t="s">
        <v>14</v>
      </c>
      <c r="C682" s="111" t="s">
        <v>801</v>
      </c>
      <c r="D682" s="130" t="s">
        <v>323</v>
      </c>
      <c r="E682" s="116" t="str">
        <f t="shared" si="10"/>
        <v>Biografia Colonia Assinatura Masculino 100ml Frasco</v>
      </c>
      <c r="F682" s="128" t="s">
        <v>820</v>
      </c>
      <c r="G682" s="28"/>
      <c r="H682" s="4" t="s">
        <v>349</v>
      </c>
      <c r="I682" s="4" t="s">
        <v>32</v>
      </c>
      <c r="J682" s="27" t="s">
        <v>807</v>
      </c>
      <c r="K682" s="13"/>
      <c r="L682" s="1"/>
    </row>
    <row r="683" spans="1:12" ht="15" customHeight="1" x14ac:dyDescent="0.25">
      <c r="B683" s="89" t="s">
        <v>14</v>
      </c>
      <c r="C683" s="111" t="s">
        <v>801</v>
      </c>
      <c r="D683" s="130" t="s">
        <v>323</v>
      </c>
      <c r="E683" s="116" t="str">
        <f t="shared" si="10"/>
        <v>Biografia Colonia Masculino 100ml Frasco</v>
      </c>
      <c r="F683" s="128" t="s">
        <v>417</v>
      </c>
      <c r="G683" s="28"/>
      <c r="H683" s="4" t="s">
        <v>349</v>
      </c>
      <c r="I683" s="4" t="s">
        <v>32</v>
      </c>
      <c r="J683" s="45" t="s">
        <v>809</v>
      </c>
      <c r="K683" s="13"/>
      <c r="L683" s="1"/>
    </row>
    <row r="684" spans="1:12" ht="15" customHeight="1" x14ac:dyDescent="0.25">
      <c r="B684" s="89" t="s">
        <v>14</v>
      </c>
      <c r="C684" s="111" t="s">
        <v>801</v>
      </c>
      <c r="D684" s="130" t="s">
        <v>323</v>
      </c>
      <c r="E684" s="116" t="str">
        <f t="shared" si="10"/>
        <v>Biografia Colonia Encontros 100ml Frasco</v>
      </c>
      <c r="F684" s="4" t="s">
        <v>805</v>
      </c>
      <c r="G684" s="28"/>
      <c r="H684" s="4" t="s">
        <v>349</v>
      </c>
      <c r="I684" s="4" t="s">
        <v>32</v>
      </c>
      <c r="J684" s="13" t="s">
        <v>810</v>
      </c>
      <c r="K684" s="13"/>
      <c r="L684" s="1"/>
    </row>
    <row r="685" spans="1:12" ht="15" x14ac:dyDescent="0.25">
      <c r="B685" s="89" t="s">
        <v>14</v>
      </c>
      <c r="C685" s="111" t="s">
        <v>801</v>
      </c>
      <c r="D685" s="130" t="s">
        <v>323</v>
      </c>
      <c r="E685" s="116" t="str">
        <f t="shared" si="10"/>
        <v>Biografia Colonia Inspire Masculino 100ml Frasco</v>
      </c>
      <c r="F685" s="128" t="s">
        <v>821</v>
      </c>
      <c r="G685" s="28"/>
      <c r="H685" s="4" t="s">
        <v>349</v>
      </c>
      <c r="I685" s="4" t="s">
        <v>32</v>
      </c>
      <c r="J685" s="13" t="s">
        <v>812</v>
      </c>
      <c r="K685" s="13"/>
      <c r="L685" s="1"/>
    </row>
    <row r="686" spans="1:12" s="81" customFormat="1" ht="15" customHeight="1" x14ac:dyDescent="0.25">
      <c r="A686"/>
      <c r="B686" s="89" t="s">
        <v>14</v>
      </c>
      <c r="C686" s="111" t="s">
        <v>801</v>
      </c>
      <c r="D686" s="97" t="s">
        <v>822</v>
      </c>
      <c r="E686" s="116" t="str">
        <f t="shared" si="10"/>
        <v>Biografia Sabonete Liquido Feminino 100ml Frasco</v>
      </c>
      <c r="F686" s="88" t="s">
        <v>448</v>
      </c>
      <c r="G686" s="28"/>
      <c r="H686" s="4" t="s">
        <v>349</v>
      </c>
      <c r="I686" s="51" t="s">
        <v>32</v>
      </c>
      <c r="J686" s="80"/>
      <c r="K686" s="80"/>
      <c r="L686" s="79"/>
    </row>
    <row r="687" spans="1:12" s="81" customFormat="1" ht="15" customHeight="1" x14ac:dyDescent="0.25">
      <c r="A687"/>
      <c r="B687" s="89" t="s">
        <v>14</v>
      </c>
      <c r="C687" s="111" t="s">
        <v>801</v>
      </c>
      <c r="D687" s="97" t="s">
        <v>823</v>
      </c>
      <c r="E687" s="116" t="str">
        <f t="shared" si="10"/>
        <v>Biografia Hidratante para Maos Feminino 40g Frasco</v>
      </c>
      <c r="F687" s="88" t="s">
        <v>448</v>
      </c>
      <c r="G687" s="28"/>
      <c r="H687" s="11" t="s">
        <v>562</v>
      </c>
      <c r="I687" s="51" t="s">
        <v>32</v>
      </c>
      <c r="J687" s="80"/>
      <c r="K687" s="80"/>
      <c r="L687" s="79"/>
    </row>
    <row r="688" spans="1:12" s="81" customFormat="1" ht="15" customHeight="1" x14ac:dyDescent="0.25">
      <c r="A688"/>
      <c r="B688" s="89" t="s">
        <v>14</v>
      </c>
      <c r="C688" s="111" t="s">
        <v>801</v>
      </c>
      <c r="D688" s="97" t="s">
        <v>703</v>
      </c>
      <c r="E688" s="116" t="str">
        <f t="shared" si="10"/>
        <v>Biografia Desodorante Corporal Perfumado Feminino 100ml Frasco</v>
      </c>
      <c r="F688" s="11" t="s">
        <v>475</v>
      </c>
      <c r="G688" s="28"/>
      <c r="H688" s="11" t="s">
        <v>122</v>
      </c>
      <c r="I688" s="51" t="s">
        <v>32</v>
      </c>
      <c r="J688" s="13" t="s">
        <v>632</v>
      </c>
      <c r="K688" s="80"/>
      <c r="L688" s="79"/>
    </row>
    <row r="689" spans="1:12" s="81" customFormat="1" ht="15" customHeight="1" x14ac:dyDescent="0.25">
      <c r="A689"/>
      <c r="B689" s="89" t="s">
        <v>14</v>
      </c>
      <c r="C689" s="111" t="s">
        <v>801</v>
      </c>
      <c r="D689" s="97" t="s">
        <v>703</v>
      </c>
      <c r="E689" s="116" t="str">
        <f t="shared" si="10"/>
        <v>Biografia Desodorante Corporal Perfumado inspire 100ml Frasco</v>
      </c>
      <c r="F689" s="21" t="s">
        <v>824</v>
      </c>
      <c r="G689" s="28"/>
      <c r="H689" s="11" t="s">
        <v>122</v>
      </c>
      <c r="I689" s="51" t="s">
        <v>32</v>
      </c>
      <c r="J689" s="13" t="s">
        <v>632</v>
      </c>
      <c r="K689" s="80"/>
      <c r="L689" s="79"/>
    </row>
    <row r="690" spans="1:12" s="81" customFormat="1" ht="15" customHeight="1" x14ac:dyDescent="0.25">
      <c r="A690"/>
      <c r="B690" s="89" t="s">
        <v>14</v>
      </c>
      <c r="C690" s="111" t="s">
        <v>801</v>
      </c>
      <c r="D690" s="97" t="s">
        <v>703</v>
      </c>
      <c r="E690" s="116" t="str">
        <f t="shared" si="10"/>
        <v>Biografia Desodorante Corporal Perfumado Feminino 100ml Frasco</v>
      </c>
      <c r="F690" s="82" t="s">
        <v>808</v>
      </c>
      <c r="G690" s="28"/>
      <c r="H690" s="11" t="s">
        <v>122</v>
      </c>
      <c r="I690" s="51" t="s">
        <v>32</v>
      </c>
      <c r="J690" s="13" t="s">
        <v>632</v>
      </c>
      <c r="K690" s="80"/>
      <c r="L690" s="79"/>
    </row>
    <row r="691" spans="1:12" s="81" customFormat="1" ht="15" customHeight="1" x14ac:dyDescent="0.25">
      <c r="A691"/>
      <c r="B691" s="89" t="s">
        <v>14</v>
      </c>
      <c r="C691" s="111" t="s">
        <v>801</v>
      </c>
      <c r="D691" s="97" t="s">
        <v>703</v>
      </c>
      <c r="E691" s="116" t="str">
        <f t="shared" si="10"/>
        <v>Biografia Desodorante Corporal Perfumado Feminino 100ml Refil</v>
      </c>
      <c r="F691" s="82" t="s">
        <v>808</v>
      </c>
      <c r="G691" s="28"/>
      <c r="H691" s="11" t="s">
        <v>122</v>
      </c>
      <c r="I691" s="51" t="s">
        <v>183</v>
      </c>
      <c r="J691" s="13" t="s">
        <v>632</v>
      </c>
      <c r="K691" s="80"/>
      <c r="L691" s="79"/>
    </row>
    <row r="692" spans="1:12" s="81" customFormat="1" ht="15" customHeight="1" x14ac:dyDescent="0.25">
      <c r="A692"/>
      <c r="B692" s="89" t="s">
        <v>14</v>
      </c>
      <c r="C692" s="111" t="s">
        <v>801</v>
      </c>
      <c r="D692" s="97" t="s">
        <v>703</v>
      </c>
      <c r="E692" s="116" t="str">
        <f t="shared" si="10"/>
        <v>Biografia Desodorante Corporal Perfumado Inspire 100ml Refil</v>
      </c>
      <c r="F692" s="21" t="s">
        <v>811</v>
      </c>
      <c r="G692" s="28"/>
      <c r="H692" s="11" t="s">
        <v>122</v>
      </c>
      <c r="I692" s="51" t="s">
        <v>183</v>
      </c>
      <c r="J692" s="13" t="s">
        <v>632</v>
      </c>
      <c r="K692" s="80"/>
      <c r="L692" s="79"/>
    </row>
    <row r="693" spans="1:12" ht="15" customHeight="1" x14ac:dyDescent="0.25">
      <c r="B693" s="89" t="s">
        <v>14</v>
      </c>
      <c r="C693" s="111" t="s">
        <v>801</v>
      </c>
      <c r="D693" s="97" t="s">
        <v>703</v>
      </c>
      <c r="E693" s="116" t="str">
        <f t="shared" si="10"/>
        <v>Biografia Desodorante Corporal Perfumado Feminino 100ml Refil</v>
      </c>
      <c r="F693" s="4" t="s">
        <v>808</v>
      </c>
      <c r="G693" s="28"/>
      <c r="H693" s="11" t="s">
        <v>122</v>
      </c>
      <c r="I693" s="51" t="s">
        <v>183</v>
      </c>
      <c r="J693" s="13" t="s">
        <v>632</v>
      </c>
      <c r="K693" s="13"/>
      <c r="L693" s="1"/>
    </row>
    <row r="694" spans="1:12" ht="15" customHeight="1" x14ac:dyDescent="0.25">
      <c r="B694" s="89" t="s">
        <v>14</v>
      </c>
      <c r="C694" s="172" t="s">
        <v>825</v>
      </c>
      <c r="D694" s="90" t="s">
        <v>826</v>
      </c>
      <c r="E694" s="116" t="str">
        <f t="shared" si="10"/>
        <v>Mamãe e Bebê Agua Colonia Bebe Flor de Laranjeira Amarelinho 0a3 anos 100ml Frasco</v>
      </c>
      <c r="F694" s="4" t="s">
        <v>827</v>
      </c>
      <c r="G694" s="28"/>
      <c r="H694" s="11" t="s">
        <v>122</v>
      </c>
      <c r="I694" s="45" t="s">
        <v>32</v>
      </c>
      <c r="J694" s="127" t="s">
        <v>828</v>
      </c>
      <c r="K694" s="13"/>
      <c r="L694" s="1"/>
    </row>
    <row r="695" spans="1:12" ht="15" customHeight="1" x14ac:dyDescent="0.25">
      <c r="B695" s="89" t="s">
        <v>14</v>
      </c>
      <c r="C695" s="172" t="s">
        <v>825</v>
      </c>
      <c r="D695" s="90" t="s">
        <v>826</v>
      </c>
      <c r="E695" s="116" t="str">
        <f t="shared" si="10"/>
        <v>Mamãe e Bebê Agua Colonia Bebe Para o Bebê Verde 0a3 anos 100ml Frasco</v>
      </c>
      <c r="F695" s="4" t="s">
        <v>829</v>
      </c>
      <c r="G695" s="28"/>
      <c r="H695" s="11" t="s">
        <v>122</v>
      </c>
      <c r="I695" s="45" t="s">
        <v>32</v>
      </c>
      <c r="J695" s="4" t="s">
        <v>830</v>
      </c>
      <c r="K695" s="13"/>
      <c r="L695" s="1"/>
    </row>
    <row r="696" spans="1:12" ht="15" customHeight="1" x14ac:dyDescent="0.25">
      <c r="B696" s="89" t="s">
        <v>14</v>
      </c>
      <c r="C696" s="172" t="s">
        <v>825</v>
      </c>
      <c r="D696" s="90" t="s">
        <v>826</v>
      </c>
      <c r="E696" s="116" t="str">
        <f t="shared" si="10"/>
        <v>Mamãe e Bebê Agua Colonia Bebe Relaxante Roxinho 0a3 anos 100ml Frasco</v>
      </c>
      <c r="F696" s="4" t="s">
        <v>831</v>
      </c>
      <c r="G696" s="28"/>
      <c r="H696" s="11" t="s">
        <v>122</v>
      </c>
      <c r="I696" s="45" t="s">
        <v>32</v>
      </c>
      <c r="J696" s="119" t="s">
        <v>832</v>
      </c>
      <c r="K696" s="13"/>
      <c r="L696" s="1"/>
    </row>
    <row r="697" spans="1:12" ht="15" customHeight="1" x14ac:dyDescent="0.25">
      <c r="B697" s="89" t="s">
        <v>14</v>
      </c>
      <c r="C697" s="172" t="s">
        <v>825</v>
      </c>
      <c r="D697" s="90" t="s">
        <v>833</v>
      </c>
      <c r="E697" s="116" t="str">
        <f t="shared" si="10"/>
        <v>Mamãe e Bebê Agua Colonia Mamae Rosinha / Para Mamãe 100ml Frasco</v>
      </c>
      <c r="F697" s="4" t="s">
        <v>834</v>
      </c>
      <c r="G697" s="28"/>
      <c r="H697" s="11" t="s">
        <v>122</v>
      </c>
      <c r="I697" s="45" t="s">
        <v>32</v>
      </c>
      <c r="J697" s="119" t="s">
        <v>835</v>
      </c>
      <c r="K697" s="13"/>
      <c r="L697" s="1"/>
    </row>
    <row r="698" spans="1:12" ht="15" customHeight="1" x14ac:dyDescent="0.25">
      <c r="B698" s="89" t="s">
        <v>14</v>
      </c>
      <c r="C698" s="172" t="s">
        <v>825</v>
      </c>
      <c r="D698" s="90" t="s">
        <v>185</v>
      </c>
      <c r="E698" s="116" t="str">
        <f t="shared" si="10"/>
        <v>Mamãe e Bebê Shampoo Para o Bebê Verde 0a3 anos 200ml Frasco</v>
      </c>
      <c r="F698" s="4" t="s">
        <v>829</v>
      </c>
      <c r="G698" s="28"/>
      <c r="H698" s="4" t="s">
        <v>31</v>
      </c>
      <c r="I698" s="45" t="s">
        <v>32</v>
      </c>
      <c r="J698" s="21" t="s">
        <v>836</v>
      </c>
      <c r="K698" s="13"/>
      <c r="L698" s="1"/>
    </row>
    <row r="699" spans="1:12" ht="15" customHeight="1" x14ac:dyDescent="0.25">
      <c r="B699" s="89" t="s">
        <v>14</v>
      </c>
      <c r="C699" s="172" t="s">
        <v>825</v>
      </c>
      <c r="D699" s="90" t="s">
        <v>185</v>
      </c>
      <c r="E699" s="116" t="str">
        <f t="shared" si="10"/>
        <v>Mamãe e Bebê Shampoo Para o Bebê Verde Escuro 0a3 anos 200ml Frasco</v>
      </c>
      <c r="F699" s="4" t="s">
        <v>837</v>
      </c>
      <c r="G699" s="28"/>
      <c r="H699" s="4" t="s">
        <v>31</v>
      </c>
      <c r="I699" s="45" t="s">
        <v>32</v>
      </c>
      <c r="J699" s="22" t="s">
        <v>838</v>
      </c>
      <c r="K699" s="4"/>
      <c r="L699" s="1"/>
    </row>
    <row r="700" spans="1:12" ht="15" customHeight="1" x14ac:dyDescent="0.25">
      <c r="B700" s="89" t="s">
        <v>14</v>
      </c>
      <c r="C700" s="172" t="s">
        <v>825</v>
      </c>
      <c r="D700" s="90" t="s">
        <v>185</v>
      </c>
      <c r="E700" s="116" t="str">
        <f t="shared" si="10"/>
        <v>Mamãe e Bebê Shampoo Para o Bebê Verde 0a3 anos 200ml Refil</v>
      </c>
      <c r="F700" s="4" t="s">
        <v>829</v>
      </c>
      <c r="G700" s="28"/>
      <c r="H700" s="4" t="s">
        <v>31</v>
      </c>
      <c r="I700" s="45" t="s">
        <v>183</v>
      </c>
      <c r="J700" s="21" t="s">
        <v>836</v>
      </c>
      <c r="K700" s="13"/>
      <c r="L700" s="1"/>
    </row>
    <row r="701" spans="1:12" ht="15" customHeight="1" x14ac:dyDescent="0.25">
      <c r="B701" s="89" t="s">
        <v>14</v>
      </c>
      <c r="C701" s="172" t="s">
        <v>825</v>
      </c>
      <c r="D701" s="90" t="s">
        <v>195</v>
      </c>
      <c r="E701" s="116" t="str">
        <f t="shared" si="10"/>
        <v>Mamãe e Bebê Condicionador Para o Bebê Verde 0a3 anos 200ml Frasco</v>
      </c>
      <c r="F701" s="4" t="s">
        <v>839</v>
      </c>
      <c r="G701" s="28"/>
      <c r="H701" s="4" t="s">
        <v>31</v>
      </c>
      <c r="I701" s="45" t="s">
        <v>32</v>
      </c>
      <c r="J701" s="4" t="s">
        <v>840</v>
      </c>
      <c r="K701" s="13"/>
      <c r="L701" s="1"/>
    </row>
    <row r="702" spans="1:12" ht="15" customHeight="1" x14ac:dyDescent="0.25">
      <c r="B702" s="89" t="s">
        <v>14</v>
      </c>
      <c r="C702" s="172" t="s">
        <v>825</v>
      </c>
      <c r="D702" s="90" t="s">
        <v>195</v>
      </c>
      <c r="E702" s="116" t="str">
        <f t="shared" si="10"/>
        <v>Mamãe e Bebê Condicionador Para o Bebê Verde Escuro 0a3 anos 200ml Frasco</v>
      </c>
      <c r="F702" s="4" t="s">
        <v>837</v>
      </c>
      <c r="G702" s="28"/>
      <c r="H702" s="4" t="s">
        <v>31</v>
      </c>
      <c r="I702" s="45" t="s">
        <v>32</v>
      </c>
      <c r="J702" s="22" t="s">
        <v>841</v>
      </c>
      <c r="K702" s="4"/>
      <c r="L702" s="1"/>
    </row>
    <row r="703" spans="1:12" ht="15" customHeight="1" x14ac:dyDescent="0.25">
      <c r="B703" s="89" t="s">
        <v>14</v>
      </c>
      <c r="C703" s="172" t="s">
        <v>825</v>
      </c>
      <c r="D703" s="90" t="s">
        <v>195</v>
      </c>
      <c r="E703" s="116" t="str">
        <f t="shared" si="10"/>
        <v>Mamãe e Bebê Condicionador Para o Bebê Verde 0a3 anos 200ml Refil</v>
      </c>
      <c r="F703" s="4" t="s">
        <v>829</v>
      </c>
      <c r="G703" s="28"/>
      <c r="H703" s="4" t="s">
        <v>31</v>
      </c>
      <c r="I703" s="45" t="s">
        <v>183</v>
      </c>
      <c r="J703" s="4" t="s">
        <v>840</v>
      </c>
      <c r="K703" s="13"/>
      <c r="L703" s="1"/>
    </row>
    <row r="704" spans="1:12" ht="15" customHeight="1" x14ac:dyDescent="0.25">
      <c r="B704" s="89" t="s">
        <v>14</v>
      </c>
      <c r="C704" s="172" t="s">
        <v>825</v>
      </c>
      <c r="D704" s="85" t="s">
        <v>312</v>
      </c>
      <c r="E704" s="116" t="str">
        <f t="shared" si="10"/>
        <v>Mamãe e Bebê Creme Para Pentear Para o Bebê Verde Escuro 0a3 anos 125ml Frasco</v>
      </c>
      <c r="F704" s="4" t="s">
        <v>837</v>
      </c>
      <c r="G704" s="28"/>
      <c r="H704" s="4" t="s">
        <v>623</v>
      </c>
      <c r="I704" s="45" t="s">
        <v>32</v>
      </c>
      <c r="J704" s="22" t="s">
        <v>842</v>
      </c>
      <c r="K704" s="13"/>
      <c r="L704" s="1"/>
    </row>
    <row r="705" spans="2:12" s="151" customFormat="1" ht="15" customHeight="1" x14ac:dyDescent="0.25">
      <c r="B705" s="89" t="s">
        <v>14</v>
      </c>
      <c r="C705" s="172" t="s">
        <v>825</v>
      </c>
      <c r="D705" s="85" t="s">
        <v>822</v>
      </c>
      <c r="E705" s="116" t="str">
        <f t="shared" si="10"/>
        <v>Mamãe e Bebê Sabonete Liquido Para o Bebê Verde 0a3 anos 50ml Frasco</v>
      </c>
      <c r="F705" s="4" t="s">
        <v>829</v>
      </c>
      <c r="G705" s="28"/>
      <c r="H705" s="4" t="s">
        <v>539</v>
      </c>
      <c r="I705" s="45" t="s">
        <v>32</v>
      </c>
      <c r="J705" s="4" t="s">
        <v>843</v>
      </c>
      <c r="K705" s="13"/>
      <c r="L705" s="1"/>
    </row>
    <row r="706" spans="2:12" ht="15" customHeight="1" x14ac:dyDescent="0.25">
      <c r="B706" s="89" t="s">
        <v>14</v>
      </c>
      <c r="C706" s="172" t="s">
        <v>825</v>
      </c>
      <c r="D706" s="85" t="s">
        <v>822</v>
      </c>
      <c r="E706" s="116" t="str">
        <f t="shared" si="10"/>
        <v>Mamãe e Bebê Sabonete Liquido Para o Bebê Verde 0a3 anos 200ml Frasco</v>
      </c>
      <c r="F706" s="4" t="s">
        <v>829</v>
      </c>
      <c r="G706" s="28"/>
      <c r="H706" s="4" t="s">
        <v>31</v>
      </c>
      <c r="I706" s="45" t="s">
        <v>32</v>
      </c>
      <c r="J706" s="4" t="s">
        <v>843</v>
      </c>
      <c r="K706" s="13"/>
      <c r="L706" s="1"/>
    </row>
    <row r="707" spans="2:12" ht="15" customHeight="1" x14ac:dyDescent="0.25">
      <c r="B707" s="89" t="s">
        <v>14</v>
      </c>
      <c r="C707" s="172" t="s">
        <v>825</v>
      </c>
      <c r="D707" s="90" t="s">
        <v>822</v>
      </c>
      <c r="E707" s="116" t="str">
        <f t="shared" ref="E707:E768" si="11">TRIM(CONCATENATE(C707, " ", D707, " ", F707, " ", IF(G707&gt;0, G707 &amp; "x" &amp; H707, H707), " ", I707))</f>
        <v>Mamãe e Bebê Sabonete Liquido Para o Bebê Verde 0a3 anos 400ml Frasco</v>
      </c>
      <c r="F707" s="4" t="s">
        <v>829</v>
      </c>
      <c r="G707" s="28"/>
      <c r="H707" s="4" t="s">
        <v>255</v>
      </c>
      <c r="I707" s="45" t="s">
        <v>32</v>
      </c>
      <c r="J707" s="4" t="s">
        <v>843</v>
      </c>
      <c r="K707" s="13"/>
      <c r="L707" s="1"/>
    </row>
    <row r="708" spans="2:12" ht="15" customHeight="1" x14ac:dyDescent="0.25">
      <c r="B708" s="89" t="s">
        <v>14</v>
      </c>
      <c r="C708" s="172" t="s">
        <v>825</v>
      </c>
      <c r="D708" s="90" t="s">
        <v>822</v>
      </c>
      <c r="E708" s="116" t="str">
        <f t="shared" si="11"/>
        <v>Mamãe e Bebê Sabonete Liquido Relaxante Roxinho 0a3 anos 200ml Frasco</v>
      </c>
      <c r="F708" s="4" t="s">
        <v>831</v>
      </c>
      <c r="G708" s="28"/>
      <c r="H708" s="4" t="s">
        <v>31</v>
      </c>
      <c r="I708" s="45" t="s">
        <v>32</v>
      </c>
      <c r="J708" s="4" t="s">
        <v>844</v>
      </c>
      <c r="K708" s="13"/>
      <c r="L708" s="1"/>
    </row>
    <row r="709" spans="2:12" ht="15" customHeight="1" x14ac:dyDescent="0.25">
      <c r="B709" s="89" t="s">
        <v>14</v>
      </c>
      <c r="C709" s="172" t="s">
        <v>825</v>
      </c>
      <c r="D709" s="90" t="s">
        <v>822</v>
      </c>
      <c r="E709" s="116" t="str">
        <f t="shared" si="11"/>
        <v>Mamãe e Bebê Sabonete Liquido Branco Sem Fragrância 0a3 anos 200ml Frasco</v>
      </c>
      <c r="F709" s="21" t="s">
        <v>845</v>
      </c>
      <c r="G709" s="28"/>
      <c r="H709" s="4" t="s">
        <v>31</v>
      </c>
      <c r="I709" s="45" t="s">
        <v>32</v>
      </c>
      <c r="J709" s="4" t="s">
        <v>846</v>
      </c>
      <c r="K709" s="13"/>
      <c r="L709" s="1"/>
    </row>
    <row r="710" spans="2:12" ht="15" customHeight="1" x14ac:dyDescent="0.25">
      <c r="B710" s="89" t="s">
        <v>14</v>
      </c>
      <c r="C710" s="172" t="s">
        <v>825</v>
      </c>
      <c r="D710" s="90" t="s">
        <v>822</v>
      </c>
      <c r="E710" s="116" t="str">
        <f t="shared" si="11"/>
        <v>Mamãe e Bebê Sabonete Liquido Para o Bebê Verde 0a3 anos 200ml Refil</v>
      </c>
      <c r="F710" s="4" t="s">
        <v>829</v>
      </c>
      <c r="G710" s="28"/>
      <c r="H710" s="4" t="s">
        <v>31</v>
      </c>
      <c r="I710" s="45" t="s">
        <v>183</v>
      </c>
      <c r="J710" s="4" t="s">
        <v>843</v>
      </c>
      <c r="K710" s="13"/>
      <c r="L710" s="1"/>
    </row>
    <row r="711" spans="2:12" ht="15" customHeight="1" x14ac:dyDescent="0.25">
      <c r="B711" s="89" t="s">
        <v>14</v>
      </c>
      <c r="C711" s="172" t="s">
        <v>825</v>
      </c>
      <c r="D711" s="90" t="s">
        <v>163</v>
      </c>
      <c r="E711" s="116" t="str">
        <f t="shared" si="11"/>
        <v>Mamãe e Bebê Sabonete em Barra Para o Bebê Verde 5x100g Caixa</v>
      </c>
      <c r="F711" s="4" t="s">
        <v>847</v>
      </c>
      <c r="G711" s="28">
        <v>5</v>
      </c>
      <c r="H711" s="4" t="s">
        <v>499</v>
      </c>
      <c r="I711" s="45" t="s">
        <v>270</v>
      </c>
      <c r="J711" s="4" t="s">
        <v>848</v>
      </c>
      <c r="K711" s="13"/>
      <c r="L711" s="1"/>
    </row>
    <row r="712" spans="2:12" ht="15" customHeight="1" x14ac:dyDescent="0.25">
      <c r="B712" s="89" t="s">
        <v>14</v>
      </c>
      <c r="C712" s="172" t="s">
        <v>825</v>
      </c>
      <c r="D712" s="90" t="s">
        <v>163</v>
      </c>
      <c r="E712" s="116" t="str">
        <f t="shared" si="11"/>
        <v>Mamãe e Bebê Sabonete em Barra Para o Bebê Verde 6x20g Caixa</v>
      </c>
      <c r="F712" s="4" t="s">
        <v>847</v>
      </c>
      <c r="G712" s="28">
        <v>6</v>
      </c>
      <c r="H712" s="45" t="s">
        <v>849</v>
      </c>
      <c r="I712" s="45" t="s">
        <v>270</v>
      </c>
      <c r="J712" s="4" t="s">
        <v>848</v>
      </c>
      <c r="K712" s="13"/>
      <c r="L712" s="1"/>
    </row>
    <row r="713" spans="2:12" ht="15" customHeight="1" x14ac:dyDescent="0.25">
      <c r="B713" s="89" t="s">
        <v>14</v>
      </c>
      <c r="C713" s="172" t="s">
        <v>825</v>
      </c>
      <c r="D713" s="90" t="s">
        <v>163</v>
      </c>
      <c r="E713" s="116" t="str">
        <f t="shared" si="11"/>
        <v>Mamãe e Bebê Sabonete em Barra 3 Sortidos -  Cores , Verde , Roxinho, Rosinha 1x100g Caixa</v>
      </c>
      <c r="F713" s="83" t="s">
        <v>850</v>
      </c>
      <c r="G713" s="28">
        <v>1</v>
      </c>
      <c r="H713" s="4" t="s">
        <v>113</v>
      </c>
      <c r="I713" s="45" t="s">
        <v>270</v>
      </c>
      <c r="J713" s="4" t="s">
        <v>851</v>
      </c>
      <c r="K713" s="13"/>
      <c r="L713" s="1"/>
    </row>
    <row r="714" spans="2:12" ht="15" customHeight="1" x14ac:dyDescent="0.25">
      <c r="B714" s="89" t="s">
        <v>14</v>
      </c>
      <c r="C714" s="172" t="s">
        <v>825</v>
      </c>
      <c r="D714" s="90" t="s">
        <v>163</v>
      </c>
      <c r="E714" s="116" t="str">
        <f t="shared" si="11"/>
        <v>Mamãe e Bebê Sabonete em Barra Amarelinho , Flor de Laranjeira com Saboneteira 0.5x100g Caixa</v>
      </c>
      <c r="F714" s="21" t="s">
        <v>852</v>
      </c>
      <c r="G714" s="28" t="s">
        <v>853</v>
      </c>
      <c r="H714" s="4" t="s">
        <v>113</v>
      </c>
      <c r="I714" s="45" t="s">
        <v>270</v>
      </c>
      <c r="J714" s="4" t="s">
        <v>854</v>
      </c>
      <c r="K714" s="13"/>
      <c r="L714" s="1"/>
    </row>
    <row r="715" spans="2:12" ht="15" customHeight="1" x14ac:dyDescent="0.25">
      <c r="B715" s="89" t="s">
        <v>14</v>
      </c>
      <c r="C715" s="172" t="s">
        <v>825</v>
      </c>
      <c r="D715" s="90" t="s">
        <v>163</v>
      </c>
      <c r="E715" s="116" t="str">
        <f t="shared" si="11"/>
        <v>Mamãe e Bebê Sabonete em Barra Para o Bebê Verde com Saboneteira 5x20g Caixa</v>
      </c>
      <c r="F715" s="4" t="s">
        <v>855</v>
      </c>
      <c r="G715" s="28">
        <v>5</v>
      </c>
      <c r="H715" s="4" t="s">
        <v>849</v>
      </c>
      <c r="I715" s="45" t="s">
        <v>270</v>
      </c>
      <c r="J715" s="4" t="s">
        <v>848</v>
      </c>
      <c r="K715" s="13"/>
      <c r="L715" s="1"/>
    </row>
    <row r="716" spans="2:12" ht="15" customHeight="1" x14ac:dyDescent="0.25">
      <c r="B716" s="89" t="s">
        <v>14</v>
      </c>
      <c r="C716" s="172" t="s">
        <v>825</v>
      </c>
      <c r="D716" s="85" t="s">
        <v>856</v>
      </c>
      <c r="E716" s="116" t="str">
        <f t="shared" si="11"/>
        <v>Mamãe e Bebê Lenços Umedecidos Para o Bebê Verde 50x20 cm x 15 cm Pacote</v>
      </c>
      <c r="F716" s="4" t="s">
        <v>847</v>
      </c>
      <c r="G716" s="28">
        <v>50</v>
      </c>
      <c r="H716" s="21" t="s">
        <v>857</v>
      </c>
      <c r="I716" s="45" t="s">
        <v>858</v>
      </c>
      <c r="J716" s="13" t="s">
        <v>859</v>
      </c>
      <c r="K716" s="13"/>
      <c r="L716" s="1"/>
    </row>
    <row r="717" spans="2:12" ht="15" customHeight="1" x14ac:dyDescent="0.25">
      <c r="B717" s="89" t="s">
        <v>14</v>
      </c>
      <c r="C717" s="172" t="s">
        <v>825</v>
      </c>
      <c r="D717" s="85" t="s">
        <v>856</v>
      </c>
      <c r="E717" s="116" t="str">
        <f t="shared" si="11"/>
        <v>Mamãe e Bebê Lenços Umedecidos Branco Sem Fragrância 50x20 cm x 15 cm Pacote</v>
      </c>
      <c r="F717" s="21" t="s">
        <v>860</v>
      </c>
      <c r="G717" s="28">
        <v>50</v>
      </c>
      <c r="H717" s="21" t="s">
        <v>857</v>
      </c>
      <c r="I717" s="45" t="s">
        <v>858</v>
      </c>
      <c r="J717" s="13" t="s">
        <v>861</v>
      </c>
      <c r="K717" s="13"/>
      <c r="L717" s="1"/>
    </row>
    <row r="718" spans="2:12" ht="15" customHeight="1" x14ac:dyDescent="0.25">
      <c r="B718" s="89" t="s">
        <v>14</v>
      </c>
      <c r="C718" s="172" t="s">
        <v>825</v>
      </c>
      <c r="D718" s="85" t="s">
        <v>856</v>
      </c>
      <c r="E718" s="116" t="str">
        <f t="shared" si="11"/>
        <v>Mamãe e Bebê Lenços Umedecidos Para o Bebê Verde Pacote</v>
      </c>
      <c r="F718" s="4" t="s">
        <v>847</v>
      </c>
      <c r="G718" s="28"/>
      <c r="H718" s="4"/>
      <c r="I718" s="45" t="s">
        <v>858</v>
      </c>
      <c r="J718" s="13" t="s">
        <v>859</v>
      </c>
      <c r="K718" s="13"/>
      <c r="L718" s="1"/>
    </row>
    <row r="719" spans="2:12" ht="15" customHeight="1" x14ac:dyDescent="0.25">
      <c r="B719" s="89" t="s">
        <v>14</v>
      </c>
      <c r="C719" s="172" t="s">
        <v>825</v>
      </c>
      <c r="D719" s="85" t="s">
        <v>856</v>
      </c>
      <c r="E719" s="116" t="str">
        <f t="shared" si="11"/>
        <v>Mamãe e Bebê Lenços Umedecidos Branco Sem Fragrância Pacote</v>
      </c>
      <c r="F719" s="21" t="s">
        <v>860</v>
      </c>
      <c r="G719" s="28"/>
      <c r="H719" s="4"/>
      <c r="I719" s="45" t="s">
        <v>858</v>
      </c>
      <c r="J719" s="13" t="s">
        <v>861</v>
      </c>
      <c r="K719" s="13"/>
      <c r="L719" s="1"/>
    </row>
    <row r="720" spans="2:12" ht="15" customHeight="1" x14ac:dyDescent="0.25">
      <c r="B720" s="89" t="s">
        <v>14</v>
      </c>
      <c r="C720" s="172" t="s">
        <v>825</v>
      </c>
      <c r="D720" s="85" t="s">
        <v>656</v>
      </c>
      <c r="E720" s="116" t="str">
        <f t="shared" si="11"/>
        <v>Mamãe e Bebê Hidratante Corporal Flor de Laranjeira Amarelinho 0a3 anos 200ml Frasco</v>
      </c>
      <c r="F720" s="4" t="s">
        <v>862</v>
      </c>
      <c r="G720" s="28"/>
      <c r="H720" s="59" t="s">
        <v>31</v>
      </c>
      <c r="I720" s="45" t="s">
        <v>32</v>
      </c>
      <c r="J720" s="21" t="s">
        <v>863</v>
      </c>
      <c r="K720" s="13"/>
      <c r="L720" s="1"/>
    </row>
    <row r="721" spans="2:12" ht="15" customHeight="1" x14ac:dyDescent="0.25">
      <c r="B721" s="89" t="s">
        <v>14</v>
      </c>
      <c r="C721" s="172" t="s">
        <v>825</v>
      </c>
      <c r="D721" s="85" t="s">
        <v>656</v>
      </c>
      <c r="E721" s="116" t="str">
        <f t="shared" si="11"/>
        <v>Mamãe e Bebê Hidratante Corporal Branco Sem Fragrância 0a3 anos 200ml Frasco</v>
      </c>
      <c r="F721" s="21" t="s">
        <v>864</v>
      </c>
      <c r="G721" s="28"/>
      <c r="H721" s="59" t="s">
        <v>31</v>
      </c>
      <c r="I721" s="45" t="s">
        <v>32</v>
      </c>
      <c r="J721" s="13" t="s">
        <v>865</v>
      </c>
      <c r="K721" s="13"/>
      <c r="L721" s="1"/>
    </row>
    <row r="722" spans="2:12" ht="15" customHeight="1" x14ac:dyDescent="0.25">
      <c r="B722" s="89" t="s">
        <v>14</v>
      </c>
      <c r="C722" s="172" t="s">
        <v>825</v>
      </c>
      <c r="D722" s="85" t="s">
        <v>656</v>
      </c>
      <c r="E722" s="116" t="str">
        <f t="shared" si="11"/>
        <v>Mamãe e Bebê Hidratante Corporal Para o Bebê Verde 0a3 anos 200ml Frasco</v>
      </c>
      <c r="F722" s="4" t="s">
        <v>829</v>
      </c>
      <c r="G722" s="28"/>
      <c r="H722" s="59" t="s">
        <v>31</v>
      </c>
      <c r="I722" s="45" t="s">
        <v>32</v>
      </c>
      <c r="J722" s="13" t="s">
        <v>866</v>
      </c>
      <c r="K722" s="13"/>
      <c r="L722" s="1"/>
    </row>
    <row r="723" spans="2:12" ht="15" customHeight="1" x14ac:dyDescent="0.25">
      <c r="B723" s="89" t="s">
        <v>14</v>
      </c>
      <c r="C723" s="172" t="s">
        <v>825</v>
      </c>
      <c r="D723" s="85" t="s">
        <v>656</v>
      </c>
      <c r="E723" s="116" t="str">
        <f t="shared" si="11"/>
        <v>Mamãe e Bebê Hidratante Corporal Relaxante Roxinho 0a3 anos 200ml Frasco</v>
      </c>
      <c r="F723" s="4" t="s">
        <v>831</v>
      </c>
      <c r="G723" s="28"/>
      <c r="H723" s="59" t="s">
        <v>31</v>
      </c>
      <c r="I723" s="45" t="s">
        <v>32</v>
      </c>
      <c r="J723" s="13" t="s">
        <v>867</v>
      </c>
      <c r="K723" s="13"/>
      <c r="L723" s="1"/>
    </row>
    <row r="724" spans="2:12" ht="15" customHeight="1" x14ac:dyDescent="0.25">
      <c r="B724" s="89" t="s">
        <v>14</v>
      </c>
      <c r="C724" s="172" t="s">
        <v>825</v>
      </c>
      <c r="D724" s="85" t="s">
        <v>656</v>
      </c>
      <c r="E724" s="116" t="str">
        <f t="shared" si="11"/>
        <v>Mamãe e Bebê Hidratante Corporal Rosinha / Para Mamãe 200ml Frasco</v>
      </c>
      <c r="F724" s="4" t="s">
        <v>834</v>
      </c>
      <c r="G724" s="28"/>
      <c r="H724" s="59" t="s">
        <v>31</v>
      </c>
      <c r="I724" s="45" t="s">
        <v>32</v>
      </c>
      <c r="J724" s="13" t="s">
        <v>868</v>
      </c>
      <c r="K724" s="13"/>
      <c r="L724" s="1"/>
    </row>
    <row r="725" spans="2:12" ht="15.75" customHeight="1" x14ac:dyDescent="0.25">
      <c r="B725" s="89" t="s">
        <v>14</v>
      </c>
      <c r="C725" s="172" t="s">
        <v>825</v>
      </c>
      <c r="D725" s="85" t="s">
        <v>64</v>
      </c>
      <c r="E725" s="116" t="str">
        <f t="shared" si="11"/>
        <v>Mamãe e Bebê Oleo Corporal Flor de Laranjeira Amarelinho 0a3 anos 200ml Frasco</v>
      </c>
      <c r="F725" s="4" t="s">
        <v>827</v>
      </c>
      <c r="G725" s="28"/>
      <c r="H725" s="59" t="s">
        <v>31</v>
      </c>
      <c r="I725" s="45" t="s">
        <v>32</v>
      </c>
      <c r="J725" s="13" t="s">
        <v>869</v>
      </c>
      <c r="K725" s="13"/>
      <c r="L725" s="1"/>
    </row>
    <row r="726" spans="2:12" ht="15" customHeight="1" x14ac:dyDescent="0.25">
      <c r="B726" s="89" t="s">
        <v>14</v>
      </c>
      <c r="C726" s="172" t="s">
        <v>825</v>
      </c>
      <c r="D726" s="85" t="s">
        <v>64</v>
      </c>
      <c r="E726" s="116" t="str">
        <f t="shared" si="11"/>
        <v>Mamãe e Bebê Oleo Corporal Para o Bebê Verde 0a3 anos 200ml Frasco</v>
      </c>
      <c r="F726" s="4" t="s">
        <v>829</v>
      </c>
      <c r="G726" s="28"/>
      <c r="H726" s="59" t="s">
        <v>31</v>
      </c>
      <c r="I726" s="45" t="s">
        <v>32</v>
      </c>
      <c r="J726" s="84" t="s">
        <v>870</v>
      </c>
      <c r="K726" s="13"/>
      <c r="L726" s="1"/>
    </row>
    <row r="727" spans="2:12" ht="15" customHeight="1" x14ac:dyDescent="0.25">
      <c r="B727" s="89" t="s">
        <v>14</v>
      </c>
      <c r="C727" s="172" t="s">
        <v>825</v>
      </c>
      <c r="D727" s="85" t="s">
        <v>64</v>
      </c>
      <c r="E727" s="116" t="str">
        <f t="shared" si="11"/>
        <v>Mamãe e Bebê Oleo Corporal Para Mamãe ,Gestante Rosinha 200ml Frasco</v>
      </c>
      <c r="F727" s="4" t="s">
        <v>871</v>
      </c>
      <c r="G727" s="28"/>
      <c r="H727" s="59" t="s">
        <v>31</v>
      </c>
      <c r="I727" s="45" t="s">
        <v>32</v>
      </c>
      <c r="J727" s="13" t="s">
        <v>868</v>
      </c>
      <c r="K727" s="13"/>
      <c r="L727" s="1"/>
    </row>
    <row r="728" spans="2:12" ht="15" customHeight="1" x14ac:dyDescent="0.25">
      <c r="B728" s="89" t="s">
        <v>14</v>
      </c>
      <c r="C728" s="172" t="s">
        <v>825</v>
      </c>
      <c r="D728" s="85" t="s">
        <v>872</v>
      </c>
      <c r="E728" s="116" t="str">
        <f t="shared" si="11"/>
        <v>Mamãe e Bebê Creme Assadura Branco Sem Fragrância 60g Frsaco</v>
      </c>
      <c r="F728" s="21" t="s">
        <v>873</v>
      </c>
      <c r="G728" s="28"/>
      <c r="H728" s="59" t="s">
        <v>874</v>
      </c>
      <c r="I728" s="45" t="s">
        <v>772</v>
      </c>
      <c r="J728" s="13" t="s">
        <v>875</v>
      </c>
      <c r="K728" s="13"/>
      <c r="L728" s="1"/>
    </row>
    <row r="729" spans="2:12" ht="12.75" customHeight="1" x14ac:dyDescent="0.25">
      <c r="B729" s="89" t="s">
        <v>14</v>
      </c>
      <c r="C729" s="172" t="s">
        <v>825</v>
      </c>
      <c r="D729" s="85" t="s">
        <v>876</v>
      </c>
      <c r="E729" s="116" t="str">
        <f t="shared" si="11"/>
        <v>Mamãe e Bebê Álcool em Gel Rosinha / Para Mamãe 55g Frasco</v>
      </c>
      <c r="F729" s="4" t="s">
        <v>834</v>
      </c>
      <c r="G729" s="28"/>
      <c r="H729" s="59" t="s">
        <v>877</v>
      </c>
      <c r="I729" s="45" t="s">
        <v>19</v>
      </c>
      <c r="J729" s="13" t="s">
        <v>878</v>
      </c>
      <c r="K729" s="13"/>
      <c r="L729" s="1"/>
    </row>
    <row r="730" spans="2:12" ht="15" customHeight="1" x14ac:dyDescent="0.25">
      <c r="B730" s="89" t="s">
        <v>14</v>
      </c>
      <c r="C730" s="172" t="s">
        <v>825</v>
      </c>
      <c r="D730" s="85" t="s">
        <v>287</v>
      </c>
      <c r="E730" s="116" t="str">
        <f t="shared" si="11"/>
        <v>Mamãe e Bebê Kit Miniatura Verde para o Bebê 0a3 anos 150ml Frascos</v>
      </c>
      <c r="F730" s="4" t="s">
        <v>879</v>
      </c>
      <c r="G730" s="28"/>
      <c r="H730" s="59" t="s">
        <v>118</v>
      </c>
      <c r="I730" s="45" t="s">
        <v>880</v>
      </c>
      <c r="J730" s="13"/>
      <c r="K730" s="13"/>
      <c r="L730" s="1"/>
    </row>
    <row r="731" spans="2:12" ht="15" customHeight="1" x14ac:dyDescent="0.25">
      <c r="B731" s="89" t="s">
        <v>14</v>
      </c>
      <c r="C731" s="172" t="s">
        <v>825</v>
      </c>
      <c r="D731" s="85" t="s">
        <v>287</v>
      </c>
      <c r="E731" s="116" t="str">
        <f t="shared" si="11"/>
        <v>Mamãe e Bebê Kit Mamae e Bebe com Trocador Verde para o Bebê 0a3 anos 750ml Frascos</v>
      </c>
      <c r="F731" s="4" t="s">
        <v>881</v>
      </c>
      <c r="G731" s="28"/>
      <c r="H731" s="59" t="s">
        <v>882</v>
      </c>
      <c r="I731" s="45" t="s">
        <v>880</v>
      </c>
      <c r="J731" s="13"/>
      <c r="K731" s="13"/>
      <c r="L731" s="1"/>
    </row>
    <row r="732" spans="2:12" ht="15" customHeight="1" x14ac:dyDescent="0.25">
      <c r="B732" s="89" t="s">
        <v>14</v>
      </c>
      <c r="C732" s="172" t="s">
        <v>825</v>
      </c>
      <c r="D732" s="85" t="s">
        <v>287</v>
      </c>
      <c r="E732" s="116" t="str">
        <f t="shared" si="11"/>
        <v>Mamãe e Bebê Kit Mamae e Bebe com Frasqueira Verde para o Bebê 0a3 anos 350ml Frascos</v>
      </c>
      <c r="F732" s="4" t="s">
        <v>883</v>
      </c>
      <c r="G732" s="28"/>
      <c r="H732" s="59" t="s">
        <v>884</v>
      </c>
      <c r="I732" s="45" t="s">
        <v>880</v>
      </c>
      <c r="J732" s="13"/>
      <c r="K732" s="13"/>
      <c r="L732" s="1"/>
    </row>
    <row r="733" spans="2:12" ht="15" customHeight="1" x14ac:dyDescent="0.25">
      <c r="B733" s="89" t="s">
        <v>14</v>
      </c>
      <c r="C733" s="172" t="s">
        <v>825</v>
      </c>
      <c r="D733" s="85" t="s">
        <v>287</v>
      </c>
      <c r="E733" s="116" t="str">
        <f t="shared" si="11"/>
        <v>Mamãe e Bebê Kit Papai e Bebe Mochila com Trocador Verde para o Bebê 0a3 anos 750ml Frascos</v>
      </c>
      <c r="F733" s="4" t="s">
        <v>885</v>
      </c>
      <c r="G733" s="28"/>
      <c r="H733" s="59" t="s">
        <v>882</v>
      </c>
      <c r="I733" s="45" t="s">
        <v>880</v>
      </c>
      <c r="J733" s="13"/>
      <c r="K733" s="13"/>
      <c r="L733" s="1"/>
    </row>
    <row r="734" spans="2:12" ht="15" customHeight="1" x14ac:dyDescent="0.25">
      <c r="B734" s="89" t="s">
        <v>14</v>
      </c>
      <c r="C734" s="112" t="s">
        <v>886</v>
      </c>
      <c r="D734" s="85" t="s">
        <v>887</v>
      </c>
      <c r="E734" s="116" t="str">
        <f t="shared" si="11"/>
        <v>Erva Doce Alcool em Gel Antisseptico 70 INPM 45g Frasco</v>
      </c>
      <c r="F734" s="4" t="s">
        <v>888</v>
      </c>
      <c r="G734" s="28"/>
      <c r="H734" s="4" t="s">
        <v>889</v>
      </c>
      <c r="I734" s="45" t="s">
        <v>32</v>
      </c>
      <c r="J734" s="13" t="s">
        <v>890</v>
      </c>
      <c r="K734" s="13"/>
      <c r="L734" s="1"/>
    </row>
    <row r="735" spans="2:12" ht="15" customHeight="1" x14ac:dyDescent="0.25">
      <c r="B735" s="89" t="s">
        <v>14</v>
      </c>
      <c r="C735" s="112" t="s">
        <v>886</v>
      </c>
      <c r="D735" s="90" t="s">
        <v>126</v>
      </c>
      <c r="E735" s="116" t="str">
        <f t="shared" si="11"/>
        <v>Erva Doce Desodorante Antitranspirante Roll-on 70ml Frasco</v>
      </c>
      <c r="F735" s="4"/>
      <c r="G735" s="28"/>
      <c r="H735" s="14" t="s">
        <v>128</v>
      </c>
      <c r="I735" s="48" t="s">
        <v>32</v>
      </c>
      <c r="J735" s="13" t="s">
        <v>891</v>
      </c>
      <c r="K735" s="154">
        <v>29.9</v>
      </c>
      <c r="L735" s="1"/>
    </row>
    <row r="736" spans="2:12" ht="15" customHeight="1" x14ac:dyDescent="0.25">
      <c r="B736" s="89" t="s">
        <v>14</v>
      </c>
      <c r="C736" s="112" t="s">
        <v>886</v>
      </c>
      <c r="D736" s="92" t="s">
        <v>385</v>
      </c>
      <c r="E736" s="116" t="str">
        <f t="shared" si="11"/>
        <v>Erva Doce Desodorante Corporal 100ml Frasco</v>
      </c>
      <c r="F736" s="4"/>
      <c r="G736" s="28"/>
      <c r="H736" s="22" t="s">
        <v>122</v>
      </c>
      <c r="I736" s="45" t="s">
        <v>32</v>
      </c>
      <c r="J736" s="13" t="s">
        <v>892</v>
      </c>
      <c r="K736" s="13"/>
      <c r="L736" s="1"/>
    </row>
    <row r="737" spans="2:12" ht="15" customHeight="1" x14ac:dyDescent="0.25">
      <c r="B737" s="89" t="s">
        <v>14</v>
      </c>
      <c r="C737" s="112" t="s">
        <v>886</v>
      </c>
      <c r="D737" s="92" t="s">
        <v>385</v>
      </c>
      <c r="E737" s="116" t="str">
        <f t="shared" si="11"/>
        <v>Erva Doce Desodorante Corporal 100ml Refil</v>
      </c>
      <c r="F737" s="4"/>
      <c r="G737" s="28"/>
      <c r="H737" s="22" t="s">
        <v>122</v>
      </c>
      <c r="I737" s="45" t="s">
        <v>183</v>
      </c>
      <c r="J737" s="13" t="s">
        <v>892</v>
      </c>
      <c r="K737" s="13"/>
      <c r="L737" s="1"/>
    </row>
    <row r="738" spans="2:12" ht="15" customHeight="1" x14ac:dyDescent="0.25">
      <c r="B738" s="89" t="s">
        <v>14</v>
      </c>
      <c r="C738" s="112" t="s">
        <v>886</v>
      </c>
      <c r="D738" s="2" t="s">
        <v>136</v>
      </c>
      <c r="E738" s="116" t="str">
        <f t="shared" si="11"/>
        <v>Erva Doce Desodorante Creme 80g Frasco</v>
      </c>
      <c r="F738" s="4"/>
      <c r="G738" s="28"/>
      <c r="H738" s="4" t="s">
        <v>893</v>
      </c>
      <c r="I738" s="45" t="s">
        <v>32</v>
      </c>
      <c r="J738" s="13" t="s">
        <v>138</v>
      </c>
      <c r="K738" s="13"/>
      <c r="L738" s="1"/>
    </row>
    <row r="739" spans="2:12" ht="15" customHeight="1" x14ac:dyDescent="0.25">
      <c r="B739" s="89" t="s">
        <v>14</v>
      </c>
      <c r="C739" s="112" t="s">
        <v>886</v>
      </c>
      <c r="D739" s="90" t="s">
        <v>894</v>
      </c>
      <c r="E739" s="116" t="str">
        <f t="shared" si="11"/>
        <v>Erva Doce Sabonete Cremoso 250ml Frasco</v>
      </c>
      <c r="F739" s="4"/>
      <c r="G739" s="28"/>
      <c r="H739" s="4" t="s">
        <v>895</v>
      </c>
      <c r="I739" s="45" t="s">
        <v>32</v>
      </c>
      <c r="J739" s="13" t="s">
        <v>896</v>
      </c>
      <c r="K739" s="13"/>
      <c r="L739" s="1"/>
    </row>
    <row r="740" spans="2:12" ht="15" customHeight="1" x14ac:dyDescent="0.25">
      <c r="B740" s="89" t="s">
        <v>14</v>
      </c>
      <c r="C740" s="112" t="s">
        <v>886</v>
      </c>
      <c r="D740" s="90" t="s">
        <v>894</v>
      </c>
      <c r="E740" s="116" t="str">
        <f t="shared" si="11"/>
        <v>Erva Doce Sabonete Cremoso 250ml Refil</v>
      </c>
      <c r="F740" s="4"/>
      <c r="G740" s="28"/>
      <c r="H740" s="4" t="s">
        <v>895</v>
      </c>
      <c r="I740" s="45" t="s">
        <v>183</v>
      </c>
      <c r="J740" s="13" t="s">
        <v>896</v>
      </c>
      <c r="K740" s="13"/>
      <c r="L740" s="1"/>
    </row>
    <row r="741" spans="2:12" ht="15" customHeight="1" x14ac:dyDescent="0.25">
      <c r="B741" s="89" t="s">
        <v>14</v>
      </c>
      <c r="C741" s="112" t="s">
        <v>886</v>
      </c>
      <c r="D741" s="90" t="s">
        <v>503</v>
      </c>
      <c r="E741" s="116" t="str">
        <f t="shared" si="11"/>
        <v>Erva Doce Sabonete em barra 4x90g Caixa</v>
      </c>
      <c r="F741" s="4"/>
      <c r="G741" s="28">
        <v>4</v>
      </c>
      <c r="H741" s="59" t="s">
        <v>74</v>
      </c>
      <c r="I741" s="45" t="s">
        <v>270</v>
      </c>
      <c r="J741" s="13" t="s">
        <v>897</v>
      </c>
      <c r="K741" s="13"/>
      <c r="L741" s="1"/>
    </row>
    <row r="742" spans="2:12" ht="15" customHeight="1" x14ac:dyDescent="0.25">
      <c r="B742" s="89" t="s">
        <v>14</v>
      </c>
      <c r="C742" s="112" t="s">
        <v>886</v>
      </c>
      <c r="D742" s="90" t="s">
        <v>503</v>
      </c>
      <c r="E742" s="116" t="str">
        <f t="shared" si="11"/>
        <v>Erva Doce Sabonete em barra 3x90g Caixa</v>
      </c>
      <c r="F742" s="4"/>
      <c r="G742" s="28">
        <v>3</v>
      </c>
      <c r="H742" s="59" t="s">
        <v>74</v>
      </c>
      <c r="I742" s="45" t="s">
        <v>270</v>
      </c>
      <c r="J742" s="13" t="s">
        <v>898</v>
      </c>
      <c r="K742" s="13"/>
      <c r="L742" s="1"/>
    </row>
    <row r="743" spans="2:12" ht="15" customHeight="1" x14ac:dyDescent="0.25">
      <c r="B743" s="89" t="s">
        <v>14</v>
      </c>
      <c r="C743" s="112" t="s">
        <v>886</v>
      </c>
      <c r="D743" s="90" t="s">
        <v>899</v>
      </c>
      <c r="E743" s="116" t="str">
        <f t="shared" si="11"/>
        <v>Erva Doce Spray de Ambiente 200ml Frasco</v>
      </c>
      <c r="F743" s="4"/>
      <c r="G743" s="28"/>
      <c r="H743" s="4" t="s">
        <v>31</v>
      </c>
      <c r="I743" s="45" t="s">
        <v>32</v>
      </c>
      <c r="J743" s="13"/>
      <c r="K743" s="13"/>
      <c r="L743" s="1"/>
    </row>
    <row r="744" spans="2:12" ht="15" customHeight="1" x14ac:dyDescent="0.25">
      <c r="B744" s="89" t="s">
        <v>14</v>
      </c>
      <c r="C744" s="112" t="s">
        <v>886</v>
      </c>
      <c r="D744" s="90" t="s">
        <v>899</v>
      </c>
      <c r="E744" s="116" t="str">
        <f t="shared" si="11"/>
        <v>Erva Doce Spray de Ambiente 200ml Refil</v>
      </c>
      <c r="F744" s="4"/>
      <c r="G744" s="28"/>
      <c r="H744" s="4" t="s">
        <v>31</v>
      </c>
      <c r="I744" s="45" t="s">
        <v>183</v>
      </c>
      <c r="J744" s="13"/>
      <c r="K744" s="13"/>
      <c r="L744" s="1"/>
    </row>
    <row r="745" spans="2:12" ht="15" customHeight="1" x14ac:dyDescent="0.25">
      <c r="B745" s="89" t="s">
        <v>14</v>
      </c>
      <c r="C745" s="112" t="s">
        <v>886</v>
      </c>
      <c r="D745" s="90" t="s">
        <v>287</v>
      </c>
      <c r="E745" s="116" t="str">
        <f t="shared" si="11"/>
        <v>Erva Doce Kit Difusor de Ambiente Erva Doce para Casa e Comodos 200ml Frasco</v>
      </c>
      <c r="F745" s="4" t="s">
        <v>900</v>
      </c>
      <c r="G745" s="28"/>
      <c r="H745" s="4" t="s">
        <v>31</v>
      </c>
      <c r="I745" s="45" t="s">
        <v>32</v>
      </c>
      <c r="J745" s="13"/>
      <c r="K745" s="13"/>
      <c r="L745" s="1"/>
    </row>
    <row r="746" spans="2:12" ht="15" customHeight="1" x14ac:dyDescent="0.25">
      <c r="B746" s="89" t="s">
        <v>14</v>
      </c>
      <c r="C746" s="112" t="s">
        <v>886</v>
      </c>
      <c r="D746" s="90" t="s">
        <v>287</v>
      </c>
      <c r="E746" s="116" t="str">
        <f t="shared" si="11"/>
        <v>Erva Doce Kit Difusor de Ambiente Erva Doce para Casa e Comodos 200ml Refil</v>
      </c>
      <c r="F746" s="4" t="s">
        <v>900</v>
      </c>
      <c r="G746" s="28"/>
      <c r="H746" s="4" t="s">
        <v>31</v>
      </c>
      <c r="I746" s="45" t="s">
        <v>183</v>
      </c>
      <c r="J746" s="13"/>
      <c r="K746" s="13"/>
      <c r="L746" s="1"/>
    </row>
    <row r="747" spans="2:12" ht="15" customHeight="1" x14ac:dyDescent="0.25">
      <c r="B747" s="89" t="s">
        <v>14</v>
      </c>
      <c r="C747" s="113" t="s">
        <v>901</v>
      </c>
      <c r="D747" s="85" t="s">
        <v>902</v>
      </c>
      <c r="E747" s="116" t="str">
        <f t="shared" si="11"/>
        <v>Una Deo Parfum Artisan 75ml Frasco</v>
      </c>
      <c r="F747" s="4" t="s">
        <v>903</v>
      </c>
      <c r="G747" s="28"/>
      <c r="H747" s="4" t="s">
        <v>334</v>
      </c>
      <c r="I747" s="45" t="s">
        <v>32</v>
      </c>
      <c r="J747" s="4"/>
      <c r="K747" s="13"/>
      <c r="L747" s="1"/>
    </row>
    <row r="748" spans="2:12" ht="15" customHeight="1" x14ac:dyDescent="0.25">
      <c r="B748" s="89" t="s">
        <v>14</v>
      </c>
      <c r="C748" s="113" t="s">
        <v>901</v>
      </c>
      <c r="D748" s="85" t="s">
        <v>902</v>
      </c>
      <c r="E748" s="116" t="str">
        <f t="shared" si="11"/>
        <v>Una Deo Parfum Blush 75ml Frasco</v>
      </c>
      <c r="F748" s="4" t="s">
        <v>904</v>
      </c>
      <c r="G748" s="28"/>
      <c r="H748" s="4" t="s">
        <v>334</v>
      </c>
      <c r="I748" s="45" t="s">
        <v>32</v>
      </c>
      <c r="J748" s="4"/>
      <c r="K748" s="13"/>
      <c r="L748" s="1"/>
    </row>
    <row r="749" spans="2:12" ht="15" customHeight="1" x14ac:dyDescent="0.25">
      <c r="B749" s="89" t="s">
        <v>14</v>
      </c>
      <c r="C749" s="113" t="s">
        <v>901</v>
      </c>
      <c r="D749" s="85" t="s">
        <v>902</v>
      </c>
      <c r="E749" s="116" t="str">
        <f t="shared" si="11"/>
        <v>Una Deo Parfum Brilho 75ml Frasco</v>
      </c>
      <c r="F749" s="4" t="s">
        <v>905</v>
      </c>
      <c r="G749" s="28"/>
      <c r="H749" s="4" t="s">
        <v>334</v>
      </c>
      <c r="I749" s="45" t="s">
        <v>32</v>
      </c>
      <c r="J749" s="4"/>
      <c r="K749" s="13"/>
      <c r="L749" s="1"/>
    </row>
    <row r="750" spans="2:12" ht="15" customHeight="1" x14ac:dyDescent="0.25">
      <c r="B750" s="89" t="s">
        <v>14</v>
      </c>
      <c r="C750" s="113" t="s">
        <v>901</v>
      </c>
      <c r="D750" s="85" t="s">
        <v>902</v>
      </c>
      <c r="E750" s="116" t="str">
        <f t="shared" si="11"/>
        <v>Una Deo Parfum Infinito 75ml Frasco</v>
      </c>
      <c r="F750" s="4" t="s">
        <v>906</v>
      </c>
      <c r="G750" s="28"/>
      <c r="H750" s="4" t="s">
        <v>334</v>
      </c>
      <c r="I750" s="45" t="s">
        <v>32</v>
      </c>
      <c r="J750" s="4"/>
      <c r="K750" s="13"/>
      <c r="L750" s="1"/>
    </row>
    <row r="751" spans="2:12" ht="15" customHeight="1" x14ac:dyDescent="0.25">
      <c r="B751" s="89" t="s">
        <v>14</v>
      </c>
      <c r="C751" s="113" t="s">
        <v>901</v>
      </c>
      <c r="D751" s="85" t="s">
        <v>902</v>
      </c>
      <c r="E751" s="116" t="str">
        <f t="shared" si="11"/>
        <v>Una Deo Parfum Instinct 75ml Frasco</v>
      </c>
      <c r="F751" s="4" t="s">
        <v>907</v>
      </c>
      <c r="G751" s="28"/>
      <c r="H751" s="4" t="s">
        <v>334</v>
      </c>
      <c r="I751" s="45" t="s">
        <v>32</v>
      </c>
      <c r="J751" s="4"/>
      <c r="K751" s="13"/>
      <c r="L751" s="1"/>
    </row>
    <row r="752" spans="2:12" ht="15" customHeight="1" x14ac:dyDescent="0.25">
      <c r="B752" s="89" t="s">
        <v>14</v>
      </c>
      <c r="C752" s="113" t="s">
        <v>901</v>
      </c>
      <c r="D752" s="85" t="s">
        <v>902</v>
      </c>
      <c r="E752" s="116" t="str">
        <f t="shared" si="11"/>
        <v>Una Deo Parfum Senses 75ml Frasco</v>
      </c>
      <c r="F752" s="4" t="s">
        <v>908</v>
      </c>
      <c r="G752" s="28"/>
      <c r="H752" s="4" t="s">
        <v>334</v>
      </c>
      <c r="I752" s="45" t="s">
        <v>32</v>
      </c>
      <c r="J752" s="13"/>
      <c r="K752" s="13"/>
      <c r="L752" s="1"/>
    </row>
    <row r="753" spans="2:12" ht="15" customHeight="1" x14ac:dyDescent="0.25">
      <c r="B753" s="89" t="s">
        <v>14</v>
      </c>
      <c r="C753" s="113" t="s">
        <v>901</v>
      </c>
      <c r="D753" s="85" t="s">
        <v>902</v>
      </c>
      <c r="E753" s="116" t="str">
        <f t="shared" si="11"/>
        <v>Una Deo Parfum Somos 75ml Frasco</v>
      </c>
      <c r="F753" s="4" t="s">
        <v>909</v>
      </c>
      <c r="G753" s="28"/>
      <c r="H753" s="4" t="s">
        <v>334</v>
      </c>
      <c r="I753" s="45" t="s">
        <v>32</v>
      </c>
      <c r="J753" s="4"/>
      <c r="K753" s="13"/>
      <c r="L753" s="1"/>
    </row>
    <row r="754" spans="2:12" ht="15" customHeight="1" x14ac:dyDescent="0.25">
      <c r="B754" s="89" t="s">
        <v>14</v>
      </c>
      <c r="C754" s="113" t="s">
        <v>910</v>
      </c>
      <c r="D754" s="85" t="s">
        <v>902</v>
      </c>
      <c r="E754" s="116" t="str">
        <f t="shared" si="11"/>
        <v>Una Deo Parfum Una 75ml Frasco</v>
      </c>
      <c r="F754" s="4" t="s">
        <v>910</v>
      </c>
      <c r="G754" s="28"/>
      <c r="H754" s="4" t="s">
        <v>334</v>
      </c>
      <c r="I754" s="45" t="s">
        <v>32</v>
      </c>
      <c r="J754" s="13"/>
      <c r="K754" s="13"/>
      <c r="L754" s="1"/>
    </row>
    <row r="755" spans="2:12" ht="15" customHeight="1" x14ac:dyDescent="0.25">
      <c r="B755" s="89" t="s">
        <v>14</v>
      </c>
      <c r="C755" s="113" t="s">
        <v>901</v>
      </c>
      <c r="D755" s="90" t="s">
        <v>911</v>
      </c>
      <c r="E755" s="116" t="str">
        <f t="shared" si="11"/>
        <v>Una Hidratante Corporal Desodorante Una Artisan 200g Pote</v>
      </c>
      <c r="F755" s="4" t="s">
        <v>912</v>
      </c>
      <c r="G755" s="28"/>
      <c r="H755" s="4" t="s">
        <v>60</v>
      </c>
      <c r="I755" s="45" t="s">
        <v>55</v>
      </c>
      <c r="J755" s="4"/>
      <c r="K755" s="13"/>
      <c r="L755" s="1"/>
    </row>
    <row r="756" spans="2:12" ht="15" customHeight="1" x14ac:dyDescent="0.25">
      <c r="B756" s="89" t="s">
        <v>14</v>
      </c>
      <c r="C756" s="113" t="s">
        <v>901</v>
      </c>
      <c r="D756" s="90" t="s">
        <v>911</v>
      </c>
      <c r="E756" s="116" t="str">
        <f t="shared" si="11"/>
        <v>Una Hidratante Corporal Desodorante Una Somos 75ml Frasco</v>
      </c>
      <c r="F756" s="4" t="s">
        <v>913</v>
      </c>
      <c r="G756" s="28"/>
      <c r="H756" s="4" t="s">
        <v>334</v>
      </c>
      <c r="I756" s="45" t="s">
        <v>32</v>
      </c>
      <c r="J756" s="4"/>
      <c r="K756" s="13"/>
      <c r="L756" s="1"/>
    </row>
    <row r="757" spans="2:12" ht="15" customHeight="1" x14ac:dyDescent="0.25">
      <c r="B757" s="89" t="s">
        <v>14</v>
      </c>
      <c r="C757" s="113" t="s">
        <v>901</v>
      </c>
      <c r="D757" s="90" t="s">
        <v>822</v>
      </c>
      <c r="E757" s="116" t="str">
        <f t="shared" si="11"/>
        <v>Una Sabonete Liquido Una Senses</v>
      </c>
      <c r="F757" s="4" t="s">
        <v>914</v>
      </c>
      <c r="G757" s="28"/>
      <c r="H757" s="4"/>
      <c r="I757" s="45"/>
      <c r="J757" s="4"/>
      <c r="K757" s="13"/>
      <c r="L757" s="1"/>
    </row>
    <row r="758" spans="2:12" s="12" customFormat="1" ht="15" customHeight="1" x14ac:dyDescent="0.25">
      <c r="B758" s="89" t="s">
        <v>14</v>
      </c>
      <c r="C758" s="114" t="s">
        <v>915</v>
      </c>
      <c r="D758" s="96" t="s">
        <v>916</v>
      </c>
      <c r="E758" s="116" t="str">
        <f t="shared" si="11"/>
        <v>Aura Eau de Parfum Alba 75ml Frasco</v>
      </c>
      <c r="F758" s="11" t="s">
        <v>917</v>
      </c>
      <c r="G758" s="28"/>
      <c r="H758" s="11" t="s">
        <v>334</v>
      </c>
      <c r="I758" s="51" t="s">
        <v>32</v>
      </c>
      <c r="J758" s="27" t="s">
        <v>918</v>
      </c>
      <c r="K758" s="27" t="s">
        <v>919</v>
      </c>
      <c r="L758" s="20"/>
    </row>
    <row r="759" spans="2:12" s="12" customFormat="1" ht="15" customHeight="1" x14ac:dyDescent="0.25">
      <c r="B759" s="123" t="s">
        <v>14</v>
      </c>
      <c r="C759" s="124" t="s">
        <v>920</v>
      </c>
      <c r="D759" s="96" t="s">
        <v>921</v>
      </c>
      <c r="E759" s="116" t="str">
        <f t="shared" si="11"/>
        <v>Águas Agua Colonia Flor de Laranjeira 170ml Frasco</v>
      </c>
      <c r="F759" s="11" t="s">
        <v>922</v>
      </c>
      <c r="G759" s="28"/>
      <c r="H759" s="11" t="s">
        <v>923</v>
      </c>
      <c r="I759" s="51" t="s">
        <v>32</v>
      </c>
      <c r="J759" s="27"/>
      <c r="K759" s="27"/>
      <c r="L759" s="20"/>
    </row>
    <row r="760" spans="2:12" s="12" customFormat="1" ht="15" customHeight="1" x14ac:dyDescent="0.25">
      <c r="B760" s="123" t="s">
        <v>14</v>
      </c>
      <c r="C760" s="124" t="s">
        <v>920</v>
      </c>
      <c r="D760" s="96" t="s">
        <v>921</v>
      </c>
      <c r="E760" s="116" t="str">
        <f t="shared" si="11"/>
        <v>Águas Agua Colonia Lavanda 170ml Frasco</v>
      </c>
      <c r="F760" s="11" t="s">
        <v>924</v>
      </c>
      <c r="G760" s="28"/>
      <c r="H760" s="11" t="s">
        <v>923</v>
      </c>
      <c r="I760" s="51" t="s">
        <v>32</v>
      </c>
      <c r="J760" s="27"/>
      <c r="K760" s="27"/>
      <c r="L760" s="20"/>
    </row>
    <row r="761" spans="2:12" s="12" customFormat="1" ht="15" customHeight="1" x14ac:dyDescent="0.25">
      <c r="B761" s="123" t="s">
        <v>14</v>
      </c>
      <c r="C761" s="124" t="s">
        <v>920</v>
      </c>
      <c r="D761" s="96" t="s">
        <v>921</v>
      </c>
      <c r="E761" s="116" t="str">
        <f t="shared" si="11"/>
        <v>Águas Agua Colonia Lirío 170ml Frasco</v>
      </c>
      <c r="F761" s="11" t="s">
        <v>925</v>
      </c>
      <c r="G761" s="28"/>
      <c r="H761" s="11" t="s">
        <v>923</v>
      </c>
      <c r="I761" s="51" t="s">
        <v>32</v>
      </c>
      <c r="J761" s="27"/>
      <c r="K761" s="27"/>
      <c r="L761" s="20"/>
    </row>
    <row r="762" spans="2:12" s="12" customFormat="1" ht="15" customHeight="1" x14ac:dyDescent="0.25">
      <c r="B762" s="123" t="s">
        <v>14</v>
      </c>
      <c r="C762" s="124" t="s">
        <v>920</v>
      </c>
      <c r="D762" s="96" t="s">
        <v>921</v>
      </c>
      <c r="E762" s="116" t="str">
        <f t="shared" si="11"/>
        <v>Águas Agua Colonia Jabuticaba 170ml Frasco</v>
      </c>
      <c r="F762" s="11" t="s">
        <v>926</v>
      </c>
      <c r="G762" s="28"/>
      <c r="H762" s="11" t="s">
        <v>923</v>
      </c>
      <c r="I762" s="51" t="s">
        <v>32</v>
      </c>
      <c r="J762" s="27"/>
      <c r="K762" s="27"/>
      <c r="L762" s="20"/>
    </row>
    <row r="763" spans="2:12" s="12" customFormat="1" ht="15" customHeight="1" x14ac:dyDescent="0.25">
      <c r="B763" s="123" t="s">
        <v>14</v>
      </c>
      <c r="C763" s="124" t="s">
        <v>920</v>
      </c>
      <c r="D763" s="96" t="s">
        <v>921</v>
      </c>
      <c r="E763" s="116" t="str">
        <f t="shared" si="11"/>
        <v>Águas Agua Colonia Violetta 170ml Frasco</v>
      </c>
      <c r="F763" s="11" t="s">
        <v>927</v>
      </c>
      <c r="G763" s="28"/>
      <c r="H763" s="11" t="s">
        <v>923</v>
      </c>
      <c r="I763" s="51" t="s">
        <v>32</v>
      </c>
      <c r="J763" s="27"/>
      <c r="K763" s="27"/>
      <c r="L763" s="20"/>
    </row>
    <row r="764" spans="2:12" s="12" customFormat="1" ht="15" customHeight="1" x14ac:dyDescent="0.25">
      <c r="B764" s="123" t="s">
        <v>14</v>
      </c>
      <c r="C764" s="124" t="s">
        <v>920</v>
      </c>
      <c r="D764" s="96" t="s">
        <v>921</v>
      </c>
      <c r="E764" s="116" t="str">
        <f t="shared" si="11"/>
        <v>Águas Agua Colonia Framboesa 170ml Frasco</v>
      </c>
      <c r="F764" s="11" t="s">
        <v>928</v>
      </c>
      <c r="G764" s="28"/>
      <c r="H764" s="11" t="s">
        <v>923</v>
      </c>
      <c r="I764" s="51" t="s">
        <v>32</v>
      </c>
      <c r="J764" s="27"/>
      <c r="K764" s="27"/>
      <c r="L764" s="20"/>
    </row>
    <row r="765" spans="2:12" s="12" customFormat="1" ht="15" customHeight="1" x14ac:dyDescent="0.25">
      <c r="B765" s="123" t="s">
        <v>14</v>
      </c>
      <c r="C765" s="125" t="s">
        <v>929</v>
      </c>
      <c r="D765" s="130" t="s">
        <v>323</v>
      </c>
      <c r="E765" s="116" t="str">
        <f t="shared" si="11"/>
        <v>Naturé Colonia Catavento Infantil</v>
      </c>
      <c r="F765" s="138" t="s">
        <v>930</v>
      </c>
      <c r="G765" s="28"/>
      <c r="H765" s="11"/>
      <c r="I765" s="51"/>
      <c r="J765" s="27"/>
      <c r="K765" s="27"/>
      <c r="L765" s="20"/>
    </row>
    <row r="766" spans="2:12" s="12" customFormat="1" ht="15" customHeight="1" x14ac:dyDescent="0.25">
      <c r="B766" s="123" t="s">
        <v>14</v>
      </c>
      <c r="C766" s="125" t="s">
        <v>929</v>
      </c>
      <c r="D766" s="130" t="s">
        <v>323</v>
      </c>
      <c r="E766" s="116" t="str">
        <f t="shared" si="11"/>
        <v>Naturé Colonia Corre Corre Infantil</v>
      </c>
      <c r="F766" s="138" t="s">
        <v>931</v>
      </c>
      <c r="G766" s="57"/>
      <c r="H766" s="11"/>
      <c r="I766" s="51"/>
      <c r="J766" s="27"/>
      <c r="K766" s="27"/>
      <c r="L766" s="20"/>
    </row>
    <row r="767" spans="2:12" s="12" customFormat="1" ht="15" customHeight="1" x14ac:dyDescent="0.25">
      <c r="B767" s="123" t="s">
        <v>14</v>
      </c>
      <c r="C767" s="125" t="s">
        <v>929</v>
      </c>
      <c r="D767" s="130" t="s">
        <v>323</v>
      </c>
      <c r="E767" s="116" t="str">
        <f t="shared" si="11"/>
        <v>Naturé Colonia Esconde Esconde Infantil</v>
      </c>
      <c r="F767" s="138" t="s">
        <v>932</v>
      </c>
      <c r="G767" s="57"/>
      <c r="H767" s="11"/>
      <c r="I767" s="51"/>
      <c r="J767" s="27"/>
      <c r="K767" s="27"/>
      <c r="L767" s="20"/>
    </row>
    <row r="768" spans="2:12" s="12" customFormat="1" ht="15" customHeight="1" x14ac:dyDescent="0.25">
      <c r="B768" s="123" t="s">
        <v>14</v>
      </c>
      <c r="C768" s="125" t="s">
        <v>929</v>
      </c>
      <c r="D768" s="130" t="s">
        <v>323</v>
      </c>
      <c r="E768" s="116" t="str">
        <f t="shared" si="11"/>
        <v>Naturé Colonia Pula Pula Infantil</v>
      </c>
      <c r="F768" s="138" t="s">
        <v>933</v>
      </c>
      <c r="G768" s="57"/>
      <c r="H768" s="11"/>
      <c r="I768" s="51"/>
      <c r="J768" s="27"/>
      <c r="K768" s="27"/>
      <c r="L768" s="20"/>
    </row>
    <row r="769" spans="3:12" ht="15" customHeight="1" x14ac:dyDescent="0.25">
      <c r="C769" s="31" t="s">
        <v>934</v>
      </c>
      <c r="D769" s="90"/>
      <c r="E769" s="4"/>
      <c r="F769" s="4" t="s">
        <v>935</v>
      </c>
      <c r="G769" s="55"/>
      <c r="H769" s="4"/>
      <c r="I769" s="45"/>
      <c r="J769" s="13"/>
      <c r="K769" s="13"/>
      <c r="L769" s="1"/>
    </row>
    <row r="770" spans="3:12" ht="15" customHeight="1" x14ac:dyDescent="0.25">
      <c r="C770" s="115"/>
      <c r="D770" s="90" t="s">
        <v>936</v>
      </c>
      <c r="E770" s="4" t="s">
        <v>937</v>
      </c>
      <c r="F770" s="4" t="s">
        <v>938</v>
      </c>
      <c r="G770" s="55"/>
      <c r="H770" s="4"/>
      <c r="I770" s="45"/>
      <c r="J770" s="13"/>
      <c r="K770" s="13"/>
      <c r="L770" s="1"/>
    </row>
    <row r="771" spans="3:12" ht="15" customHeight="1" x14ac:dyDescent="0.25">
      <c r="D771" s="90" t="s">
        <v>939</v>
      </c>
      <c r="E771" s="4" t="s">
        <v>939</v>
      </c>
      <c r="F771" s="4" t="s">
        <v>940</v>
      </c>
      <c r="G771" s="55"/>
      <c r="H771" s="4"/>
      <c r="I771" s="45"/>
      <c r="J771" s="4"/>
      <c r="K771" s="13"/>
      <c r="L771" s="1"/>
    </row>
    <row r="772" spans="3:12" ht="15" customHeight="1" x14ac:dyDescent="0.25">
      <c r="C772" s="115"/>
      <c r="D772" s="90" t="s">
        <v>941</v>
      </c>
      <c r="E772" s="4" t="s">
        <v>941</v>
      </c>
      <c r="F772" s="4" t="s">
        <v>942</v>
      </c>
      <c r="G772" s="55"/>
      <c r="H772" s="4"/>
      <c r="I772" s="45"/>
      <c r="J772" s="13"/>
      <c r="K772" s="13"/>
      <c r="L772" s="1"/>
    </row>
    <row r="773" spans="3:12" ht="15" customHeight="1" x14ac:dyDescent="0.25">
      <c r="C773" s="115"/>
      <c r="D773" s="90" t="s">
        <v>943</v>
      </c>
      <c r="E773" s="4" t="s">
        <v>943</v>
      </c>
      <c r="F773" s="4" t="s">
        <v>944</v>
      </c>
      <c r="G773" s="55"/>
      <c r="H773" s="4"/>
      <c r="I773" s="45"/>
      <c r="J773" s="13"/>
      <c r="K773" s="13"/>
      <c r="L773" s="1"/>
    </row>
    <row r="774" spans="3:12" ht="15" customHeight="1" x14ac:dyDescent="0.25">
      <c r="C774" s="115"/>
      <c r="D774" s="90" t="s">
        <v>945</v>
      </c>
      <c r="E774" s="4" t="s">
        <v>945</v>
      </c>
      <c r="F774" s="4" t="s">
        <v>946</v>
      </c>
      <c r="G774" s="55"/>
      <c r="H774" s="4"/>
      <c r="I774" s="45"/>
      <c r="J774" s="13"/>
      <c r="K774" s="13"/>
      <c r="L774" s="1"/>
    </row>
    <row r="775" spans="3:12" ht="15" customHeight="1" x14ac:dyDescent="0.25">
      <c r="C775" s="115"/>
      <c r="D775" s="90" t="s">
        <v>947</v>
      </c>
      <c r="E775" s="4" t="s">
        <v>948</v>
      </c>
      <c r="F775" s="4" t="s">
        <v>949</v>
      </c>
      <c r="G775" s="55"/>
      <c r="H775" s="4"/>
      <c r="I775" s="45"/>
      <c r="J775" s="13"/>
      <c r="K775" s="13"/>
      <c r="L775" s="1"/>
    </row>
    <row r="776" spans="3:12" ht="15" customHeight="1" x14ac:dyDescent="0.25">
      <c r="C776" s="115"/>
      <c r="D776" s="91"/>
      <c r="E776" s="4" t="s">
        <v>937</v>
      </c>
      <c r="F776" s="4"/>
      <c r="G776" s="55"/>
      <c r="H776" s="4"/>
      <c r="I776" s="45"/>
      <c r="J776" s="4"/>
      <c r="K776" s="13"/>
      <c r="L776" s="1"/>
    </row>
    <row r="777" spans="3:12" ht="15" customHeight="1" x14ac:dyDescent="0.25">
      <c r="C777" s="115"/>
      <c r="D777" s="91"/>
      <c r="E777" s="4" t="s">
        <v>943</v>
      </c>
      <c r="F777" s="4" t="s">
        <v>950</v>
      </c>
      <c r="G777" s="55"/>
      <c r="H777" s="4"/>
      <c r="I777" s="45"/>
      <c r="J777" s="13"/>
      <c r="K777" s="13"/>
      <c r="L777" s="1"/>
    </row>
    <row r="778" spans="3:12" ht="15" customHeight="1" x14ac:dyDescent="0.25">
      <c r="C778" s="90"/>
      <c r="D778" s="91"/>
      <c r="E778" s="4"/>
      <c r="F778" s="4"/>
      <c r="G778" s="56"/>
      <c r="H778" s="4"/>
      <c r="I778" s="48"/>
      <c r="J778" s="13"/>
      <c r="K778" s="13"/>
      <c r="L778" s="1"/>
    </row>
    <row r="779" spans="3:12" ht="15" customHeight="1" x14ac:dyDescent="0.25">
      <c r="C779" s="90"/>
      <c r="E779" s="26"/>
      <c r="F779" s="26"/>
      <c r="H779" s="4"/>
    </row>
    <row r="780" spans="3:12" ht="15" customHeight="1" x14ac:dyDescent="0.25">
      <c r="E780" s="26"/>
      <c r="F780" s="26"/>
      <c r="H780" s="4"/>
    </row>
    <row r="781" spans="3:12" ht="15" customHeight="1" x14ac:dyDescent="0.25">
      <c r="E781" s="26"/>
      <c r="F781" s="26"/>
      <c r="H781" s="4"/>
    </row>
    <row r="782" spans="3:12" ht="15" customHeight="1" x14ac:dyDescent="0.25">
      <c r="E782" s="26"/>
      <c r="F782" s="26"/>
      <c r="H782" s="4"/>
    </row>
    <row r="783" spans="3:12" ht="15" customHeight="1" x14ac:dyDescent="0.25">
      <c r="E783" s="26"/>
      <c r="F783" s="26"/>
      <c r="H783" s="4"/>
    </row>
    <row r="784" spans="3:12" ht="15" customHeight="1" x14ac:dyDescent="0.25">
      <c r="E784" s="26"/>
      <c r="F784" s="26"/>
      <c r="H784" s="4"/>
    </row>
    <row r="785" spans="5:6" ht="15" customHeight="1" x14ac:dyDescent="0.25">
      <c r="E785" s="26"/>
      <c r="F785" s="26"/>
    </row>
    <row r="786" spans="5:6" ht="15" customHeight="1" x14ac:dyDescent="0.25">
      <c r="E786" s="26"/>
      <c r="F786" s="26"/>
    </row>
    <row r="787" spans="5:6" ht="15" customHeight="1" x14ac:dyDescent="0.25">
      <c r="E787" s="26"/>
      <c r="F787" s="26"/>
    </row>
    <row r="788" spans="5:6" ht="15" customHeight="1" x14ac:dyDescent="0.25">
      <c r="E788" s="26"/>
      <c r="F788" s="26"/>
    </row>
    <row r="789" spans="5:6" ht="15" customHeight="1" x14ac:dyDescent="0.25">
      <c r="E789" s="26"/>
      <c r="F789" s="26"/>
    </row>
    <row r="790" spans="5:6" ht="15" customHeight="1" x14ac:dyDescent="0.25">
      <c r="E790" s="26"/>
      <c r="F790" s="26"/>
    </row>
    <row r="791" spans="5:6" ht="15" customHeight="1" x14ac:dyDescent="0.25">
      <c r="E791" s="26"/>
      <c r="F791" s="26"/>
    </row>
    <row r="792" spans="5:6" ht="15" customHeight="1" x14ac:dyDescent="0.25">
      <c r="E792" s="26"/>
      <c r="F792" s="26"/>
    </row>
    <row r="793" spans="5:6" ht="15" customHeight="1" x14ac:dyDescent="0.25">
      <c r="E793" s="26"/>
      <c r="F793" s="26"/>
    </row>
    <row r="794" spans="5:6" ht="15" customHeight="1" x14ac:dyDescent="0.25">
      <c r="E794" s="26"/>
      <c r="F794" s="26"/>
    </row>
    <row r="795" spans="5:6" ht="15" customHeight="1" x14ac:dyDescent="0.25">
      <c r="E795" s="26"/>
      <c r="F795" s="26"/>
    </row>
    <row r="796" spans="5:6" ht="15" customHeight="1" x14ac:dyDescent="0.25">
      <c r="E796" s="26"/>
      <c r="F796" s="26"/>
    </row>
    <row r="797" spans="5:6" ht="15" customHeight="1" x14ac:dyDescent="0.25">
      <c r="E797" s="26"/>
      <c r="F797" s="26"/>
    </row>
    <row r="798" spans="5:6" ht="15" customHeight="1" x14ac:dyDescent="0.25">
      <c r="E798" s="26"/>
      <c r="F798" s="26"/>
    </row>
    <row r="799" spans="5:6" ht="15" customHeight="1" x14ac:dyDescent="0.25">
      <c r="E799" s="26"/>
      <c r="F799" s="26"/>
    </row>
    <row r="800" spans="5:6" ht="15" customHeight="1" x14ac:dyDescent="0.25">
      <c r="E800" s="26"/>
      <c r="F800" s="26"/>
    </row>
    <row r="801" spans="5:6" ht="15" customHeight="1" x14ac:dyDescent="0.25">
      <c r="E801" s="26"/>
      <c r="F801" s="26"/>
    </row>
    <row r="802" spans="5:6" ht="15" customHeight="1" x14ac:dyDescent="0.25">
      <c r="E802" s="26"/>
      <c r="F802" s="26"/>
    </row>
    <row r="803" spans="5:6" ht="15" customHeight="1" x14ac:dyDescent="0.25">
      <c r="E803" s="26"/>
      <c r="F803" s="26"/>
    </row>
    <row r="804" spans="5:6" ht="15" customHeight="1" x14ac:dyDescent="0.25">
      <c r="E804" s="26"/>
      <c r="F804" s="26"/>
    </row>
    <row r="805" spans="5:6" ht="15" customHeight="1" x14ac:dyDescent="0.25">
      <c r="E805" s="26"/>
      <c r="F805" s="26"/>
    </row>
    <row r="806" spans="5:6" ht="15" customHeight="1" x14ac:dyDescent="0.25">
      <c r="E806" s="26"/>
      <c r="F806" s="26"/>
    </row>
    <row r="807" spans="5:6" ht="15" customHeight="1" x14ac:dyDescent="0.25">
      <c r="E807" s="26"/>
      <c r="F807" s="26"/>
    </row>
    <row r="808" spans="5:6" ht="15" customHeight="1" x14ac:dyDescent="0.25">
      <c r="E808" s="26"/>
      <c r="F808" s="26"/>
    </row>
    <row r="809" spans="5:6" ht="15" customHeight="1" x14ac:dyDescent="0.25">
      <c r="E809" s="26"/>
      <c r="F809" s="26"/>
    </row>
    <row r="810" spans="5:6" ht="15" customHeight="1" x14ac:dyDescent="0.25">
      <c r="E810" s="26"/>
      <c r="F810" s="26"/>
    </row>
    <row r="811" spans="5:6" ht="15" customHeight="1" x14ac:dyDescent="0.25">
      <c r="E811" s="26"/>
      <c r="F811" s="26"/>
    </row>
    <row r="812" spans="5:6" ht="15" customHeight="1" x14ac:dyDescent="0.25">
      <c r="E812" s="26"/>
      <c r="F812" s="26"/>
    </row>
    <row r="813" spans="5:6" ht="15" customHeight="1" x14ac:dyDescent="0.25">
      <c r="E813" s="26"/>
      <c r="F813" s="26"/>
    </row>
    <row r="814" spans="5:6" ht="15" customHeight="1" x14ac:dyDescent="0.25">
      <c r="E814" s="26"/>
      <c r="F814" s="26"/>
    </row>
    <row r="815" spans="5:6" ht="15" customHeight="1" x14ac:dyDescent="0.25">
      <c r="E815" s="26"/>
      <c r="F815" s="26"/>
    </row>
    <row r="816" spans="5:6" ht="15" customHeight="1" x14ac:dyDescent="0.25">
      <c r="E816" s="26"/>
      <c r="F816" s="26"/>
    </row>
    <row r="817" spans="5:6" ht="15" customHeight="1" x14ac:dyDescent="0.25">
      <c r="E817" s="26"/>
      <c r="F817" s="26"/>
    </row>
    <row r="818" spans="5:6" ht="15" customHeight="1" x14ac:dyDescent="0.25">
      <c r="E818" s="26"/>
      <c r="F818" s="26"/>
    </row>
    <row r="819" spans="5:6" ht="15" customHeight="1" x14ac:dyDescent="0.25">
      <c r="E819" s="26"/>
      <c r="F819" s="26"/>
    </row>
    <row r="820" spans="5:6" ht="15" customHeight="1" x14ac:dyDescent="0.25">
      <c r="E820" s="26"/>
      <c r="F820" s="26"/>
    </row>
    <row r="821" spans="5:6" ht="15" customHeight="1" x14ac:dyDescent="0.25">
      <c r="E821" s="26"/>
      <c r="F821" s="26"/>
    </row>
    <row r="822" spans="5:6" ht="15" customHeight="1" x14ac:dyDescent="0.25">
      <c r="E822" s="26"/>
      <c r="F822" s="26"/>
    </row>
    <row r="823" spans="5:6" ht="15" customHeight="1" x14ac:dyDescent="0.25">
      <c r="E823" s="26"/>
      <c r="F823" s="26"/>
    </row>
    <row r="824" spans="5:6" ht="15" customHeight="1" x14ac:dyDescent="0.25">
      <c r="E824" s="26"/>
      <c r="F824" s="26"/>
    </row>
    <row r="825" spans="5:6" ht="15" customHeight="1" x14ac:dyDescent="0.25">
      <c r="E825" s="26"/>
      <c r="F825" s="26"/>
    </row>
    <row r="826" spans="5:6" ht="15" customHeight="1" x14ac:dyDescent="0.25">
      <c r="E826" s="26"/>
      <c r="F826" s="26"/>
    </row>
    <row r="827" spans="5:6" ht="15" customHeight="1" x14ac:dyDescent="0.25">
      <c r="E827" s="26"/>
      <c r="F827" s="26"/>
    </row>
    <row r="828" spans="5:6" ht="15" customHeight="1" x14ac:dyDescent="0.25">
      <c r="E828" s="26"/>
      <c r="F828" s="26"/>
    </row>
    <row r="829" spans="5:6" ht="15" customHeight="1" x14ac:dyDescent="0.25">
      <c r="E829" s="26"/>
      <c r="F829" s="26"/>
    </row>
    <row r="830" spans="5:6" ht="15" customHeight="1" x14ac:dyDescent="0.25">
      <c r="E830" s="26"/>
      <c r="F830" s="26"/>
    </row>
    <row r="831" spans="5:6" ht="15" customHeight="1" x14ac:dyDescent="0.25">
      <c r="E831" s="26"/>
      <c r="F831" s="26"/>
    </row>
    <row r="832" spans="5:6" ht="15" customHeight="1" x14ac:dyDescent="0.25">
      <c r="E832" s="26"/>
      <c r="F832" s="26"/>
    </row>
    <row r="833" spans="5:6" ht="15" customHeight="1" x14ac:dyDescent="0.25">
      <c r="E833" s="26"/>
      <c r="F833" s="26"/>
    </row>
    <row r="834" spans="5:6" ht="15" customHeight="1" x14ac:dyDescent="0.25">
      <c r="E834" s="26"/>
      <c r="F834" s="26"/>
    </row>
    <row r="835" spans="5:6" ht="15" customHeight="1" x14ac:dyDescent="0.25">
      <c r="E835" s="26"/>
      <c r="F835" s="26"/>
    </row>
    <row r="836" spans="5:6" ht="15" customHeight="1" x14ac:dyDescent="0.25">
      <c r="E836" s="26"/>
      <c r="F836" s="26"/>
    </row>
    <row r="837" spans="5:6" ht="15" customHeight="1" x14ac:dyDescent="0.25">
      <c r="E837" s="26"/>
      <c r="F837" s="26"/>
    </row>
    <row r="838" spans="5:6" ht="15" customHeight="1" x14ac:dyDescent="0.25">
      <c r="E838" s="26"/>
      <c r="F838" s="26"/>
    </row>
    <row r="839" spans="5:6" ht="15" customHeight="1" x14ac:dyDescent="0.25">
      <c r="E839" s="26"/>
      <c r="F839" s="26"/>
    </row>
    <row r="840" spans="5:6" ht="15" customHeight="1" x14ac:dyDescent="0.25">
      <c r="E840" s="26"/>
      <c r="F840" s="26"/>
    </row>
    <row r="841" spans="5:6" ht="15" customHeight="1" x14ac:dyDescent="0.25">
      <c r="E841" s="26"/>
      <c r="F841" s="26"/>
    </row>
    <row r="842" spans="5:6" ht="15" customHeight="1" x14ac:dyDescent="0.25">
      <c r="E842" s="26"/>
      <c r="F842" s="26"/>
    </row>
    <row r="843" spans="5:6" ht="15" customHeight="1" x14ac:dyDescent="0.25">
      <c r="E843" s="26"/>
      <c r="F843" s="26"/>
    </row>
    <row r="844" spans="5:6" ht="15" customHeight="1" x14ac:dyDescent="0.25">
      <c r="E844" s="26"/>
      <c r="F844" s="26"/>
    </row>
    <row r="845" spans="5:6" ht="15" customHeight="1" x14ac:dyDescent="0.25">
      <c r="E845" s="26"/>
      <c r="F845" s="26"/>
    </row>
    <row r="846" spans="5:6" ht="15" customHeight="1" x14ac:dyDescent="0.25">
      <c r="E846" s="26"/>
      <c r="F846" s="26"/>
    </row>
    <row r="847" spans="5:6" ht="15" customHeight="1" x14ac:dyDescent="0.25">
      <c r="E847" s="26"/>
      <c r="F847" s="26"/>
    </row>
    <row r="848" spans="5:6" ht="15" customHeight="1" x14ac:dyDescent="0.25">
      <c r="E848" s="26"/>
      <c r="F848" s="26"/>
    </row>
    <row r="849" spans="5:6" ht="15" customHeight="1" x14ac:dyDescent="0.25">
      <c r="E849" s="26"/>
      <c r="F849" s="26"/>
    </row>
    <row r="850" spans="5:6" ht="15" customHeight="1" x14ac:dyDescent="0.25">
      <c r="E850" s="26"/>
      <c r="F850" s="26"/>
    </row>
    <row r="851" spans="5:6" ht="15" customHeight="1" x14ac:dyDescent="0.25">
      <c r="E851" s="26"/>
      <c r="F851" s="26"/>
    </row>
    <row r="852" spans="5:6" ht="15" customHeight="1" x14ac:dyDescent="0.25">
      <c r="E852" s="26"/>
      <c r="F852" s="26"/>
    </row>
    <row r="853" spans="5:6" ht="15" customHeight="1" x14ac:dyDescent="0.25">
      <c r="E853" s="26"/>
      <c r="F853" s="26"/>
    </row>
    <row r="854" spans="5:6" ht="15" customHeight="1" x14ac:dyDescent="0.25">
      <c r="E854" s="26"/>
      <c r="F854" s="26"/>
    </row>
    <row r="855" spans="5:6" ht="15" customHeight="1" x14ac:dyDescent="0.25">
      <c r="E855" s="26"/>
      <c r="F855" s="26"/>
    </row>
    <row r="856" spans="5:6" ht="15" customHeight="1" x14ac:dyDescent="0.25">
      <c r="E856" s="26"/>
      <c r="F856" s="26"/>
    </row>
    <row r="857" spans="5:6" ht="15" customHeight="1" x14ac:dyDescent="0.25">
      <c r="E857" s="26"/>
      <c r="F857" s="26"/>
    </row>
    <row r="858" spans="5:6" ht="15" customHeight="1" x14ac:dyDescent="0.25">
      <c r="E858" s="26"/>
      <c r="F858" s="26"/>
    </row>
    <row r="859" spans="5:6" ht="15" customHeight="1" x14ac:dyDescent="0.25">
      <c r="E859" s="26"/>
      <c r="F859" s="26"/>
    </row>
    <row r="860" spans="5:6" ht="15" customHeight="1" x14ac:dyDescent="0.25">
      <c r="E860" s="26"/>
      <c r="F860" s="26"/>
    </row>
    <row r="861" spans="5:6" ht="15" customHeight="1" x14ac:dyDescent="0.25">
      <c r="E861" s="26"/>
      <c r="F861" s="26"/>
    </row>
    <row r="862" spans="5:6" ht="15" customHeight="1" x14ac:dyDescent="0.25">
      <c r="E862" s="26"/>
      <c r="F862" s="26"/>
    </row>
    <row r="863" spans="5:6" ht="15" customHeight="1" x14ac:dyDescent="0.25">
      <c r="E863" s="26"/>
      <c r="F863" s="26"/>
    </row>
    <row r="864" spans="5:6" ht="15" customHeight="1" x14ac:dyDescent="0.25">
      <c r="E864" s="26"/>
      <c r="F864" s="26"/>
    </row>
    <row r="865" spans="5:6" ht="15" customHeight="1" x14ac:dyDescent="0.25">
      <c r="E865" s="26"/>
      <c r="F865" s="26"/>
    </row>
    <row r="866" spans="5:6" ht="15" customHeight="1" x14ac:dyDescent="0.25">
      <c r="E866" s="26"/>
      <c r="F866" s="26"/>
    </row>
    <row r="867" spans="5:6" ht="15" customHeight="1" x14ac:dyDescent="0.25">
      <c r="E867" s="26"/>
      <c r="F867" s="26"/>
    </row>
    <row r="868" spans="5:6" ht="15" customHeight="1" x14ac:dyDescent="0.25">
      <c r="E868" s="26"/>
      <c r="F868" s="26"/>
    </row>
    <row r="869" spans="5:6" ht="15" customHeight="1" x14ac:dyDescent="0.25">
      <c r="E869" s="26"/>
      <c r="F869" s="26"/>
    </row>
    <row r="870" spans="5:6" ht="15" customHeight="1" x14ac:dyDescent="0.25">
      <c r="E870" s="26"/>
      <c r="F870" s="26"/>
    </row>
    <row r="871" spans="5:6" ht="15" customHeight="1" x14ac:dyDescent="0.25">
      <c r="E871" s="26"/>
      <c r="F871" s="26"/>
    </row>
    <row r="872" spans="5:6" ht="15" customHeight="1" x14ac:dyDescent="0.25">
      <c r="E872" s="26"/>
      <c r="F872" s="26"/>
    </row>
    <row r="873" spans="5:6" ht="15" customHeight="1" x14ac:dyDescent="0.25">
      <c r="E873" s="26"/>
      <c r="F873" s="26"/>
    </row>
    <row r="874" spans="5:6" ht="15" customHeight="1" x14ac:dyDescent="0.25">
      <c r="E874" s="26"/>
      <c r="F874" s="26"/>
    </row>
    <row r="875" spans="5:6" ht="15" customHeight="1" x14ac:dyDescent="0.25">
      <c r="E875" s="26"/>
      <c r="F875" s="26"/>
    </row>
    <row r="876" spans="5:6" ht="15" customHeight="1" x14ac:dyDescent="0.25">
      <c r="E876" s="26"/>
      <c r="F876" s="26"/>
    </row>
    <row r="877" spans="5:6" ht="15" customHeight="1" x14ac:dyDescent="0.25">
      <c r="E877" s="26"/>
      <c r="F877" s="26"/>
    </row>
    <row r="878" spans="5:6" ht="15" customHeight="1" x14ac:dyDescent="0.25">
      <c r="E878" s="26"/>
      <c r="F878" s="26"/>
    </row>
    <row r="879" spans="5:6" ht="15" customHeight="1" x14ac:dyDescent="0.25">
      <c r="E879" s="26"/>
      <c r="F879" s="26"/>
    </row>
    <row r="880" spans="5:6" ht="15" customHeight="1" x14ac:dyDescent="0.25">
      <c r="E880" s="26"/>
      <c r="F880" s="26"/>
    </row>
    <row r="881" spans="5:6" ht="15" customHeight="1" x14ac:dyDescent="0.25">
      <c r="E881" s="26"/>
      <c r="F881" s="26"/>
    </row>
    <row r="882" spans="5:6" ht="15" customHeight="1" x14ac:dyDescent="0.25">
      <c r="E882" s="26"/>
      <c r="F882" s="26"/>
    </row>
    <row r="883" spans="5:6" ht="15" customHeight="1" x14ac:dyDescent="0.25">
      <c r="E883" s="26"/>
      <c r="F883" s="26"/>
    </row>
    <row r="884" spans="5:6" ht="15" customHeight="1" x14ac:dyDescent="0.25">
      <c r="E884" s="26"/>
      <c r="F884" s="26"/>
    </row>
    <row r="885" spans="5:6" ht="15" customHeight="1" x14ac:dyDescent="0.25">
      <c r="E885" s="26"/>
      <c r="F885" s="26"/>
    </row>
    <row r="886" spans="5:6" ht="15" customHeight="1" x14ac:dyDescent="0.25">
      <c r="E886" s="26"/>
      <c r="F886" s="26"/>
    </row>
    <row r="887" spans="5:6" ht="15" customHeight="1" x14ac:dyDescent="0.25">
      <c r="E887" s="26"/>
      <c r="F887" s="26"/>
    </row>
    <row r="888" spans="5:6" ht="15" customHeight="1" x14ac:dyDescent="0.25">
      <c r="E888" s="26"/>
      <c r="F888" s="26"/>
    </row>
    <row r="889" spans="5:6" ht="15" customHeight="1" x14ac:dyDescent="0.25">
      <c r="E889" s="26"/>
      <c r="F889" s="26"/>
    </row>
    <row r="890" spans="5:6" ht="15" customHeight="1" x14ac:dyDescent="0.25">
      <c r="E890" s="26"/>
      <c r="F890" s="26"/>
    </row>
    <row r="891" spans="5:6" ht="15" customHeight="1" x14ac:dyDescent="0.25">
      <c r="E891" s="26"/>
      <c r="F891" s="26"/>
    </row>
    <row r="892" spans="5:6" ht="15" customHeight="1" x14ac:dyDescent="0.25">
      <c r="E892" s="26"/>
      <c r="F892" s="26"/>
    </row>
    <row r="893" spans="5:6" ht="15" customHeight="1" x14ac:dyDescent="0.25">
      <c r="E893" s="26"/>
      <c r="F893" s="26"/>
    </row>
    <row r="894" spans="5:6" ht="15" customHeight="1" x14ac:dyDescent="0.25">
      <c r="E894" s="26"/>
      <c r="F894" s="26"/>
    </row>
    <row r="895" spans="5:6" ht="15" customHeight="1" x14ac:dyDescent="0.25">
      <c r="E895" s="26"/>
      <c r="F895" s="26"/>
    </row>
    <row r="896" spans="5:6" ht="15" customHeight="1" x14ac:dyDescent="0.25">
      <c r="E896" s="26"/>
      <c r="F896" s="26"/>
    </row>
    <row r="897" spans="5:6" ht="15" customHeight="1" x14ac:dyDescent="0.25">
      <c r="E897" s="26"/>
      <c r="F897" s="26"/>
    </row>
    <row r="898" spans="5:6" ht="15" customHeight="1" x14ac:dyDescent="0.25">
      <c r="E898" s="26"/>
      <c r="F898" s="26"/>
    </row>
    <row r="899" spans="5:6" ht="15" customHeight="1" x14ac:dyDescent="0.25">
      <c r="E899" s="26"/>
      <c r="F899" s="26"/>
    </row>
    <row r="900" spans="5:6" ht="15" customHeight="1" x14ac:dyDescent="0.25">
      <c r="E900" s="26"/>
      <c r="F900" s="26"/>
    </row>
    <row r="901" spans="5:6" ht="15" customHeight="1" x14ac:dyDescent="0.25">
      <c r="E901" s="26"/>
      <c r="F901" s="26"/>
    </row>
    <row r="902" spans="5:6" ht="15" customHeight="1" x14ac:dyDescent="0.25">
      <c r="E902" s="26"/>
      <c r="F902" s="26"/>
    </row>
    <row r="903" spans="5:6" ht="15" customHeight="1" x14ac:dyDescent="0.25">
      <c r="E903" s="26"/>
      <c r="F903" s="26"/>
    </row>
    <row r="904" spans="5:6" ht="15" customHeight="1" x14ac:dyDescent="0.25">
      <c r="E904" s="26"/>
      <c r="F904" s="26"/>
    </row>
    <row r="905" spans="5:6" ht="15" customHeight="1" x14ac:dyDescent="0.25">
      <c r="E905" s="26"/>
      <c r="F905" s="26"/>
    </row>
    <row r="906" spans="5:6" ht="15" customHeight="1" x14ac:dyDescent="0.25">
      <c r="E906" s="26"/>
      <c r="F906" s="26"/>
    </row>
    <row r="907" spans="5:6" ht="15" customHeight="1" x14ac:dyDescent="0.25">
      <c r="E907" s="26"/>
      <c r="F907" s="26"/>
    </row>
    <row r="908" spans="5:6" ht="15" customHeight="1" x14ac:dyDescent="0.25">
      <c r="E908" s="26"/>
      <c r="F908" s="26"/>
    </row>
    <row r="909" spans="5:6" ht="15" customHeight="1" x14ac:dyDescent="0.25">
      <c r="E909" s="26"/>
      <c r="F909" s="26"/>
    </row>
    <row r="910" spans="5:6" ht="15" customHeight="1" x14ac:dyDescent="0.25">
      <c r="E910" s="26"/>
      <c r="F910" s="26"/>
    </row>
    <row r="911" spans="5:6" ht="15" customHeight="1" x14ac:dyDescent="0.25">
      <c r="E911" s="26"/>
      <c r="F911" s="26"/>
    </row>
    <row r="912" spans="5:6" ht="15" customHeight="1" x14ac:dyDescent="0.25">
      <c r="E912" s="26"/>
      <c r="F912" s="26"/>
    </row>
    <row r="913" spans="5:6" ht="15" customHeight="1" x14ac:dyDescent="0.25">
      <c r="E913" s="26"/>
      <c r="F913" s="26"/>
    </row>
    <row r="914" spans="5:6" ht="15" customHeight="1" x14ac:dyDescent="0.25">
      <c r="E914" s="26"/>
      <c r="F914" s="26"/>
    </row>
    <row r="915" spans="5:6" ht="15" customHeight="1" x14ac:dyDescent="0.25">
      <c r="E915" s="26"/>
      <c r="F915" s="26"/>
    </row>
    <row r="916" spans="5:6" ht="15" customHeight="1" x14ac:dyDescent="0.25">
      <c r="E916" s="26"/>
      <c r="F916" s="26"/>
    </row>
    <row r="917" spans="5:6" ht="15" customHeight="1" x14ac:dyDescent="0.25">
      <c r="E917" s="26"/>
      <c r="F917" s="26"/>
    </row>
    <row r="918" spans="5:6" ht="15" customHeight="1" x14ac:dyDescent="0.25">
      <c r="E918" s="26"/>
      <c r="F918" s="26"/>
    </row>
    <row r="919" spans="5:6" ht="15" customHeight="1" x14ac:dyDescent="0.25">
      <c r="E919" s="26"/>
      <c r="F919" s="26"/>
    </row>
    <row r="920" spans="5:6" ht="15" customHeight="1" x14ac:dyDescent="0.25">
      <c r="E920" s="26"/>
      <c r="F920" s="26"/>
    </row>
    <row r="921" spans="5:6" ht="15" customHeight="1" x14ac:dyDescent="0.25">
      <c r="E921" s="26"/>
      <c r="F921" s="26"/>
    </row>
    <row r="922" spans="5:6" ht="15" customHeight="1" x14ac:dyDescent="0.25">
      <c r="E922" s="26"/>
      <c r="F922" s="26"/>
    </row>
    <row r="923" spans="5:6" ht="15" customHeight="1" x14ac:dyDescent="0.25">
      <c r="E923" s="26"/>
      <c r="F923" s="26"/>
    </row>
    <row r="924" spans="5:6" ht="15" customHeight="1" x14ac:dyDescent="0.25">
      <c r="E924" s="26"/>
      <c r="F924" s="26"/>
    </row>
    <row r="925" spans="5:6" ht="15" customHeight="1" x14ac:dyDescent="0.25">
      <c r="E925" s="26"/>
      <c r="F925" s="26"/>
    </row>
    <row r="926" spans="5:6" ht="15" customHeight="1" x14ac:dyDescent="0.25">
      <c r="E926" s="26"/>
      <c r="F926" s="26"/>
    </row>
    <row r="927" spans="5:6" ht="15" customHeight="1" x14ac:dyDescent="0.25">
      <c r="E927" s="26"/>
      <c r="F927" s="26"/>
    </row>
    <row r="928" spans="5:6" ht="15" customHeight="1" x14ac:dyDescent="0.25">
      <c r="E928" s="26"/>
      <c r="F928" s="26"/>
    </row>
    <row r="929" spans="5:6" ht="15" customHeight="1" x14ac:dyDescent="0.25">
      <c r="E929" s="26"/>
      <c r="F929" s="26"/>
    </row>
    <row r="930" spans="5:6" ht="15" customHeight="1" x14ac:dyDescent="0.25">
      <c r="E930" s="26"/>
      <c r="F930" s="26"/>
    </row>
    <row r="931" spans="5:6" ht="15" customHeight="1" x14ac:dyDescent="0.25">
      <c r="E931" s="26"/>
      <c r="F931" s="26"/>
    </row>
    <row r="932" spans="5:6" ht="15" customHeight="1" x14ac:dyDescent="0.25">
      <c r="E932" s="26"/>
      <c r="F932" s="26"/>
    </row>
    <row r="933" spans="5:6" ht="15" customHeight="1" x14ac:dyDescent="0.25">
      <c r="E933" s="26"/>
      <c r="F933" s="26"/>
    </row>
    <row r="934" spans="5:6" ht="15" customHeight="1" x14ac:dyDescent="0.25">
      <c r="E934" s="26"/>
      <c r="F934" s="26"/>
    </row>
    <row r="935" spans="5:6" ht="15" customHeight="1" x14ac:dyDescent="0.25">
      <c r="E935" s="26"/>
      <c r="F935" s="26"/>
    </row>
    <row r="936" spans="5:6" ht="15" customHeight="1" x14ac:dyDescent="0.25">
      <c r="E936" s="26"/>
      <c r="F936" s="26"/>
    </row>
    <row r="937" spans="5:6" ht="15" customHeight="1" x14ac:dyDescent="0.25">
      <c r="E937" s="26"/>
      <c r="F937" s="26"/>
    </row>
    <row r="938" spans="5:6" ht="15" customHeight="1" x14ac:dyDescent="0.25">
      <c r="E938" s="26"/>
      <c r="F938" s="26"/>
    </row>
    <row r="939" spans="5:6" ht="15" customHeight="1" x14ac:dyDescent="0.25">
      <c r="E939" s="26"/>
      <c r="F939" s="26"/>
    </row>
    <row r="940" spans="5:6" ht="15" customHeight="1" x14ac:dyDescent="0.25">
      <c r="E940" s="26"/>
      <c r="F940" s="26"/>
    </row>
    <row r="941" spans="5:6" ht="15" customHeight="1" x14ac:dyDescent="0.25">
      <c r="E941" s="26"/>
      <c r="F941" s="26"/>
    </row>
    <row r="942" spans="5:6" ht="15" customHeight="1" x14ac:dyDescent="0.25">
      <c r="E942" s="26"/>
      <c r="F942" s="26"/>
    </row>
    <row r="943" spans="5:6" ht="15" customHeight="1" x14ac:dyDescent="0.25">
      <c r="E943" s="26"/>
      <c r="F943" s="26"/>
    </row>
    <row r="944" spans="5:6" ht="15" customHeight="1" x14ac:dyDescent="0.25">
      <c r="E944" s="26"/>
      <c r="F944" s="26"/>
    </row>
    <row r="945" spans="5:6" ht="15" customHeight="1" x14ac:dyDescent="0.25">
      <c r="E945" s="26"/>
      <c r="F945" s="26"/>
    </row>
    <row r="946" spans="5:6" ht="15" customHeight="1" x14ac:dyDescent="0.25">
      <c r="E946" s="26"/>
      <c r="F946" s="26"/>
    </row>
    <row r="947" spans="5:6" ht="15" customHeight="1" x14ac:dyDescent="0.25">
      <c r="E947" s="26"/>
      <c r="F947" s="26"/>
    </row>
    <row r="948" spans="5:6" ht="15" customHeight="1" x14ac:dyDescent="0.25">
      <c r="E948" s="26"/>
      <c r="F948" s="26"/>
    </row>
    <row r="949" spans="5:6" ht="15" customHeight="1" x14ac:dyDescent="0.25">
      <c r="E949" s="26"/>
      <c r="F949" s="26"/>
    </row>
    <row r="950" spans="5:6" ht="15" customHeight="1" x14ac:dyDescent="0.25">
      <c r="E950" s="26"/>
      <c r="F950" s="26"/>
    </row>
    <row r="951" spans="5:6" ht="15" customHeight="1" x14ac:dyDescent="0.25">
      <c r="E951" s="26"/>
      <c r="F951" s="26"/>
    </row>
    <row r="952" spans="5:6" ht="15" customHeight="1" x14ac:dyDescent="0.25">
      <c r="E952" s="26"/>
      <c r="F952" s="26"/>
    </row>
    <row r="953" spans="5:6" ht="15" customHeight="1" x14ac:dyDescent="0.25">
      <c r="E953" s="26"/>
      <c r="F953" s="26"/>
    </row>
    <row r="954" spans="5:6" ht="15" customHeight="1" x14ac:dyDescent="0.25">
      <c r="E954" s="26"/>
      <c r="F954" s="26"/>
    </row>
    <row r="955" spans="5:6" ht="15" customHeight="1" x14ac:dyDescent="0.25">
      <c r="E955" s="26"/>
      <c r="F955" s="26"/>
    </row>
    <row r="956" spans="5:6" ht="15" customHeight="1" x14ac:dyDescent="0.25">
      <c r="E956" s="26"/>
      <c r="F956" s="26"/>
    </row>
    <row r="957" spans="5:6" ht="15" customHeight="1" x14ac:dyDescent="0.25">
      <c r="E957" s="26"/>
      <c r="F957" s="26"/>
    </row>
    <row r="958" spans="5:6" ht="15" customHeight="1" x14ac:dyDescent="0.25">
      <c r="E958" s="26"/>
      <c r="F958" s="26"/>
    </row>
    <row r="959" spans="5:6" ht="15" customHeight="1" x14ac:dyDescent="0.25">
      <c r="E959" s="26"/>
      <c r="F959" s="26"/>
    </row>
    <row r="960" spans="5:6" ht="15" customHeight="1" x14ac:dyDescent="0.25">
      <c r="E960" s="26"/>
      <c r="F960" s="26"/>
    </row>
    <row r="961" spans="5:6" ht="15" customHeight="1" x14ac:dyDescent="0.25">
      <c r="E961" s="26"/>
      <c r="F961" s="26"/>
    </row>
    <row r="962" spans="5:6" ht="15" customHeight="1" x14ac:dyDescent="0.25">
      <c r="E962" s="26"/>
      <c r="F962" s="26"/>
    </row>
    <row r="963" spans="5:6" ht="15" customHeight="1" x14ac:dyDescent="0.25">
      <c r="E963" s="26"/>
      <c r="F963" s="26"/>
    </row>
    <row r="964" spans="5:6" ht="15" customHeight="1" x14ac:dyDescent="0.25">
      <c r="E964" s="26"/>
      <c r="F964" s="26"/>
    </row>
    <row r="965" spans="5:6" ht="15" customHeight="1" x14ac:dyDescent="0.25">
      <c r="E965" s="26"/>
      <c r="F965" s="26"/>
    </row>
    <row r="966" spans="5:6" ht="15" customHeight="1" x14ac:dyDescent="0.25">
      <c r="E966" s="26"/>
      <c r="F966" s="26"/>
    </row>
    <row r="967" spans="5:6" ht="15" customHeight="1" x14ac:dyDescent="0.25">
      <c r="E967" s="26"/>
      <c r="F967" s="26"/>
    </row>
    <row r="968" spans="5:6" ht="15" customHeight="1" x14ac:dyDescent="0.25">
      <c r="E968" s="26"/>
      <c r="F968" s="26"/>
    </row>
    <row r="969" spans="5:6" ht="15" customHeight="1" x14ac:dyDescent="0.25">
      <c r="E969" s="26"/>
      <c r="F969" s="26"/>
    </row>
    <row r="970" spans="5:6" ht="15" customHeight="1" x14ac:dyDescent="0.25">
      <c r="E970" s="26"/>
      <c r="F970" s="26"/>
    </row>
    <row r="971" spans="5:6" ht="15" customHeight="1" x14ac:dyDescent="0.25">
      <c r="E971" s="26"/>
      <c r="F971" s="26"/>
    </row>
    <row r="972" spans="5:6" ht="15" customHeight="1" x14ac:dyDescent="0.25">
      <c r="E972" s="26"/>
      <c r="F972" s="26"/>
    </row>
    <row r="973" spans="5:6" ht="15" customHeight="1" x14ac:dyDescent="0.25">
      <c r="E973" s="26"/>
      <c r="F973" s="26"/>
    </row>
    <row r="974" spans="5:6" ht="15" customHeight="1" x14ac:dyDescent="0.25">
      <c r="E974" s="26"/>
      <c r="F974" s="26"/>
    </row>
    <row r="975" spans="5:6" ht="15" customHeight="1" x14ac:dyDescent="0.25">
      <c r="E975" s="26"/>
      <c r="F975" s="26"/>
    </row>
    <row r="976" spans="5:6" ht="15" customHeight="1" x14ac:dyDescent="0.25">
      <c r="E976" s="26"/>
      <c r="F976" s="26"/>
    </row>
    <row r="977" spans="5:6" ht="15" customHeight="1" x14ac:dyDescent="0.25">
      <c r="E977" s="26"/>
      <c r="F977" s="26"/>
    </row>
    <row r="978" spans="5:6" ht="15" customHeight="1" x14ac:dyDescent="0.25">
      <c r="E978" s="26"/>
      <c r="F978" s="26"/>
    </row>
    <row r="979" spans="5:6" ht="15" customHeight="1" x14ac:dyDescent="0.25">
      <c r="E979" s="26"/>
      <c r="F979" s="26"/>
    </row>
    <row r="980" spans="5:6" ht="15" customHeight="1" x14ac:dyDescent="0.25">
      <c r="E980" s="26"/>
      <c r="F980" s="26"/>
    </row>
    <row r="981" spans="5:6" ht="15" customHeight="1" x14ac:dyDescent="0.25">
      <c r="E981" s="26"/>
      <c r="F981" s="26"/>
    </row>
    <row r="982" spans="5:6" ht="15" customHeight="1" x14ac:dyDescent="0.25">
      <c r="E982" s="26"/>
      <c r="F982" s="26"/>
    </row>
    <row r="983" spans="5:6" ht="15" customHeight="1" x14ac:dyDescent="0.25">
      <c r="E983" s="26"/>
      <c r="F983" s="26"/>
    </row>
    <row r="984" spans="5:6" ht="15" customHeight="1" x14ac:dyDescent="0.25">
      <c r="E984" s="26"/>
      <c r="F984" s="26"/>
    </row>
    <row r="985" spans="5:6" ht="15" customHeight="1" x14ac:dyDescent="0.25">
      <c r="E985" s="26"/>
      <c r="F985" s="26"/>
    </row>
    <row r="986" spans="5:6" ht="15" customHeight="1" x14ac:dyDescent="0.25">
      <c r="E986" s="26"/>
      <c r="F986" s="26"/>
    </row>
    <row r="987" spans="5:6" ht="15" customHeight="1" x14ac:dyDescent="0.25">
      <c r="E987" s="26"/>
      <c r="F987" s="26"/>
    </row>
    <row r="988" spans="5:6" ht="15" customHeight="1" x14ac:dyDescent="0.25">
      <c r="E988" s="26"/>
      <c r="F988" s="26"/>
    </row>
    <row r="989" spans="5:6" ht="15" customHeight="1" x14ac:dyDescent="0.25">
      <c r="E989" s="26"/>
      <c r="F989" s="26"/>
    </row>
    <row r="990" spans="5:6" ht="15" customHeight="1" x14ac:dyDescent="0.25">
      <c r="E990" s="26"/>
      <c r="F990" s="26"/>
    </row>
    <row r="991" spans="5:6" ht="15" customHeight="1" x14ac:dyDescent="0.25">
      <c r="E991" s="26"/>
      <c r="F991" s="26"/>
    </row>
    <row r="992" spans="5:6" ht="15" customHeight="1" x14ac:dyDescent="0.25">
      <c r="E992" s="26"/>
      <c r="F992" s="26"/>
    </row>
    <row r="993" spans="5:6" ht="15" customHeight="1" x14ac:dyDescent="0.25">
      <c r="E993" s="26"/>
      <c r="F993" s="26"/>
    </row>
    <row r="994" spans="5:6" ht="15" customHeight="1" x14ac:dyDescent="0.25">
      <c r="E994" s="26"/>
      <c r="F994" s="26"/>
    </row>
    <row r="995" spans="5:6" ht="15" customHeight="1" x14ac:dyDescent="0.25">
      <c r="E995" s="26"/>
      <c r="F995" s="26"/>
    </row>
    <row r="996" spans="5:6" ht="15" customHeight="1" x14ac:dyDescent="0.25">
      <c r="E996" s="26"/>
      <c r="F996" s="26"/>
    </row>
    <row r="997" spans="5:6" ht="15" customHeight="1" x14ac:dyDescent="0.25">
      <c r="E997" s="26"/>
      <c r="F997" s="26"/>
    </row>
    <row r="998" spans="5:6" ht="15" customHeight="1" x14ac:dyDescent="0.25">
      <c r="E998" s="26"/>
      <c r="F998" s="26"/>
    </row>
    <row r="999" spans="5:6" ht="15" customHeight="1" x14ac:dyDescent="0.25">
      <c r="E999" s="26"/>
      <c r="F999" s="26"/>
    </row>
    <row r="1000" spans="5:6" ht="15" customHeight="1" x14ac:dyDescent="0.25">
      <c r="E1000" s="26"/>
      <c r="F1000" s="26"/>
    </row>
    <row r="1001" spans="5:6" ht="15" customHeight="1" x14ac:dyDescent="0.25">
      <c r="E1001" s="26"/>
      <c r="F1001" s="26"/>
    </row>
    <row r="1002" spans="5:6" ht="15" customHeight="1" x14ac:dyDescent="0.25">
      <c r="E1002" s="26"/>
      <c r="F1002" s="26"/>
    </row>
    <row r="1003" spans="5:6" ht="15" customHeight="1" x14ac:dyDescent="0.25">
      <c r="E1003" s="26"/>
      <c r="F1003" s="26"/>
    </row>
    <row r="1004" spans="5:6" ht="15" customHeight="1" x14ac:dyDescent="0.25">
      <c r="E1004" s="26"/>
      <c r="F1004" s="26"/>
    </row>
    <row r="1005" spans="5:6" ht="15" customHeight="1" x14ac:dyDescent="0.25">
      <c r="E1005" s="26"/>
      <c r="F1005" s="26"/>
    </row>
    <row r="1006" spans="5:6" ht="15" customHeight="1" x14ac:dyDescent="0.25">
      <c r="E1006" s="26"/>
      <c r="F1006" s="26"/>
    </row>
    <row r="1007" spans="5:6" ht="15" customHeight="1" x14ac:dyDescent="0.25">
      <c r="E1007" s="26"/>
      <c r="F1007" s="26"/>
    </row>
    <row r="1008" spans="5:6" ht="15" customHeight="1" x14ac:dyDescent="0.25">
      <c r="E1008" s="26"/>
      <c r="F1008" s="26"/>
    </row>
    <row r="1009" spans="5:6" ht="15" customHeight="1" x14ac:dyDescent="0.25">
      <c r="E1009" s="26"/>
      <c r="F1009" s="26"/>
    </row>
    <row r="1010" spans="5:6" ht="15" customHeight="1" x14ac:dyDescent="0.25">
      <c r="E1010" s="26"/>
      <c r="F1010" s="26"/>
    </row>
    <row r="1011" spans="5:6" ht="15" customHeight="1" x14ac:dyDescent="0.25">
      <c r="E1011" s="26"/>
      <c r="F1011" s="26"/>
    </row>
    <row r="1012" spans="5:6" ht="15" customHeight="1" x14ac:dyDescent="0.25">
      <c r="E1012" s="26"/>
      <c r="F1012" s="26"/>
    </row>
    <row r="1013" spans="5:6" ht="15" customHeight="1" x14ac:dyDescent="0.25">
      <c r="E1013" s="26"/>
      <c r="F1013" s="26"/>
    </row>
    <row r="1014" spans="5:6" ht="15" customHeight="1" x14ac:dyDescent="0.25">
      <c r="E1014" s="26"/>
      <c r="F1014" s="26"/>
    </row>
    <row r="1015" spans="5:6" ht="15" customHeight="1" x14ac:dyDescent="0.25">
      <c r="E1015" s="26"/>
      <c r="F1015" s="26"/>
    </row>
    <row r="1016" spans="5:6" ht="15" customHeight="1" x14ac:dyDescent="0.25">
      <c r="E1016" s="26"/>
      <c r="F1016" s="26"/>
    </row>
    <row r="1017" spans="5:6" ht="15" customHeight="1" x14ac:dyDescent="0.25">
      <c r="E1017" s="26"/>
      <c r="F1017" s="26"/>
    </row>
    <row r="1018" spans="5:6" ht="15" customHeight="1" x14ac:dyDescent="0.25">
      <c r="E1018" s="26"/>
      <c r="F1018" s="26"/>
    </row>
    <row r="1019" spans="5:6" ht="15" customHeight="1" x14ac:dyDescent="0.25">
      <c r="E1019" s="26"/>
      <c r="F1019" s="26"/>
    </row>
    <row r="1020" spans="5:6" ht="15" customHeight="1" x14ac:dyDescent="0.25">
      <c r="E1020" s="26"/>
      <c r="F1020" s="26"/>
    </row>
    <row r="1021" spans="5:6" ht="15" customHeight="1" x14ac:dyDescent="0.25">
      <c r="E1021" s="26"/>
      <c r="F1021" s="26"/>
    </row>
    <row r="1022" spans="5:6" ht="15" customHeight="1" x14ac:dyDescent="0.25">
      <c r="E1022" s="26"/>
      <c r="F1022" s="26"/>
    </row>
    <row r="1023" spans="5:6" ht="15" customHeight="1" x14ac:dyDescent="0.25">
      <c r="E1023" s="26"/>
      <c r="F1023" s="26"/>
    </row>
    <row r="1024" spans="5:6" ht="15" customHeight="1" x14ac:dyDescent="0.25">
      <c r="E1024" s="26"/>
      <c r="F1024" s="26"/>
    </row>
    <row r="1025" spans="5:6" ht="15" customHeight="1" x14ac:dyDescent="0.25">
      <c r="E1025" s="26"/>
      <c r="F1025" s="26"/>
    </row>
    <row r="1026" spans="5:6" ht="15" customHeight="1" x14ac:dyDescent="0.25">
      <c r="E1026" s="26"/>
      <c r="F1026" s="26"/>
    </row>
    <row r="1027" spans="5:6" ht="15" customHeight="1" x14ac:dyDescent="0.25">
      <c r="E1027" s="26"/>
      <c r="F1027" s="26"/>
    </row>
    <row r="1028" spans="5:6" ht="15" customHeight="1" x14ac:dyDescent="0.25">
      <c r="E1028" s="26"/>
      <c r="F1028" s="26"/>
    </row>
    <row r="1029" spans="5:6" ht="15" customHeight="1" x14ac:dyDescent="0.25">
      <c r="E1029" s="26"/>
      <c r="F1029" s="26"/>
    </row>
    <row r="1030" spans="5:6" ht="15" customHeight="1" x14ac:dyDescent="0.25">
      <c r="E1030" s="26"/>
      <c r="F1030" s="26"/>
    </row>
    <row r="1031" spans="5:6" ht="15" customHeight="1" x14ac:dyDescent="0.25">
      <c r="E1031" s="26"/>
      <c r="F1031" s="26"/>
    </row>
    <row r="1032" spans="5:6" ht="15" customHeight="1" x14ac:dyDescent="0.25">
      <c r="E1032" s="26"/>
      <c r="F1032" s="26"/>
    </row>
    <row r="1033" spans="5:6" ht="15" customHeight="1" x14ac:dyDescent="0.25">
      <c r="E1033" s="26"/>
      <c r="F1033" s="26"/>
    </row>
    <row r="1034" spans="5:6" ht="15" customHeight="1" x14ac:dyDescent="0.25">
      <c r="E1034" s="26"/>
      <c r="F1034" s="26"/>
    </row>
    <row r="1035" spans="5:6" ht="15" customHeight="1" x14ac:dyDescent="0.25">
      <c r="E1035" s="26"/>
      <c r="F1035" s="26"/>
    </row>
    <row r="1036" spans="5:6" ht="15" customHeight="1" x14ac:dyDescent="0.25">
      <c r="E1036" s="26"/>
      <c r="F1036" s="26"/>
    </row>
    <row r="1037" spans="5:6" ht="15" customHeight="1" x14ac:dyDescent="0.25">
      <c r="E1037" s="26"/>
      <c r="F1037" s="26"/>
    </row>
    <row r="1038" spans="5:6" ht="15" customHeight="1" x14ac:dyDescent="0.25">
      <c r="E1038" s="26"/>
      <c r="F1038" s="26"/>
    </row>
    <row r="1039" spans="5:6" ht="15" customHeight="1" x14ac:dyDescent="0.25">
      <c r="E1039" s="26"/>
      <c r="F1039" s="26"/>
    </row>
    <row r="1040" spans="5:6" ht="15" customHeight="1" x14ac:dyDescent="0.25">
      <c r="E1040" s="26"/>
      <c r="F1040" s="26"/>
    </row>
    <row r="1041" spans="5:6" ht="15" customHeight="1" x14ac:dyDescent="0.25">
      <c r="E1041" s="26"/>
      <c r="F1041" s="26"/>
    </row>
    <row r="1042" spans="5:6" ht="15" customHeight="1" x14ac:dyDescent="0.25">
      <c r="E1042" s="26"/>
      <c r="F1042" s="26"/>
    </row>
    <row r="1043" spans="5:6" ht="15" customHeight="1" x14ac:dyDescent="0.25">
      <c r="E1043" s="26"/>
      <c r="F1043" s="26"/>
    </row>
    <row r="1044" spans="5:6" ht="15" customHeight="1" x14ac:dyDescent="0.25">
      <c r="E1044" s="26"/>
      <c r="F1044" s="26"/>
    </row>
    <row r="1045" spans="5:6" ht="15" customHeight="1" x14ac:dyDescent="0.25">
      <c r="E1045" s="26"/>
      <c r="F1045" s="26"/>
    </row>
    <row r="1046" spans="5:6" ht="15" customHeight="1" x14ac:dyDescent="0.25">
      <c r="E1046" s="26"/>
      <c r="F1046" s="26"/>
    </row>
    <row r="1047" spans="5:6" ht="15" customHeight="1" x14ac:dyDescent="0.25">
      <c r="E1047" s="26"/>
      <c r="F1047" s="26"/>
    </row>
    <row r="1048" spans="5:6" ht="15" customHeight="1" x14ac:dyDescent="0.25">
      <c r="E1048" s="26"/>
      <c r="F1048" s="26"/>
    </row>
    <row r="1049" spans="5:6" ht="15" customHeight="1" x14ac:dyDescent="0.25">
      <c r="E1049" s="26"/>
      <c r="F1049" s="26"/>
    </row>
    <row r="1050" spans="5:6" ht="15" customHeight="1" x14ac:dyDescent="0.25">
      <c r="E1050" s="26"/>
      <c r="F1050" s="26"/>
    </row>
    <row r="1051" spans="5:6" ht="15" customHeight="1" x14ac:dyDescent="0.25">
      <c r="E1051" s="26"/>
      <c r="F1051" s="26"/>
    </row>
    <row r="1052" spans="5:6" ht="15" customHeight="1" x14ac:dyDescent="0.25">
      <c r="E1052" s="26"/>
      <c r="F1052" s="26"/>
    </row>
    <row r="1053" spans="5:6" ht="15" customHeight="1" x14ac:dyDescent="0.25">
      <c r="E1053" s="26"/>
      <c r="F1053" s="26"/>
    </row>
    <row r="1054" spans="5:6" ht="15" customHeight="1" x14ac:dyDescent="0.25">
      <c r="E1054" s="26"/>
      <c r="F1054" s="26"/>
    </row>
    <row r="1055" spans="5:6" ht="15" customHeight="1" x14ac:dyDescent="0.25">
      <c r="E1055" s="26"/>
      <c r="F1055" s="26"/>
    </row>
    <row r="1056" spans="5:6" ht="15" customHeight="1" x14ac:dyDescent="0.25">
      <c r="E1056" s="26"/>
      <c r="F1056" s="26"/>
    </row>
    <row r="1057" spans="5:6" ht="15" customHeight="1" x14ac:dyDescent="0.25">
      <c r="E1057" s="26"/>
      <c r="F1057" s="26"/>
    </row>
    <row r="1058" spans="5:6" ht="15" customHeight="1" x14ac:dyDescent="0.25">
      <c r="E1058" s="26"/>
      <c r="F1058" s="26"/>
    </row>
    <row r="1059" spans="5:6" ht="15" customHeight="1" x14ac:dyDescent="0.25">
      <c r="E1059" s="26"/>
      <c r="F1059" s="26"/>
    </row>
    <row r="1060" spans="5:6" ht="15" customHeight="1" x14ac:dyDescent="0.25">
      <c r="E1060" s="26"/>
      <c r="F1060" s="26"/>
    </row>
    <row r="1061" spans="5:6" ht="15" customHeight="1" x14ac:dyDescent="0.25">
      <c r="E1061" s="26"/>
      <c r="F1061" s="26"/>
    </row>
    <row r="1062" spans="5:6" ht="15" customHeight="1" x14ac:dyDescent="0.25">
      <c r="E1062" s="26"/>
      <c r="F1062" s="26"/>
    </row>
    <row r="1063" spans="5:6" ht="15" customHeight="1" x14ac:dyDescent="0.25">
      <c r="E1063" s="26"/>
      <c r="F1063" s="26"/>
    </row>
    <row r="1064" spans="5:6" ht="15" customHeight="1" x14ac:dyDescent="0.25">
      <c r="E1064" s="26"/>
      <c r="F1064" s="26"/>
    </row>
    <row r="1065" spans="5:6" ht="15" customHeight="1" x14ac:dyDescent="0.25">
      <c r="E1065" s="26"/>
      <c r="F1065" s="26"/>
    </row>
    <row r="1066" spans="5:6" ht="15" customHeight="1" x14ac:dyDescent="0.25">
      <c r="E1066" s="26"/>
      <c r="F1066" s="26"/>
    </row>
    <row r="1067" spans="5:6" ht="15" customHeight="1" x14ac:dyDescent="0.25">
      <c r="E1067" s="26"/>
      <c r="F1067" s="26"/>
    </row>
    <row r="1068" spans="5:6" ht="15" customHeight="1" x14ac:dyDescent="0.25">
      <c r="E1068" s="26"/>
      <c r="F1068" s="26"/>
    </row>
    <row r="1069" spans="5:6" ht="15" customHeight="1" x14ac:dyDescent="0.25">
      <c r="E1069" s="26"/>
      <c r="F1069" s="26"/>
    </row>
    <row r="1070" spans="5:6" ht="15" customHeight="1" x14ac:dyDescent="0.25">
      <c r="E1070" s="26"/>
      <c r="F1070" s="26"/>
    </row>
    <row r="1071" spans="5:6" ht="15" customHeight="1" x14ac:dyDescent="0.25">
      <c r="E1071" s="26"/>
      <c r="F1071" s="26"/>
    </row>
    <row r="1072" spans="5:6" ht="15" customHeight="1" x14ac:dyDescent="0.25">
      <c r="E1072" s="26"/>
      <c r="F1072" s="26"/>
    </row>
    <row r="1073" spans="5:6" ht="15" customHeight="1" x14ac:dyDescent="0.25">
      <c r="E1073" s="26"/>
      <c r="F1073" s="26"/>
    </row>
    <row r="1074" spans="5:6" ht="15" customHeight="1" x14ac:dyDescent="0.25">
      <c r="E1074" s="26"/>
      <c r="F1074" s="26"/>
    </row>
    <row r="1075" spans="5:6" ht="15" customHeight="1" x14ac:dyDescent="0.25">
      <c r="E1075" s="26"/>
      <c r="F1075" s="26"/>
    </row>
    <row r="1076" spans="5:6" ht="15" customHeight="1" x14ac:dyDescent="0.25">
      <c r="E1076" s="26"/>
      <c r="F1076" s="26"/>
    </row>
    <row r="1077" spans="5:6" ht="15" customHeight="1" x14ac:dyDescent="0.25">
      <c r="E1077" s="26"/>
      <c r="F1077" s="26"/>
    </row>
    <row r="1078" spans="5:6" ht="15" customHeight="1" x14ac:dyDescent="0.25">
      <c r="E1078" s="26"/>
      <c r="F1078" s="26"/>
    </row>
    <row r="1079" spans="5:6" ht="15" customHeight="1" x14ac:dyDescent="0.25">
      <c r="E1079" s="26"/>
      <c r="F1079" s="26"/>
    </row>
    <row r="1080" spans="5:6" ht="15" customHeight="1" x14ac:dyDescent="0.25">
      <c r="E1080" s="26"/>
      <c r="F1080" s="26"/>
    </row>
    <row r="1081" spans="5:6" ht="15" customHeight="1" x14ac:dyDescent="0.25">
      <c r="E1081" s="26"/>
      <c r="F1081" s="26"/>
    </row>
    <row r="1082" spans="5:6" ht="15" customHeight="1" x14ac:dyDescent="0.25">
      <c r="E1082" s="26"/>
      <c r="F1082" s="26"/>
    </row>
    <row r="1083" spans="5:6" ht="15" customHeight="1" x14ac:dyDescent="0.25">
      <c r="E1083" s="26"/>
      <c r="F1083" s="26"/>
    </row>
    <row r="1084" spans="5:6" ht="15" customHeight="1" x14ac:dyDescent="0.25">
      <c r="E1084" s="26"/>
      <c r="F1084" s="26"/>
    </row>
    <row r="1085" spans="5:6" ht="15" customHeight="1" x14ac:dyDescent="0.25">
      <c r="E1085" s="26"/>
      <c r="F1085" s="26"/>
    </row>
    <row r="1086" spans="5:6" ht="15" customHeight="1" x14ac:dyDescent="0.25">
      <c r="E1086" s="26"/>
      <c r="F1086" s="26"/>
    </row>
    <row r="1087" spans="5:6" ht="15" customHeight="1" x14ac:dyDescent="0.25">
      <c r="E1087" s="26"/>
      <c r="F1087" s="26"/>
    </row>
    <row r="1088" spans="5:6" ht="15" customHeight="1" x14ac:dyDescent="0.25">
      <c r="E1088" s="26"/>
      <c r="F1088" s="26"/>
    </row>
    <row r="1089" spans="5:6" ht="15" customHeight="1" x14ac:dyDescent="0.25">
      <c r="E1089" s="26"/>
      <c r="F1089" s="26"/>
    </row>
    <row r="1090" spans="5:6" ht="15" customHeight="1" x14ac:dyDescent="0.25">
      <c r="E1090" s="26"/>
      <c r="F1090" s="26"/>
    </row>
    <row r="1091" spans="5:6" ht="15" customHeight="1" x14ac:dyDescent="0.25">
      <c r="E1091" s="26"/>
      <c r="F1091" s="26"/>
    </row>
    <row r="1092" spans="5:6" ht="15" customHeight="1" x14ac:dyDescent="0.25">
      <c r="E1092" s="26"/>
      <c r="F1092" s="26"/>
    </row>
    <row r="1093" spans="5:6" ht="15" customHeight="1" x14ac:dyDescent="0.25">
      <c r="E1093" s="26"/>
      <c r="F1093" s="26"/>
    </row>
    <row r="1094" spans="5:6" ht="15" customHeight="1" x14ac:dyDescent="0.25">
      <c r="E1094" s="26"/>
      <c r="F1094" s="26"/>
    </row>
    <row r="1095" spans="5:6" ht="15" customHeight="1" x14ac:dyDescent="0.25">
      <c r="E1095" s="26"/>
      <c r="F1095" s="26"/>
    </row>
    <row r="1096" spans="5:6" ht="15" customHeight="1" x14ac:dyDescent="0.25">
      <c r="E1096" s="26"/>
      <c r="F1096" s="26"/>
    </row>
    <row r="1097" spans="5:6" ht="15" customHeight="1" x14ac:dyDescent="0.25">
      <c r="E1097" s="26"/>
      <c r="F1097" s="26"/>
    </row>
    <row r="1098" spans="5:6" ht="15" customHeight="1" x14ac:dyDescent="0.25">
      <c r="E1098" s="26"/>
      <c r="F1098" s="26"/>
    </row>
    <row r="1099" spans="5:6" ht="15" customHeight="1" x14ac:dyDescent="0.25">
      <c r="E1099" s="26"/>
      <c r="F1099" s="26"/>
    </row>
    <row r="1100" spans="5:6" ht="15" customHeight="1" x14ac:dyDescent="0.25">
      <c r="E1100" s="26"/>
      <c r="F1100" s="26"/>
    </row>
    <row r="1101" spans="5:6" ht="15" customHeight="1" x14ac:dyDescent="0.25">
      <c r="E1101" s="26"/>
      <c r="F1101" s="26"/>
    </row>
    <row r="1102" spans="5:6" ht="15" customHeight="1" x14ac:dyDescent="0.25">
      <c r="E1102" s="26"/>
      <c r="F1102" s="26"/>
    </row>
    <row r="1103" spans="5:6" ht="15" customHeight="1" x14ac:dyDescent="0.25">
      <c r="E1103" s="26"/>
      <c r="F1103" s="26"/>
    </row>
    <row r="1104" spans="5:6" ht="15" customHeight="1" x14ac:dyDescent="0.25">
      <c r="E1104" s="26"/>
      <c r="F1104" s="26"/>
    </row>
    <row r="1105" spans="5:6" ht="15" customHeight="1" x14ac:dyDescent="0.25">
      <c r="E1105" s="26"/>
      <c r="F1105" s="26"/>
    </row>
    <row r="1106" spans="5:6" ht="15" customHeight="1" x14ac:dyDescent="0.25">
      <c r="E1106" s="26"/>
      <c r="F1106" s="26"/>
    </row>
    <row r="1107" spans="5:6" ht="15" customHeight="1" x14ac:dyDescent="0.25">
      <c r="E1107" s="26"/>
      <c r="F1107" s="26"/>
    </row>
    <row r="1108" spans="5:6" ht="15" customHeight="1" x14ac:dyDescent="0.25">
      <c r="E1108" s="26"/>
      <c r="F1108" s="26"/>
    </row>
    <row r="1109" spans="5:6" ht="15" customHeight="1" x14ac:dyDescent="0.25">
      <c r="E1109" s="26"/>
      <c r="F1109" s="26"/>
    </row>
    <row r="1110" spans="5:6" ht="15" customHeight="1" x14ac:dyDescent="0.25">
      <c r="E1110" s="26"/>
      <c r="F1110" s="26"/>
    </row>
    <row r="1111" spans="5:6" ht="15" customHeight="1" x14ac:dyDescent="0.25">
      <c r="E1111" s="26"/>
      <c r="F1111" s="26"/>
    </row>
    <row r="1112" spans="5:6" ht="15" customHeight="1" x14ac:dyDescent="0.25">
      <c r="E1112" s="26"/>
      <c r="F1112" s="26"/>
    </row>
    <row r="1113" spans="5:6" ht="15" customHeight="1" x14ac:dyDescent="0.25">
      <c r="E1113" s="26"/>
      <c r="F1113" s="26"/>
    </row>
    <row r="1114" spans="5:6" ht="15" customHeight="1" x14ac:dyDescent="0.25">
      <c r="E1114" s="26"/>
      <c r="F1114" s="26"/>
    </row>
    <row r="1115" spans="5:6" ht="15" customHeight="1" x14ac:dyDescent="0.25">
      <c r="E1115" s="26"/>
      <c r="F1115" s="26"/>
    </row>
    <row r="1116" spans="5:6" ht="15" customHeight="1" x14ac:dyDescent="0.25">
      <c r="E1116" s="26"/>
      <c r="F1116" s="26"/>
    </row>
    <row r="1117" spans="5:6" ht="15" customHeight="1" x14ac:dyDescent="0.25">
      <c r="E1117" s="26"/>
      <c r="F1117" s="26"/>
    </row>
    <row r="1118" spans="5:6" ht="15" customHeight="1" x14ac:dyDescent="0.25">
      <c r="E1118" s="26"/>
      <c r="F1118" s="26"/>
    </row>
    <row r="1119" spans="5:6" ht="15" customHeight="1" x14ac:dyDescent="0.25">
      <c r="E1119" s="26"/>
      <c r="F1119" s="26"/>
    </row>
    <row r="1120" spans="5:6" ht="15" customHeight="1" x14ac:dyDescent="0.25">
      <c r="E1120" s="26"/>
      <c r="F1120" s="26"/>
    </row>
    <row r="1121" spans="5:6" ht="15" customHeight="1" x14ac:dyDescent="0.25">
      <c r="E1121" s="26"/>
      <c r="F1121" s="26"/>
    </row>
    <row r="1122" spans="5:6" ht="15" customHeight="1" x14ac:dyDescent="0.25">
      <c r="E1122" s="26"/>
      <c r="F1122" s="26"/>
    </row>
    <row r="1123" spans="5:6" ht="15" customHeight="1" x14ac:dyDescent="0.25">
      <c r="E1123" s="26"/>
      <c r="F1123" s="26"/>
    </row>
    <row r="1124" spans="5:6" ht="15" customHeight="1" x14ac:dyDescent="0.25">
      <c r="E1124" s="26"/>
      <c r="F1124" s="26"/>
    </row>
    <row r="1125" spans="5:6" ht="15" customHeight="1" x14ac:dyDescent="0.25">
      <c r="E1125" s="26"/>
      <c r="F1125" s="26"/>
    </row>
    <row r="1126" spans="5:6" ht="15" customHeight="1" x14ac:dyDescent="0.25">
      <c r="E1126" s="26"/>
      <c r="F1126" s="26"/>
    </row>
    <row r="1127" spans="5:6" ht="15" customHeight="1" x14ac:dyDescent="0.25">
      <c r="E1127" s="26"/>
      <c r="F1127" s="26"/>
    </row>
    <row r="1128" spans="5:6" ht="15" customHeight="1" x14ac:dyDescent="0.25">
      <c r="E1128" s="26"/>
      <c r="F1128" s="26"/>
    </row>
    <row r="1129" spans="5:6" ht="15" customHeight="1" x14ac:dyDescent="0.25">
      <c r="E1129" s="26"/>
      <c r="F1129" s="26"/>
    </row>
    <row r="1130" spans="5:6" ht="15" customHeight="1" x14ac:dyDescent="0.25">
      <c r="E1130" s="26"/>
      <c r="F1130" s="26"/>
    </row>
    <row r="1131" spans="5:6" ht="15" customHeight="1" x14ac:dyDescent="0.25">
      <c r="E1131" s="26"/>
      <c r="F1131" s="26"/>
    </row>
    <row r="1132" spans="5:6" ht="15" customHeight="1" x14ac:dyDescent="0.25">
      <c r="E1132" s="26"/>
      <c r="F1132" s="26"/>
    </row>
    <row r="1133" spans="5:6" ht="15" customHeight="1" x14ac:dyDescent="0.25">
      <c r="E1133" s="26"/>
      <c r="F1133" s="26"/>
    </row>
    <row r="1134" spans="5:6" ht="15" customHeight="1" x14ac:dyDescent="0.25">
      <c r="E1134" s="26"/>
      <c r="F1134" s="26"/>
    </row>
    <row r="1135" spans="5:6" ht="15" customHeight="1" x14ac:dyDescent="0.25">
      <c r="E1135" s="26"/>
      <c r="F1135" s="26"/>
    </row>
    <row r="1136" spans="5:6" ht="15" customHeight="1" x14ac:dyDescent="0.25">
      <c r="E1136" s="26"/>
      <c r="F1136" s="26"/>
    </row>
    <row r="1137" spans="5:6" ht="15" customHeight="1" x14ac:dyDescent="0.25">
      <c r="E1137" s="26"/>
      <c r="F1137" s="26"/>
    </row>
    <row r="1138" spans="5:6" ht="15" customHeight="1" x14ac:dyDescent="0.25">
      <c r="E1138" s="26"/>
      <c r="F1138" s="26"/>
    </row>
    <row r="1139" spans="5:6" ht="15" customHeight="1" x14ac:dyDescent="0.25">
      <c r="E1139" s="26"/>
      <c r="F1139" s="26"/>
    </row>
    <row r="1140" spans="5:6" ht="15" customHeight="1" x14ac:dyDescent="0.25">
      <c r="E1140" s="26"/>
      <c r="F1140" s="26"/>
    </row>
    <row r="1141" spans="5:6" ht="15" customHeight="1" x14ac:dyDescent="0.25">
      <c r="E1141" s="26"/>
      <c r="F1141" s="26"/>
    </row>
    <row r="1142" spans="5:6" ht="15" customHeight="1" x14ac:dyDescent="0.25">
      <c r="E1142" s="26"/>
      <c r="F1142" s="26"/>
    </row>
    <row r="1143" spans="5:6" ht="15" customHeight="1" x14ac:dyDescent="0.25">
      <c r="E1143" s="26"/>
      <c r="F1143" s="26"/>
    </row>
    <row r="1144" spans="5:6" ht="15" customHeight="1" x14ac:dyDescent="0.25">
      <c r="E1144" s="26"/>
      <c r="F1144" s="26"/>
    </row>
    <row r="1145" spans="5:6" ht="15" customHeight="1" x14ac:dyDescent="0.25">
      <c r="E1145" s="26"/>
      <c r="F1145" s="26"/>
    </row>
    <row r="1146" spans="5:6" ht="15" customHeight="1" x14ac:dyDescent="0.25">
      <c r="E1146" s="26"/>
      <c r="F1146" s="26"/>
    </row>
    <row r="1147" spans="5:6" ht="15" customHeight="1" x14ac:dyDescent="0.25">
      <c r="E1147" s="26"/>
      <c r="F1147" s="26"/>
    </row>
    <row r="1148" spans="5:6" ht="15" customHeight="1" x14ac:dyDescent="0.25">
      <c r="E1148" s="26"/>
      <c r="F1148" s="26"/>
    </row>
    <row r="1149" spans="5:6" ht="15" customHeight="1" x14ac:dyDescent="0.25">
      <c r="E1149" s="26"/>
      <c r="F1149" s="26"/>
    </row>
    <row r="1150" spans="5:6" ht="15" customHeight="1" x14ac:dyDescent="0.25">
      <c r="E1150" s="26"/>
      <c r="F1150" s="26"/>
    </row>
    <row r="1151" spans="5:6" ht="15" customHeight="1" x14ac:dyDescent="0.25">
      <c r="E1151" s="26"/>
      <c r="F1151" s="26"/>
    </row>
    <row r="1152" spans="5:6" ht="15" customHeight="1" x14ac:dyDescent="0.25">
      <c r="E1152" s="26"/>
      <c r="F1152" s="26"/>
    </row>
    <row r="1153" spans="5:6" ht="15" customHeight="1" x14ac:dyDescent="0.25">
      <c r="E1153" s="26"/>
      <c r="F1153" s="26"/>
    </row>
    <row r="1154" spans="5:6" ht="15" customHeight="1" x14ac:dyDescent="0.25">
      <c r="E1154" s="26"/>
      <c r="F1154" s="26"/>
    </row>
    <row r="1155" spans="5:6" ht="15" customHeight="1" x14ac:dyDescent="0.25">
      <c r="E1155" s="26"/>
      <c r="F1155" s="26"/>
    </row>
    <row r="1156" spans="5:6" ht="15" customHeight="1" x14ac:dyDescent="0.25">
      <c r="E1156" s="26"/>
      <c r="F1156" s="26"/>
    </row>
    <row r="1157" spans="5:6" ht="15" customHeight="1" x14ac:dyDescent="0.25">
      <c r="E1157" s="26"/>
      <c r="F1157" s="26"/>
    </row>
    <row r="1158" spans="5:6" ht="15" customHeight="1" x14ac:dyDescent="0.25">
      <c r="E1158" s="26"/>
      <c r="F1158" s="26"/>
    </row>
    <row r="1159" spans="5:6" ht="15" customHeight="1" x14ac:dyDescent="0.25">
      <c r="E1159" s="26"/>
      <c r="F1159" s="26"/>
    </row>
    <row r="1160" spans="5:6" ht="15" customHeight="1" x14ac:dyDescent="0.25">
      <c r="E1160" s="26"/>
      <c r="F1160" s="26"/>
    </row>
    <row r="1161" spans="5:6" ht="15" customHeight="1" x14ac:dyDescent="0.25">
      <c r="E1161" s="26"/>
      <c r="F1161" s="26"/>
    </row>
    <row r="1162" spans="5:6" ht="15" customHeight="1" x14ac:dyDescent="0.25">
      <c r="E1162" s="26"/>
      <c r="F1162" s="26"/>
    </row>
    <row r="1163" spans="5:6" ht="15" customHeight="1" x14ac:dyDescent="0.25">
      <c r="E1163" s="26"/>
      <c r="F1163" s="26"/>
    </row>
    <row r="1164" spans="5:6" ht="15" customHeight="1" x14ac:dyDescent="0.25">
      <c r="E1164" s="26"/>
      <c r="F1164" s="26"/>
    </row>
    <row r="1165" spans="5:6" ht="15" customHeight="1" x14ac:dyDescent="0.25">
      <c r="E1165" s="26"/>
      <c r="F1165" s="26"/>
    </row>
    <row r="1166" spans="5:6" ht="15" customHeight="1" x14ac:dyDescent="0.25">
      <c r="E1166" s="26"/>
      <c r="F1166" s="26"/>
    </row>
    <row r="1167" spans="5:6" ht="15" customHeight="1" x14ac:dyDescent="0.25">
      <c r="E1167" s="26"/>
      <c r="F1167" s="26"/>
    </row>
    <row r="1168" spans="5:6" ht="15" customHeight="1" x14ac:dyDescent="0.25">
      <c r="E1168" s="26"/>
      <c r="F1168" s="26"/>
    </row>
    <row r="1169" spans="5:6" ht="15" customHeight="1" x14ac:dyDescent="0.25">
      <c r="E1169" s="26"/>
      <c r="F1169" s="26"/>
    </row>
    <row r="1170" spans="5:6" ht="15" customHeight="1" x14ac:dyDescent="0.25">
      <c r="E1170" s="26"/>
      <c r="F1170" s="26"/>
    </row>
    <row r="1171" spans="5:6" ht="15" customHeight="1" x14ac:dyDescent="0.25">
      <c r="E1171" s="26"/>
      <c r="F1171" s="26"/>
    </row>
    <row r="1172" spans="5:6" ht="15" customHeight="1" x14ac:dyDescent="0.25">
      <c r="E1172" s="26"/>
      <c r="F1172" s="26"/>
    </row>
    <row r="1173" spans="5:6" ht="15" customHeight="1" x14ac:dyDescent="0.25">
      <c r="E1173" s="26"/>
      <c r="F1173" s="26"/>
    </row>
    <row r="1174" spans="5:6" ht="15" customHeight="1" x14ac:dyDescent="0.25">
      <c r="E1174" s="26"/>
      <c r="F1174" s="26"/>
    </row>
    <row r="1175" spans="5:6" ht="15" customHeight="1" x14ac:dyDescent="0.25">
      <c r="E1175" s="26"/>
      <c r="F1175" s="26"/>
    </row>
    <row r="1176" spans="5:6" ht="15" customHeight="1" x14ac:dyDescent="0.25">
      <c r="E1176" s="26"/>
      <c r="F1176" s="26"/>
    </row>
    <row r="1177" spans="5:6" ht="15" customHeight="1" x14ac:dyDescent="0.25">
      <c r="E1177" s="26"/>
      <c r="F1177" s="26"/>
    </row>
    <row r="1178" spans="5:6" ht="15" customHeight="1" x14ac:dyDescent="0.25">
      <c r="E1178" s="26"/>
      <c r="F1178" s="26"/>
    </row>
    <row r="1179" spans="5:6" ht="15" customHeight="1" x14ac:dyDescent="0.25">
      <c r="E1179" s="26"/>
      <c r="F1179" s="26"/>
    </row>
    <row r="1180" spans="5:6" ht="15" customHeight="1" x14ac:dyDescent="0.25">
      <c r="E1180" s="26"/>
      <c r="F1180" s="26"/>
    </row>
    <row r="1181" spans="5:6" ht="15" customHeight="1" x14ac:dyDescent="0.25">
      <c r="E1181" s="26"/>
      <c r="F1181" s="26"/>
    </row>
    <row r="1182" spans="5:6" ht="15" customHeight="1" x14ac:dyDescent="0.25">
      <c r="E1182" s="26"/>
      <c r="F1182" s="26"/>
    </row>
    <row r="1183" spans="5:6" ht="15" customHeight="1" x14ac:dyDescent="0.25">
      <c r="E1183" s="26"/>
      <c r="F1183" s="26"/>
    </row>
    <row r="1184" spans="5:6" ht="15" customHeight="1" x14ac:dyDescent="0.25">
      <c r="E1184" s="26"/>
      <c r="F1184" s="26"/>
    </row>
    <row r="1185" spans="5:6" ht="15" customHeight="1" x14ac:dyDescent="0.25">
      <c r="E1185" s="26"/>
      <c r="F1185" s="26"/>
    </row>
    <row r="1186" spans="5:6" ht="15" customHeight="1" x14ac:dyDescent="0.25">
      <c r="E1186" s="26"/>
      <c r="F1186" s="26"/>
    </row>
    <row r="1187" spans="5:6" ht="15" customHeight="1" x14ac:dyDescent="0.25">
      <c r="E1187" s="26"/>
      <c r="F1187" s="26"/>
    </row>
    <row r="1188" spans="5:6" ht="15" customHeight="1" x14ac:dyDescent="0.25">
      <c r="E1188" s="26"/>
      <c r="F1188" s="26"/>
    </row>
    <row r="1189" spans="5:6" ht="15" customHeight="1" x14ac:dyDescent="0.25">
      <c r="E1189" s="26"/>
      <c r="F1189" s="26"/>
    </row>
    <row r="1190" spans="5:6" ht="15" customHeight="1" x14ac:dyDescent="0.25">
      <c r="E1190" s="26"/>
      <c r="F1190" s="26"/>
    </row>
    <row r="1191" spans="5:6" ht="15" customHeight="1" x14ac:dyDescent="0.25">
      <c r="E1191" s="26"/>
      <c r="F1191" s="26"/>
    </row>
    <row r="1192" spans="5:6" ht="15" customHeight="1" x14ac:dyDescent="0.25">
      <c r="E1192" s="26"/>
      <c r="F1192" s="26"/>
    </row>
    <row r="1193" spans="5:6" ht="15" customHeight="1" x14ac:dyDescent="0.25">
      <c r="E1193" s="26"/>
      <c r="F1193" s="26"/>
    </row>
    <row r="1194" spans="5:6" ht="15" customHeight="1" x14ac:dyDescent="0.25">
      <c r="E1194" s="26"/>
      <c r="F1194" s="26"/>
    </row>
    <row r="1195" spans="5:6" ht="15" customHeight="1" x14ac:dyDescent="0.25">
      <c r="E1195" s="26"/>
      <c r="F1195" s="26"/>
    </row>
    <row r="1196" spans="5:6" ht="15" customHeight="1" x14ac:dyDescent="0.25">
      <c r="E1196" s="26"/>
      <c r="F1196" s="26"/>
    </row>
    <row r="1197" spans="5:6" ht="15" customHeight="1" x14ac:dyDescent="0.25">
      <c r="E1197" s="26"/>
      <c r="F1197" s="26"/>
    </row>
    <row r="1198" spans="5:6" ht="15" customHeight="1" x14ac:dyDescent="0.25">
      <c r="E1198" s="26"/>
      <c r="F1198" s="26"/>
    </row>
    <row r="1199" spans="5:6" ht="15" customHeight="1" x14ac:dyDescent="0.25">
      <c r="E1199" s="26"/>
      <c r="F1199" s="26"/>
    </row>
    <row r="1200" spans="5:6" ht="15" customHeight="1" x14ac:dyDescent="0.25">
      <c r="E1200" s="26"/>
      <c r="F1200" s="26"/>
    </row>
    <row r="1201" spans="5:6" ht="15" customHeight="1" x14ac:dyDescent="0.25">
      <c r="E1201" s="26"/>
      <c r="F1201" s="26"/>
    </row>
    <row r="1202" spans="5:6" ht="15" customHeight="1" x14ac:dyDescent="0.25">
      <c r="E1202" s="26"/>
      <c r="F1202" s="26"/>
    </row>
    <row r="1203" spans="5:6" ht="15" customHeight="1" x14ac:dyDescent="0.25">
      <c r="E1203" s="26"/>
      <c r="F1203" s="26"/>
    </row>
    <row r="1204" spans="5:6" ht="15" customHeight="1" x14ac:dyDescent="0.25">
      <c r="E1204" s="26"/>
      <c r="F1204" s="26"/>
    </row>
    <row r="1205" spans="5:6" ht="15" customHeight="1" x14ac:dyDescent="0.25">
      <c r="E1205" s="26"/>
      <c r="F1205" s="26"/>
    </row>
    <row r="1206" spans="5:6" ht="15" customHeight="1" x14ac:dyDescent="0.25">
      <c r="E1206" s="26"/>
      <c r="F1206" s="26"/>
    </row>
    <row r="1207" spans="5:6" ht="15" customHeight="1" x14ac:dyDescent="0.25">
      <c r="E1207" s="26"/>
      <c r="F1207" s="26"/>
    </row>
    <row r="1208" spans="5:6" ht="15" customHeight="1" x14ac:dyDescent="0.25">
      <c r="E1208" s="26"/>
      <c r="F1208" s="26"/>
    </row>
    <row r="1209" spans="5:6" ht="15" customHeight="1" x14ac:dyDescent="0.25">
      <c r="E1209" s="26"/>
      <c r="F1209" s="26"/>
    </row>
    <row r="1210" spans="5:6" ht="15" customHeight="1" x14ac:dyDescent="0.25">
      <c r="E1210" s="26"/>
      <c r="F1210" s="26"/>
    </row>
    <row r="1211" spans="5:6" ht="15" customHeight="1" x14ac:dyDescent="0.25">
      <c r="E1211" s="26"/>
      <c r="F1211" s="26"/>
    </row>
    <row r="1212" spans="5:6" ht="15" customHeight="1" x14ac:dyDescent="0.25">
      <c r="E1212" s="26"/>
      <c r="F1212" s="26"/>
    </row>
    <row r="1213" spans="5:6" ht="15" customHeight="1" x14ac:dyDescent="0.25">
      <c r="E1213" s="26"/>
      <c r="F1213" s="26"/>
    </row>
    <row r="1214" spans="5:6" ht="15" customHeight="1" x14ac:dyDescent="0.25">
      <c r="E1214" s="26"/>
      <c r="F1214" s="26"/>
    </row>
    <row r="1215" spans="5:6" ht="15" customHeight="1" x14ac:dyDescent="0.25">
      <c r="E1215" s="26"/>
      <c r="F1215" s="26"/>
    </row>
    <row r="1216" spans="5:6" ht="15" customHeight="1" x14ac:dyDescent="0.25">
      <c r="E1216" s="26"/>
      <c r="F1216" s="26"/>
    </row>
    <row r="1217" spans="5:6" ht="15" customHeight="1" x14ac:dyDescent="0.25">
      <c r="E1217" s="26"/>
      <c r="F1217" s="26"/>
    </row>
    <row r="1218" spans="5:6" ht="15" customHeight="1" x14ac:dyDescent="0.25">
      <c r="E1218" s="26"/>
      <c r="F1218" s="26"/>
    </row>
    <row r="1219" spans="5:6" ht="15" customHeight="1" x14ac:dyDescent="0.25">
      <c r="E1219" s="26"/>
      <c r="F1219" s="26"/>
    </row>
    <row r="1220" spans="5:6" ht="15" customHeight="1" x14ac:dyDescent="0.25">
      <c r="E1220" s="26"/>
      <c r="F1220" s="26"/>
    </row>
    <row r="1221" spans="5:6" ht="15" customHeight="1" x14ac:dyDescent="0.25">
      <c r="E1221" s="26"/>
      <c r="F1221" s="26"/>
    </row>
    <row r="1222" spans="5:6" ht="15" customHeight="1" x14ac:dyDescent="0.25">
      <c r="E1222" s="26"/>
      <c r="F1222" s="26"/>
    </row>
    <row r="1223" spans="5:6" ht="15" customHeight="1" x14ac:dyDescent="0.25">
      <c r="E1223" s="26"/>
      <c r="F1223" s="26"/>
    </row>
    <row r="1224" spans="5:6" ht="15" customHeight="1" x14ac:dyDescent="0.25">
      <c r="E1224" s="26"/>
      <c r="F1224" s="26"/>
    </row>
    <row r="1225" spans="5:6" ht="15" customHeight="1" x14ac:dyDescent="0.25">
      <c r="E1225" s="26"/>
      <c r="F1225" s="26"/>
    </row>
    <row r="1226" spans="5:6" ht="15" customHeight="1" x14ac:dyDescent="0.25">
      <c r="E1226" s="26"/>
      <c r="F1226" s="26"/>
    </row>
    <row r="1227" spans="5:6" ht="15" customHeight="1" x14ac:dyDescent="0.25">
      <c r="E1227" s="26"/>
      <c r="F1227" s="26"/>
    </row>
    <row r="1228" spans="5:6" ht="15" customHeight="1" x14ac:dyDescent="0.25">
      <c r="E1228" s="26"/>
      <c r="F1228" s="26"/>
    </row>
    <row r="1229" spans="5:6" ht="15" customHeight="1" x14ac:dyDescent="0.25">
      <c r="E1229" s="26"/>
      <c r="F1229" s="26"/>
    </row>
    <row r="1230" spans="5:6" ht="15" customHeight="1" x14ac:dyDescent="0.25">
      <c r="E1230" s="26"/>
      <c r="F1230" s="26"/>
    </row>
    <row r="1231" spans="5:6" ht="15" customHeight="1" x14ac:dyDescent="0.25">
      <c r="E1231" s="26"/>
      <c r="F1231" s="26"/>
    </row>
    <row r="1232" spans="5:6" ht="15" customHeight="1" x14ac:dyDescent="0.25">
      <c r="E1232" s="26"/>
      <c r="F1232" s="26"/>
    </row>
    <row r="1233" spans="5:6" ht="15" customHeight="1" x14ac:dyDescent="0.25">
      <c r="E1233" s="26"/>
      <c r="F1233" s="26"/>
    </row>
    <row r="1234" spans="5:6" ht="15" customHeight="1" x14ac:dyDescent="0.25">
      <c r="E1234" s="26"/>
      <c r="F1234" s="26"/>
    </row>
    <row r="1235" spans="5:6" ht="15" customHeight="1" x14ac:dyDescent="0.25">
      <c r="E1235" s="26"/>
      <c r="F1235" s="26"/>
    </row>
    <row r="1236" spans="5:6" ht="15" customHeight="1" x14ac:dyDescent="0.25">
      <c r="E1236" s="26"/>
      <c r="F1236" s="26"/>
    </row>
    <row r="1237" spans="5:6" ht="15" customHeight="1" x14ac:dyDescent="0.25">
      <c r="E1237" s="26"/>
      <c r="F1237" s="26"/>
    </row>
    <row r="1238" spans="5:6" ht="15" customHeight="1" x14ac:dyDescent="0.25">
      <c r="E1238" s="26"/>
      <c r="F1238" s="26"/>
    </row>
    <row r="1239" spans="5:6" ht="15" customHeight="1" x14ac:dyDescent="0.25">
      <c r="E1239" s="26"/>
      <c r="F1239" s="26"/>
    </row>
    <row r="1240" spans="5:6" ht="15" customHeight="1" x14ac:dyDescent="0.25">
      <c r="E1240" s="26"/>
      <c r="F1240" s="26"/>
    </row>
    <row r="1241" spans="5:6" ht="15" customHeight="1" x14ac:dyDescent="0.25">
      <c r="E1241" s="26"/>
      <c r="F1241" s="26"/>
    </row>
    <row r="1242" spans="5:6" ht="15" customHeight="1" x14ac:dyDescent="0.25">
      <c r="E1242" s="26"/>
      <c r="F1242" s="26"/>
    </row>
    <row r="1243" spans="5:6" ht="15" customHeight="1" x14ac:dyDescent="0.25">
      <c r="E1243" s="26"/>
      <c r="F1243" s="26"/>
    </row>
    <row r="1244" spans="5:6" ht="15" customHeight="1" x14ac:dyDescent="0.25">
      <c r="E1244" s="26"/>
      <c r="F1244" s="26"/>
    </row>
    <row r="1245" spans="5:6" ht="15" customHeight="1" x14ac:dyDescent="0.25">
      <c r="E1245" s="26"/>
      <c r="F1245" s="26"/>
    </row>
    <row r="1246" spans="5:6" ht="15" customHeight="1" x14ac:dyDescent="0.25">
      <c r="E1246" s="26"/>
      <c r="F1246" s="26"/>
    </row>
    <row r="1247" spans="5:6" ht="15" customHeight="1" x14ac:dyDescent="0.25">
      <c r="E1247" s="26"/>
      <c r="F1247" s="26"/>
    </row>
    <row r="1248" spans="5:6" ht="15" customHeight="1" x14ac:dyDescent="0.25">
      <c r="E1248" s="26"/>
      <c r="F1248" s="26"/>
    </row>
    <row r="1249" spans="5:6" ht="15" customHeight="1" x14ac:dyDescent="0.25">
      <c r="E1249" s="26"/>
      <c r="F1249" s="26"/>
    </row>
    <row r="1250" spans="5:6" ht="15" customHeight="1" x14ac:dyDescent="0.25">
      <c r="E1250" s="26"/>
      <c r="F1250" s="26"/>
    </row>
    <row r="1251" spans="5:6" ht="15" customHeight="1" x14ac:dyDescent="0.25">
      <c r="E1251" s="26"/>
      <c r="F1251" s="26"/>
    </row>
    <row r="1252" spans="5:6" ht="15" customHeight="1" x14ac:dyDescent="0.25">
      <c r="E1252" s="26"/>
      <c r="F1252" s="26"/>
    </row>
    <row r="1253" spans="5:6" ht="15" customHeight="1" x14ac:dyDescent="0.25">
      <c r="E1253" s="26"/>
      <c r="F1253" s="26"/>
    </row>
    <row r="1254" spans="5:6" ht="15" customHeight="1" x14ac:dyDescent="0.25">
      <c r="E1254" s="26"/>
      <c r="F1254" s="26"/>
    </row>
    <row r="1255" spans="5:6" ht="15" customHeight="1" x14ac:dyDescent="0.25">
      <c r="E1255" s="26"/>
      <c r="F1255" s="26"/>
    </row>
    <row r="1256" spans="5:6" ht="15" customHeight="1" x14ac:dyDescent="0.25">
      <c r="E1256" s="26"/>
      <c r="F1256" s="26"/>
    </row>
    <row r="1257" spans="5:6" ht="15" customHeight="1" x14ac:dyDescent="0.25">
      <c r="E1257" s="26"/>
      <c r="F1257" s="26"/>
    </row>
    <row r="1258" spans="5:6" ht="15" customHeight="1" x14ac:dyDescent="0.25">
      <c r="E1258" s="26"/>
      <c r="F1258" s="26"/>
    </row>
    <row r="1259" spans="5:6" ht="15" customHeight="1" x14ac:dyDescent="0.25">
      <c r="E1259" s="26"/>
      <c r="F1259" s="26"/>
    </row>
    <row r="1260" spans="5:6" ht="15" customHeight="1" x14ac:dyDescent="0.25">
      <c r="E1260" s="26"/>
      <c r="F1260" s="26"/>
    </row>
    <row r="1261" spans="5:6" ht="15" customHeight="1" x14ac:dyDescent="0.25">
      <c r="E1261" s="26"/>
      <c r="F1261" s="26"/>
    </row>
    <row r="1262" spans="5:6" ht="15" customHeight="1" x14ac:dyDescent="0.25">
      <c r="E1262" s="26"/>
      <c r="F1262" s="26"/>
    </row>
    <row r="1263" spans="5:6" ht="15" customHeight="1" x14ac:dyDescent="0.25">
      <c r="E1263" s="26"/>
      <c r="F1263" s="26"/>
    </row>
    <row r="1264" spans="5:6" ht="15" customHeight="1" x14ac:dyDescent="0.25">
      <c r="E1264" s="26"/>
      <c r="F1264" s="26"/>
    </row>
    <row r="1265" spans="5:6" ht="15" customHeight="1" x14ac:dyDescent="0.25">
      <c r="E1265" s="26"/>
      <c r="F1265" s="26"/>
    </row>
    <row r="1266" spans="5:6" ht="15" customHeight="1" x14ac:dyDescent="0.25">
      <c r="E1266" s="26"/>
      <c r="F1266" s="26"/>
    </row>
    <row r="1267" spans="5:6" ht="15" customHeight="1" x14ac:dyDescent="0.25">
      <c r="E1267" s="26"/>
      <c r="F1267" s="26"/>
    </row>
    <row r="1268" spans="5:6" ht="15" customHeight="1" x14ac:dyDescent="0.25">
      <c r="E1268" s="26"/>
      <c r="F1268" s="26"/>
    </row>
    <row r="1269" spans="5:6" ht="15" customHeight="1" x14ac:dyDescent="0.25">
      <c r="E1269" s="26"/>
      <c r="F1269" s="26"/>
    </row>
    <row r="1270" spans="5:6" ht="15" customHeight="1" x14ac:dyDescent="0.25">
      <c r="E1270" s="26"/>
      <c r="F1270" s="26"/>
    </row>
    <row r="1271" spans="5:6" ht="15" customHeight="1" x14ac:dyDescent="0.25">
      <c r="E1271" s="26"/>
      <c r="F1271" s="26"/>
    </row>
    <row r="1272" spans="5:6" ht="15" customHeight="1" x14ac:dyDescent="0.25">
      <c r="E1272" s="26"/>
      <c r="F1272" s="26"/>
    </row>
    <row r="1273" spans="5:6" ht="15" customHeight="1" x14ac:dyDescent="0.25">
      <c r="E1273" s="26"/>
      <c r="F1273" s="26"/>
    </row>
    <row r="1274" spans="5:6" ht="15" customHeight="1" x14ac:dyDescent="0.25">
      <c r="E1274" s="26"/>
      <c r="F1274" s="26"/>
    </row>
    <row r="1275" spans="5:6" ht="15" customHeight="1" x14ac:dyDescent="0.25">
      <c r="E1275" s="26"/>
      <c r="F1275" s="26"/>
    </row>
    <row r="1276" spans="5:6" ht="15" customHeight="1" x14ac:dyDescent="0.25">
      <c r="E1276" s="26"/>
      <c r="F1276" s="26"/>
    </row>
    <row r="1277" spans="5:6" ht="15" customHeight="1" x14ac:dyDescent="0.25">
      <c r="E1277" s="26"/>
      <c r="F1277" s="26"/>
    </row>
    <row r="1278" spans="5:6" ht="15" customHeight="1" x14ac:dyDescent="0.25">
      <c r="E1278" s="26"/>
      <c r="F1278" s="26"/>
    </row>
    <row r="1279" spans="5:6" ht="15" customHeight="1" x14ac:dyDescent="0.25">
      <c r="E1279" s="26"/>
      <c r="F1279" s="26"/>
    </row>
    <row r="1280" spans="5:6" ht="15" customHeight="1" x14ac:dyDescent="0.25">
      <c r="E1280" s="26"/>
      <c r="F1280" s="26"/>
    </row>
    <row r="1281" spans="5:6" ht="15" customHeight="1" x14ac:dyDescent="0.25">
      <c r="E1281" s="26"/>
      <c r="F1281" s="26"/>
    </row>
    <row r="1282" spans="5:6" ht="15" customHeight="1" x14ac:dyDescent="0.25">
      <c r="E1282" s="26"/>
      <c r="F1282" s="26"/>
    </row>
    <row r="1283" spans="5:6" ht="15" customHeight="1" x14ac:dyDescent="0.25">
      <c r="E1283" s="26"/>
      <c r="F1283" s="26"/>
    </row>
    <row r="1284" spans="5:6" ht="15" customHeight="1" x14ac:dyDescent="0.25">
      <c r="E1284" s="26"/>
      <c r="F1284" s="26"/>
    </row>
    <row r="1285" spans="5:6" ht="15" customHeight="1" x14ac:dyDescent="0.25">
      <c r="E1285" s="26"/>
      <c r="F1285" s="26"/>
    </row>
    <row r="1286" spans="5:6" ht="15" customHeight="1" x14ac:dyDescent="0.25">
      <c r="E1286" s="26"/>
      <c r="F1286" s="26"/>
    </row>
    <row r="1287" spans="5:6" ht="15" customHeight="1" x14ac:dyDescent="0.25">
      <c r="E1287" s="26"/>
      <c r="F1287" s="26"/>
    </row>
    <row r="1288" spans="5:6" ht="15" customHeight="1" x14ac:dyDescent="0.25">
      <c r="E1288" s="26"/>
      <c r="F1288" s="26"/>
    </row>
    <row r="1289" spans="5:6" ht="15" customHeight="1" x14ac:dyDescent="0.25">
      <c r="E1289" s="26"/>
      <c r="F1289" s="26"/>
    </row>
    <row r="1290" spans="5:6" ht="15" customHeight="1" x14ac:dyDescent="0.25">
      <c r="E1290" s="26"/>
      <c r="F1290" s="26"/>
    </row>
    <row r="1291" spans="5:6" ht="15" customHeight="1" x14ac:dyDescent="0.25">
      <c r="E1291" s="26"/>
      <c r="F1291" s="26"/>
    </row>
    <row r="1292" spans="5:6" ht="15" customHeight="1" x14ac:dyDescent="0.25">
      <c r="E1292" s="26"/>
      <c r="F1292" s="26"/>
    </row>
    <row r="1293" spans="5:6" ht="15" customHeight="1" x14ac:dyDescent="0.25">
      <c r="E1293" s="26"/>
      <c r="F1293" s="26"/>
    </row>
    <row r="1294" spans="5:6" ht="15" customHeight="1" x14ac:dyDescent="0.25">
      <c r="E1294" s="26"/>
      <c r="F1294" s="26"/>
    </row>
    <row r="1295" spans="5:6" ht="15" customHeight="1" x14ac:dyDescent="0.25">
      <c r="E1295" s="26"/>
      <c r="F1295" s="26"/>
    </row>
    <row r="1296" spans="5:6" ht="15" customHeight="1" x14ac:dyDescent="0.25">
      <c r="E1296" s="26"/>
      <c r="F1296" s="26"/>
    </row>
    <row r="1297" spans="5:6" ht="15" customHeight="1" x14ac:dyDescent="0.25">
      <c r="E1297" s="26"/>
      <c r="F1297" s="26"/>
    </row>
    <row r="1298" spans="5:6" ht="15" customHeight="1" x14ac:dyDescent="0.25">
      <c r="E1298" s="26"/>
      <c r="F1298" s="26"/>
    </row>
    <row r="1299" spans="5:6" ht="15" customHeight="1" x14ac:dyDescent="0.25">
      <c r="E1299" s="26"/>
      <c r="F1299" s="26"/>
    </row>
    <row r="1300" spans="5:6" ht="15" customHeight="1" x14ac:dyDescent="0.25">
      <c r="E1300" s="26"/>
      <c r="F1300" s="26"/>
    </row>
    <row r="1301" spans="5:6" ht="15" customHeight="1" x14ac:dyDescent="0.25">
      <c r="E1301" s="26"/>
      <c r="F1301" s="26"/>
    </row>
    <row r="1302" spans="5:6" ht="15" customHeight="1" x14ac:dyDescent="0.25">
      <c r="E1302" s="26"/>
      <c r="F1302" s="26"/>
    </row>
    <row r="1303" spans="5:6" ht="15" customHeight="1" x14ac:dyDescent="0.25">
      <c r="E1303" s="26"/>
      <c r="F1303" s="26"/>
    </row>
    <row r="1304" spans="5:6" ht="15" customHeight="1" x14ac:dyDescent="0.25">
      <c r="E1304" s="26"/>
      <c r="F1304" s="26"/>
    </row>
    <row r="1305" spans="5:6" ht="15" customHeight="1" x14ac:dyDescent="0.25">
      <c r="E1305" s="26"/>
      <c r="F1305" s="26"/>
    </row>
    <row r="1306" spans="5:6" ht="15" customHeight="1" x14ac:dyDescent="0.25">
      <c r="E1306" s="26"/>
      <c r="F1306" s="26"/>
    </row>
    <row r="1307" spans="5:6" ht="15" customHeight="1" x14ac:dyDescent="0.25">
      <c r="E1307" s="26"/>
      <c r="F1307" s="26"/>
    </row>
    <row r="1308" spans="5:6" ht="15" customHeight="1" x14ac:dyDescent="0.25">
      <c r="E1308" s="26"/>
      <c r="F1308" s="26"/>
    </row>
    <row r="1309" spans="5:6" ht="15" customHeight="1" x14ac:dyDescent="0.25">
      <c r="E1309" s="26"/>
      <c r="F1309" s="26"/>
    </row>
    <row r="1310" spans="5:6" ht="15" customHeight="1" x14ac:dyDescent="0.25">
      <c r="E1310" s="26"/>
      <c r="F1310" s="26"/>
    </row>
    <row r="1311" spans="5:6" ht="15" customHeight="1" x14ac:dyDescent="0.25">
      <c r="E1311" s="26"/>
      <c r="F1311" s="26"/>
    </row>
    <row r="1312" spans="5:6" ht="15" customHeight="1" x14ac:dyDescent="0.25">
      <c r="E1312" s="26"/>
      <c r="F1312" s="26"/>
    </row>
    <row r="1313" spans="5:6" ht="15" customHeight="1" x14ac:dyDescent="0.25">
      <c r="E1313" s="26"/>
      <c r="F1313" s="26"/>
    </row>
    <row r="1314" spans="5:6" ht="15" customHeight="1" x14ac:dyDescent="0.25">
      <c r="E1314" s="26"/>
      <c r="F1314" s="26"/>
    </row>
    <row r="1315" spans="5:6" ht="15" customHeight="1" x14ac:dyDescent="0.25">
      <c r="E1315" s="26"/>
      <c r="F1315" s="26"/>
    </row>
    <row r="1316" spans="5:6" ht="15" customHeight="1" x14ac:dyDescent="0.25">
      <c r="E1316" s="26"/>
      <c r="F1316" s="26"/>
    </row>
    <row r="1317" spans="5:6" ht="15" customHeight="1" x14ac:dyDescent="0.25">
      <c r="E1317" s="26"/>
      <c r="F1317" s="26"/>
    </row>
    <row r="1318" spans="5:6" ht="15" customHeight="1" x14ac:dyDescent="0.25">
      <c r="E1318" s="26"/>
      <c r="F1318" s="26"/>
    </row>
    <row r="1319" spans="5:6" ht="15" customHeight="1" x14ac:dyDescent="0.25">
      <c r="E1319" s="26"/>
      <c r="F1319" s="26"/>
    </row>
    <row r="1320" spans="5:6" ht="15" customHeight="1" x14ac:dyDescent="0.25">
      <c r="E1320" s="26"/>
      <c r="F1320" s="26"/>
    </row>
    <row r="1321" spans="5:6" ht="15" customHeight="1" x14ac:dyDescent="0.25">
      <c r="E1321" s="26"/>
      <c r="F1321" s="26"/>
    </row>
    <row r="1322" spans="5:6" ht="15" customHeight="1" x14ac:dyDescent="0.25">
      <c r="E1322" s="26"/>
      <c r="F1322" s="26"/>
    </row>
    <row r="1323" spans="5:6" ht="15" customHeight="1" x14ac:dyDescent="0.25">
      <c r="E1323" s="26"/>
      <c r="F1323" s="26"/>
    </row>
    <row r="1324" spans="5:6" ht="15" customHeight="1" x14ac:dyDescent="0.25">
      <c r="E1324" s="26"/>
      <c r="F1324" s="26"/>
    </row>
    <row r="1325" spans="5:6" ht="15" customHeight="1" x14ac:dyDescent="0.25">
      <c r="E1325" s="26"/>
      <c r="F1325" s="26"/>
    </row>
    <row r="1326" spans="5:6" ht="15" customHeight="1" x14ac:dyDescent="0.25">
      <c r="E1326" s="26"/>
      <c r="F1326" s="26"/>
    </row>
    <row r="1327" spans="5:6" ht="15" customHeight="1" x14ac:dyDescent="0.25">
      <c r="E1327" s="26"/>
      <c r="F1327" s="26"/>
    </row>
    <row r="1328" spans="5:6" ht="15" customHeight="1" x14ac:dyDescent="0.25">
      <c r="E1328" s="26"/>
      <c r="F1328" s="26"/>
    </row>
    <row r="1329" spans="5:6" ht="15" customHeight="1" x14ac:dyDescent="0.25">
      <c r="E1329" s="26"/>
      <c r="F1329" s="26"/>
    </row>
    <row r="1330" spans="5:6" ht="15" customHeight="1" x14ac:dyDescent="0.25">
      <c r="E1330" s="26"/>
      <c r="F1330" s="26"/>
    </row>
    <row r="1331" spans="5:6" ht="15" customHeight="1" x14ac:dyDescent="0.25">
      <c r="E1331" s="26"/>
      <c r="F1331" s="26"/>
    </row>
    <row r="1332" spans="5:6" ht="15" customHeight="1" x14ac:dyDescent="0.25">
      <c r="E1332" s="26"/>
      <c r="F1332" s="26"/>
    </row>
    <row r="1333" spans="5:6" ht="15" customHeight="1" x14ac:dyDescent="0.25">
      <c r="E1333" s="26"/>
      <c r="F1333" s="26"/>
    </row>
    <row r="1334" spans="5:6" ht="15" customHeight="1" x14ac:dyDescent="0.25">
      <c r="E1334" s="26"/>
      <c r="F1334" s="26"/>
    </row>
    <row r="1335" spans="5:6" ht="15" customHeight="1" x14ac:dyDescent="0.25">
      <c r="E1335" s="26"/>
      <c r="F1335" s="26"/>
    </row>
    <row r="1336" spans="5:6" ht="15" customHeight="1" x14ac:dyDescent="0.25">
      <c r="E1336" s="26"/>
      <c r="F1336" s="26"/>
    </row>
    <row r="1337" spans="5:6" ht="15" customHeight="1" x14ac:dyDescent="0.25">
      <c r="E1337" s="26"/>
      <c r="F1337" s="26"/>
    </row>
    <row r="1338" spans="5:6" ht="15" customHeight="1" x14ac:dyDescent="0.25">
      <c r="E1338" s="26"/>
      <c r="F1338" s="26"/>
    </row>
    <row r="1339" spans="5:6" ht="15" customHeight="1" x14ac:dyDescent="0.25">
      <c r="E1339" s="26"/>
      <c r="F1339" s="26"/>
    </row>
    <row r="1340" spans="5:6" ht="15" customHeight="1" x14ac:dyDescent="0.25">
      <c r="E1340" s="26"/>
      <c r="F1340" s="26"/>
    </row>
    <row r="1341" spans="5:6" ht="15" customHeight="1" x14ac:dyDescent="0.25">
      <c r="E1341" s="26"/>
      <c r="F1341" s="26"/>
    </row>
    <row r="1342" spans="5:6" ht="15" customHeight="1" x14ac:dyDescent="0.25">
      <c r="E1342" s="26"/>
      <c r="F1342" s="26"/>
    </row>
    <row r="1343" spans="5:6" ht="15" customHeight="1" x14ac:dyDescent="0.25">
      <c r="E1343" s="26"/>
      <c r="F1343" s="26"/>
    </row>
    <row r="1344" spans="5:6" ht="15" customHeight="1" x14ac:dyDescent="0.25">
      <c r="E1344" s="26"/>
      <c r="F1344" s="26"/>
    </row>
    <row r="1345" spans="5:6" ht="15" customHeight="1" x14ac:dyDescent="0.25">
      <c r="E1345" s="26"/>
      <c r="F1345" s="26"/>
    </row>
    <row r="1346" spans="5:6" ht="15" customHeight="1" x14ac:dyDescent="0.25">
      <c r="E1346" s="26"/>
      <c r="F1346" s="26"/>
    </row>
    <row r="1347" spans="5:6" ht="15" customHeight="1" x14ac:dyDescent="0.25">
      <c r="E1347" s="26"/>
      <c r="F1347" s="26"/>
    </row>
    <row r="1348" spans="5:6" ht="15" customHeight="1" x14ac:dyDescent="0.25">
      <c r="E1348" s="26"/>
      <c r="F1348" s="26"/>
    </row>
    <row r="1349" spans="5:6" ht="15" customHeight="1" x14ac:dyDescent="0.25">
      <c r="E1349" s="26"/>
      <c r="F1349" s="26"/>
    </row>
    <row r="1350" spans="5:6" ht="15" customHeight="1" x14ac:dyDescent="0.25">
      <c r="E1350" s="26"/>
      <c r="F1350" s="26"/>
    </row>
    <row r="1351" spans="5:6" ht="15" customHeight="1" x14ac:dyDescent="0.25">
      <c r="E1351" s="26"/>
      <c r="F1351" s="26"/>
    </row>
    <row r="1352" spans="5:6" ht="15" customHeight="1" x14ac:dyDescent="0.25">
      <c r="E1352" s="26"/>
      <c r="F1352" s="26"/>
    </row>
    <row r="1353" spans="5:6" ht="15" customHeight="1" x14ac:dyDescent="0.25">
      <c r="E1353" s="26"/>
      <c r="F1353" s="26"/>
    </row>
    <row r="1354" spans="5:6" ht="15" customHeight="1" x14ac:dyDescent="0.25">
      <c r="E1354" s="26"/>
      <c r="F1354" s="26"/>
    </row>
    <row r="1355" spans="5:6" ht="15" customHeight="1" x14ac:dyDescent="0.25">
      <c r="E1355" s="26"/>
      <c r="F1355" s="26"/>
    </row>
    <row r="1356" spans="5:6" ht="15" customHeight="1" x14ac:dyDescent="0.25">
      <c r="E1356" s="26"/>
      <c r="F1356" s="26"/>
    </row>
    <row r="1357" spans="5:6" ht="15" customHeight="1" x14ac:dyDescent="0.25">
      <c r="E1357" s="26"/>
      <c r="F1357" s="26"/>
    </row>
    <row r="1358" spans="5:6" ht="15" customHeight="1" x14ac:dyDescent="0.25">
      <c r="E1358" s="26"/>
      <c r="F1358" s="26"/>
    </row>
    <row r="1359" spans="5:6" ht="15" customHeight="1" x14ac:dyDescent="0.25">
      <c r="E1359" s="26"/>
      <c r="F1359" s="26"/>
    </row>
    <row r="1360" spans="5:6" ht="15" customHeight="1" x14ac:dyDescent="0.25">
      <c r="E1360" s="26"/>
      <c r="F1360" s="26"/>
    </row>
    <row r="1361" spans="5:6" ht="15" customHeight="1" x14ac:dyDescent="0.25">
      <c r="E1361" s="26"/>
      <c r="F1361" s="26"/>
    </row>
    <row r="1362" spans="5:6" ht="15" customHeight="1" x14ac:dyDescent="0.25">
      <c r="E1362" s="26"/>
      <c r="F1362" s="26"/>
    </row>
    <row r="1363" spans="5:6" ht="15" customHeight="1" x14ac:dyDescent="0.25">
      <c r="E1363" s="26"/>
      <c r="F1363" s="26"/>
    </row>
    <row r="1364" spans="5:6" ht="15" customHeight="1" x14ac:dyDescent="0.25">
      <c r="E1364" s="26"/>
      <c r="F1364" s="26"/>
    </row>
    <row r="1365" spans="5:6" ht="15" customHeight="1" x14ac:dyDescent="0.25">
      <c r="E1365" s="26"/>
      <c r="F1365" s="26"/>
    </row>
    <row r="1366" spans="5:6" ht="15" customHeight="1" x14ac:dyDescent="0.25">
      <c r="E1366" s="26"/>
      <c r="F1366" s="26"/>
    </row>
    <row r="1367" spans="5:6" ht="15" customHeight="1" x14ac:dyDescent="0.25">
      <c r="E1367" s="26"/>
      <c r="F1367" s="26"/>
    </row>
    <row r="1368" spans="5:6" ht="15" customHeight="1" x14ac:dyDescent="0.25">
      <c r="E1368" s="26"/>
      <c r="F1368" s="26"/>
    </row>
    <row r="1369" spans="5:6" ht="15" customHeight="1" x14ac:dyDescent="0.25">
      <c r="E1369" s="26"/>
      <c r="F1369" s="26"/>
    </row>
    <row r="1370" spans="5:6" ht="15" customHeight="1" x14ac:dyDescent="0.25">
      <c r="E1370" s="26"/>
      <c r="F1370" s="26"/>
    </row>
    <row r="1371" spans="5:6" ht="15" customHeight="1" x14ac:dyDescent="0.25">
      <c r="E1371" s="26"/>
      <c r="F1371" s="26"/>
    </row>
    <row r="1372" spans="5:6" ht="15" customHeight="1" x14ac:dyDescent="0.25">
      <c r="E1372" s="26"/>
      <c r="F1372" s="26"/>
    </row>
    <row r="1373" spans="5:6" ht="15" customHeight="1" x14ac:dyDescent="0.25">
      <c r="E1373" s="26"/>
      <c r="F1373" s="26"/>
    </row>
    <row r="1374" spans="5:6" ht="15" customHeight="1" x14ac:dyDescent="0.25">
      <c r="E1374" s="26"/>
      <c r="F1374" s="26"/>
    </row>
    <row r="1375" spans="5:6" ht="15" customHeight="1" x14ac:dyDescent="0.25">
      <c r="E1375" s="26"/>
      <c r="F1375" s="26"/>
    </row>
    <row r="1376" spans="5:6" ht="15" customHeight="1" x14ac:dyDescent="0.25">
      <c r="E1376" s="26"/>
      <c r="F1376" s="26"/>
    </row>
    <row r="1377" spans="5:6" ht="15" customHeight="1" x14ac:dyDescent="0.25">
      <c r="E1377" s="26"/>
      <c r="F1377" s="26"/>
    </row>
    <row r="1378" spans="5:6" ht="15" customHeight="1" x14ac:dyDescent="0.25">
      <c r="E1378" s="26"/>
      <c r="F1378" s="26"/>
    </row>
    <row r="1379" spans="5:6" ht="15" customHeight="1" x14ac:dyDescent="0.25">
      <c r="E1379" s="26"/>
      <c r="F1379" s="26"/>
    </row>
    <row r="1380" spans="5:6" ht="15" customHeight="1" x14ac:dyDescent="0.25">
      <c r="E1380" s="26"/>
      <c r="F1380" s="26"/>
    </row>
    <row r="1381" spans="5:6" ht="15" customHeight="1" x14ac:dyDescent="0.25">
      <c r="E1381" s="26"/>
      <c r="F1381" s="26"/>
    </row>
    <row r="1382" spans="5:6" ht="15" customHeight="1" x14ac:dyDescent="0.25">
      <c r="E1382" s="26"/>
      <c r="F1382" s="26"/>
    </row>
    <row r="1383" spans="5:6" ht="15" customHeight="1" x14ac:dyDescent="0.25">
      <c r="E1383" s="26"/>
      <c r="F1383" s="26"/>
    </row>
    <row r="1384" spans="5:6" ht="15" customHeight="1" x14ac:dyDescent="0.25">
      <c r="E1384" s="26"/>
      <c r="F1384" s="26"/>
    </row>
    <row r="1385" spans="5:6" ht="15" customHeight="1" x14ac:dyDescent="0.25">
      <c r="E1385" s="26"/>
      <c r="F1385" s="26"/>
    </row>
    <row r="1386" spans="5:6" ht="15" customHeight="1" x14ac:dyDescent="0.25">
      <c r="E1386" s="26"/>
      <c r="F1386" s="26"/>
    </row>
    <row r="1387" spans="5:6" ht="15" customHeight="1" x14ac:dyDescent="0.25">
      <c r="E1387" s="26"/>
      <c r="F1387" s="26"/>
    </row>
    <row r="1388" spans="5:6" ht="15" customHeight="1" x14ac:dyDescent="0.25">
      <c r="E1388" s="26"/>
      <c r="F1388" s="26"/>
    </row>
    <row r="1389" spans="5:6" ht="15" customHeight="1" x14ac:dyDescent="0.25">
      <c r="E1389" s="26"/>
      <c r="F1389" s="26"/>
    </row>
    <row r="1390" spans="5:6" ht="15" customHeight="1" x14ac:dyDescent="0.25">
      <c r="E1390" s="26"/>
      <c r="F1390" s="26"/>
    </row>
    <row r="1391" spans="5:6" ht="15" customHeight="1" x14ac:dyDescent="0.25">
      <c r="E1391" s="26"/>
      <c r="F1391" s="26"/>
    </row>
    <row r="1392" spans="5:6" ht="15" customHeight="1" x14ac:dyDescent="0.25">
      <c r="E1392" s="26"/>
      <c r="F1392" s="26"/>
    </row>
    <row r="1393" spans="5:6" ht="15" customHeight="1" x14ac:dyDescent="0.25">
      <c r="E1393" s="26"/>
      <c r="F1393" s="26"/>
    </row>
    <row r="1394" spans="5:6" ht="15" customHeight="1" x14ac:dyDescent="0.25">
      <c r="E1394" s="26"/>
      <c r="F1394" s="26"/>
    </row>
    <row r="1395" spans="5:6" ht="15" customHeight="1" x14ac:dyDescent="0.25">
      <c r="E1395" s="26"/>
      <c r="F1395" s="26"/>
    </row>
    <row r="1396" spans="5:6" ht="15" customHeight="1" x14ac:dyDescent="0.25">
      <c r="E1396" s="26"/>
      <c r="F1396" s="26"/>
    </row>
    <row r="1397" spans="5:6" ht="15" customHeight="1" x14ac:dyDescent="0.25">
      <c r="E1397" s="26"/>
      <c r="F1397" s="26"/>
    </row>
    <row r="1398" spans="5:6" ht="15" customHeight="1" x14ac:dyDescent="0.25">
      <c r="E1398" s="26"/>
      <c r="F1398" s="26"/>
    </row>
    <row r="1399" spans="5:6" ht="15" customHeight="1" x14ac:dyDescent="0.25">
      <c r="E1399" s="26"/>
      <c r="F1399" s="26"/>
    </row>
    <row r="1400" spans="5:6" ht="15" customHeight="1" x14ac:dyDescent="0.25">
      <c r="E1400" s="26"/>
      <c r="F1400" s="26"/>
    </row>
    <row r="1401" spans="5:6" ht="15" customHeight="1" x14ac:dyDescent="0.25">
      <c r="E1401" s="26"/>
      <c r="F1401" s="26"/>
    </row>
    <row r="1402" spans="5:6" ht="15" customHeight="1" x14ac:dyDescent="0.25">
      <c r="E1402" s="26"/>
      <c r="F1402" s="26"/>
    </row>
    <row r="1403" spans="5:6" ht="15" customHeight="1" x14ac:dyDescent="0.25">
      <c r="E1403" s="26"/>
      <c r="F1403" s="26"/>
    </row>
    <row r="1404" spans="5:6" ht="15" customHeight="1" x14ac:dyDescent="0.25">
      <c r="E1404" s="26"/>
      <c r="F1404" s="26"/>
    </row>
    <row r="1405" spans="5:6" ht="15" customHeight="1" x14ac:dyDescent="0.25">
      <c r="E1405" s="26"/>
      <c r="F1405" s="26"/>
    </row>
    <row r="1406" spans="5:6" ht="15" customHeight="1" x14ac:dyDescent="0.25">
      <c r="E1406" s="26"/>
      <c r="F1406" s="26"/>
    </row>
    <row r="1407" spans="5:6" ht="15" customHeight="1" x14ac:dyDescent="0.25">
      <c r="E1407" s="26"/>
      <c r="F1407" s="26"/>
    </row>
    <row r="1408" spans="5:6" ht="15" customHeight="1" x14ac:dyDescent="0.25">
      <c r="E1408" s="26"/>
      <c r="F1408" s="26"/>
    </row>
    <row r="1409" spans="5:6" ht="15" customHeight="1" x14ac:dyDescent="0.25">
      <c r="E1409" s="26"/>
      <c r="F1409" s="26"/>
    </row>
    <row r="1410" spans="5:6" ht="15" customHeight="1" x14ac:dyDescent="0.25">
      <c r="E1410" s="26"/>
      <c r="F1410" s="26"/>
    </row>
    <row r="1411" spans="5:6" ht="15" customHeight="1" x14ac:dyDescent="0.25">
      <c r="E1411" s="26"/>
      <c r="F1411" s="26"/>
    </row>
    <row r="1412" spans="5:6" ht="15" customHeight="1" x14ac:dyDescent="0.25">
      <c r="E1412" s="26"/>
      <c r="F1412" s="26"/>
    </row>
    <row r="1413" spans="5:6" ht="15" customHeight="1" x14ac:dyDescent="0.25">
      <c r="E1413" s="26"/>
      <c r="F1413" s="26"/>
    </row>
    <row r="1414" spans="5:6" ht="15" customHeight="1" x14ac:dyDescent="0.25">
      <c r="E1414" s="26"/>
      <c r="F1414" s="26"/>
    </row>
    <row r="1415" spans="5:6" ht="15" customHeight="1" x14ac:dyDescent="0.25">
      <c r="E1415" s="26"/>
      <c r="F1415" s="26"/>
    </row>
    <row r="1416" spans="5:6" ht="15" customHeight="1" x14ac:dyDescent="0.25">
      <c r="E1416" s="26"/>
      <c r="F1416" s="26"/>
    </row>
    <row r="1417" spans="5:6" ht="15" customHeight="1" x14ac:dyDescent="0.25">
      <c r="E1417" s="26"/>
      <c r="F1417" s="26"/>
    </row>
    <row r="1418" spans="5:6" ht="15" customHeight="1" x14ac:dyDescent="0.25">
      <c r="E1418" s="26"/>
      <c r="F1418" s="26"/>
    </row>
    <row r="1419" spans="5:6" ht="15" customHeight="1" x14ac:dyDescent="0.25">
      <c r="E1419" s="26"/>
      <c r="F1419" s="26"/>
    </row>
    <row r="1420" spans="5:6" ht="15" customHeight="1" x14ac:dyDescent="0.25">
      <c r="E1420" s="26"/>
      <c r="F1420" s="26"/>
    </row>
    <row r="1421" spans="5:6" ht="15" customHeight="1" x14ac:dyDescent="0.25">
      <c r="E1421" s="26"/>
      <c r="F1421" s="26"/>
    </row>
    <row r="1422" spans="5:6" ht="15" customHeight="1" x14ac:dyDescent="0.25">
      <c r="E1422" s="26"/>
      <c r="F1422" s="26"/>
    </row>
    <row r="1423" spans="5:6" ht="15" customHeight="1" x14ac:dyDescent="0.25">
      <c r="E1423" s="26"/>
      <c r="F1423" s="26"/>
    </row>
    <row r="1424" spans="5:6" ht="15" customHeight="1" x14ac:dyDescent="0.25">
      <c r="E1424" s="26"/>
      <c r="F1424" s="26"/>
    </row>
    <row r="1425" spans="5:6" ht="15" customHeight="1" x14ac:dyDescent="0.25">
      <c r="E1425" s="26"/>
      <c r="F1425" s="26"/>
    </row>
    <row r="1426" spans="5:6" ht="15" customHeight="1" x14ac:dyDescent="0.25">
      <c r="E1426" s="26"/>
      <c r="F1426" s="26"/>
    </row>
    <row r="1427" spans="5:6" ht="15" customHeight="1" x14ac:dyDescent="0.25">
      <c r="E1427" s="26"/>
      <c r="F1427" s="26"/>
    </row>
    <row r="1428" spans="5:6" ht="15" customHeight="1" x14ac:dyDescent="0.25">
      <c r="E1428" s="26"/>
      <c r="F1428" s="26"/>
    </row>
    <row r="1429" spans="5:6" ht="15" customHeight="1" x14ac:dyDescent="0.25">
      <c r="E1429" s="26"/>
      <c r="F1429" s="26"/>
    </row>
    <row r="1430" spans="5:6" ht="15" customHeight="1" x14ac:dyDescent="0.25">
      <c r="E1430" s="26"/>
      <c r="F1430" s="26"/>
    </row>
    <row r="1431" spans="5:6" ht="15" customHeight="1" x14ac:dyDescent="0.25">
      <c r="E1431" s="26"/>
      <c r="F1431" s="26"/>
    </row>
    <row r="1432" spans="5:6" ht="15" customHeight="1" x14ac:dyDescent="0.25">
      <c r="E1432" s="26"/>
      <c r="F1432" s="26"/>
    </row>
    <row r="1433" spans="5:6" ht="15" customHeight="1" x14ac:dyDescent="0.25">
      <c r="E1433" s="26"/>
      <c r="F1433" s="26"/>
    </row>
    <row r="1434" spans="5:6" ht="15" customHeight="1" x14ac:dyDescent="0.25">
      <c r="E1434" s="26"/>
      <c r="F1434" s="26"/>
    </row>
    <row r="1435" spans="5:6" ht="15" customHeight="1" x14ac:dyDescent="0.25">
      <c r="E1435" s="26"/>
      <c r="F1435" s="26"/>
    </row>
    <row r="1436" spans="5:6" ht="15" customHeight="1" x14ac:dyDescent="0.25">
      <c r="E1436" s="26"/>
      <c r="F1436" s="26"/>
    </row>
    <row r="1437" spans="5:6" ht="15" customHeight="1" x14ac:dyDescent="0.25">
      <c r="E1437" s="26"/>
      <c r="F1437" s="26"/>
    </row>
    <row r="1438" spans="5:6" ht="15" customHeight="1" x14ac:dyDescent="0.25">
      <c r="E1438" s="26"/>
      <c r="F1438" s="26"/>
    </row>
    <row r="1439" spans="5:6" ht="15" customHeight="1" x14ac:dyDescent="0.25">
      <c r="E1439" s="26"/>
      <c r="F1439" s="26"/>
    </row>
    <row r="1440" spans="5:6" ht="15" customHeight="1" x14ac:dyDescent="0.25">
      <c r="E1440" s="26"/>
      <c r="F1440" s="26"/>
    </row>
    <row r="1441" spans="5:6" ht="15" customHeight="1" x14ac:dyDescent="0.25">
      <c r="E1441" s="26"/>
      <c r="F1441" s="26"/>
    </row>
    <row r="1442" spans="5:6" ht="15" customHeight="1" x14ac:dyDescent="0.25">
      <c r="E1442" s="26"/>
      <c r="F1442" s="26"/>
    </row>
    <row r="1443" spans="5:6" ht="15" customHeight="1" x14ac:dyDescent="0.25">
      <c r="E1443" s="26"/>
      <c r="F1443" s="26"/>
    </row>
    <row r="1444" spans="5:6" ht="15" customHeight="1" x14ac:dyDescent="0.25">
      <c r="E1444" s="26"/>
      <c r="F1444" s="26"/>
    </row>
    <row r="1445" spans="5:6" ht="15" customHeight="1" x14ac:dyDescent="0.25">
      <c r="E1445" s="26"/>
      <c r="F1445" s="26"/>
    </row>
    <row r="1446" spans="5:6" ht="15" customHeight="1" x14ac:dyDescent="0.25">
      <c r="E1446" s="26"/>
      <c r="F1446" s="26"/>
    </row>
    <row r="1447" spans="5:6" ht="15" customHeight="1" x14ac:dyDescent="0.25">
      <c r="E1447" s="26"/>
      <c r="F1447" s="26"/>
    </row>
    <row r="1448" spans="5:6" ht="15" customHeight="1" x14ac:dyDescent="0.25">
      <c r="E1448" s="26"/>
      <c r="F1448" s="26"/>
    </row>
    <row r="1449" spans="5:6" ht="15" customHeight="1" x14ac:dyDescent="0.25">
      <c r="E1449" s="26"/>
      <c r="F1449" s="26"/>
    </row>
    <row r="1450" spans="5:6" ht="15" customHeight="1" x14ac:dyDescent="0.25">
      <c r="E1450" s="26"/>
      <c r="F1450" s="26"/>
    </row>
    <row r="1451" spans="5:6" ht="15" customHeight="1" x14ac:dyDescent="0.25">
      <c r="E1451" s="26"/>
      <c r="F1451" s="26"/>
    </row>
    <row r="1452" spans="5:6" ht="15" customHeight="1" x14ac:dyDescent="0.25">
      <c r="E1452" s="26"/>
      <c r="F1452" s="26"/>
    </row>
    <row r="1453" spans="5:6" ht="15" customHeight="1" x14ac:dyDescent="0.25">
      <c r="E1453" s="26"/>
      <c r="F1453" s="26"/>
    </row>
    <row r="1454" spans="5:6" ht="15" customHeight="1" x14ac:dyDescent="0.25">
      <c r="E1454" s="26"/>
      <c r="F1454" s="26"/>
    </row>
    <row r="1455" spans="5:6" ht="15" customHeight="1" x14ac:dyDescent="0.25">
      <c r="E1455" s="26"/>
      <c r="F1455" s="26"/>
    </row>
    <row r="1456" spans="5:6" ht="15" customHeight="1" x14ac:dyDescent="0.25">
      <c r="E1456" s="26"/>
      <c r="F1456" s="26"/>
    </row>
    <row r="1457" spans="5:6" ht="15" customHeight="1" x14ac:dyDescent="0.25">
      <c r="E1457" s="26"/>
      <c r="F1457" s="26"/>
    </row>
    <row r="1458" spans="5:6" ht="15" customHeight="1" x14ac:dyDescent="0.25">
      <c r="E1458" s="26"/>
      <c r="F1458" s="26"/>
    </row>
    <row r="1459" spans="5:6" ht="15" customHeight="1" x14ac:dyDescent="0.25">
      <c r="E1459" s="26"/>
      <c r="F1459" s="26"/>
    </row>
    <row r="1460" spans="5:6" ht="15" customHeight="1" x14ac:dyDescent="0.25">
      <c r="E1460" s="26"/>
      <c r="F1460" s="26"/>
    </row>
    <row r="1461" spans="5:6" ht="15" customHeight="1" x14ac:dyDescent="0.25">
      <c r="E1461" s="26"/>
      <c r="F1461" s="26"/>
    </row>
    <row r="1462" spans="5:6" ht="15" customHeight="1" x14ac:dyDescent="0.25">
      <c r="E1462" s="26"/>
      <c r="F1462" s="26"/>
    </row>
    <row r="1463" spans="5:6" ht="15" customHeight="1" x14ac:dyDescent="0.25">
      <c r="E1463" s="26"/>
      <c r="F1463" s="26"/>
    </row>
    <row r="1464" spans="5:6" ht="15" customHeight="1" x14ac:dyDescent="0.25">
      <c r="E1464" s="26"/>
      <c r="F1464" s="26"/>
    </row>
    <row r="1465" spans="5:6" ht="15" customHeight="1" x14ac:dyDescent="0.25">
      <c r="E1465" s="26"/>
      <c r="F1465" s="26"/>
    </row>
    <row r="1466" spans="5:6" ht="15" customHeight="1" x14ac:dyDescent="0.25">
      <c r="E1466" s="26"/>
      <c r="F1466" s="26"/>
    </row>
    <row r="1467" spans="5:6" ht="15" customHeight="1" x14ac:dyDescent="0.25">
      <c r="E1467" s="26"/>
      <c r="F1467" s="26"/>
    </row>
    <row r="1468" spans="5:6" ht="15" customHeight="1" x14ac:dyDescent="0.25">
      <c r="E1468" s="26"/>
      <c r="F1468" s="26"/>
    </row>
    <row r="1469" spans="5:6" ht="15" customHeight="1" x14ac:dyDescent="0.25">
      <c r="E1469" s="26"/>
      <c r="F1469" s="26"/>
    </row>
    <row r="1470" spans="5:6" ht="15" customHeight="1" x14ac:dyDescent="0.25">
      <c r="E1470" s="26"/>
      <c r="F1470" s="26"/>
    </row>
    <row r="1471" spans="5:6" ht="15" customHeight="1" x14ac:dyDescent="0.25">
      <c r="E1471" s="26"/>
      <c r="F1471" s="26"/>
    </row>
    <row r="1472" spans="5:6" ht="15" customHeight="1" x14ac:dyDescent="0.25">
      <c r="E1472" s="26"/>
      <c r="F1472" s="26"/>
    </row>
    <row r="1473" spans="5:6" ht="15" customHeight="1" x14ac:dyDescent="0.25">
      <c r="E1473" s="26"/>
      <c r="F1473" s="26"/>
    </row>
    <row r="1474" spans="5:6" ht="15" customHeight="1" x14ac:dyDescent="0.25">
      <c r="E1474" s="26"/>
      <c r="F1474" s="26"/>
    </row>
    <row r="1475" spans="5:6" ht="15" customHeight="1" x14ac:dyDescent="0.25">
      <c r="E1475" s="26"/>
      <c r="F1475" s="26"/>
    </row>
    <row r="1476" spans="5:6" ht="15" customHeight="1" x14ac:dyDescent="0.25">
      <c r="E1476" s="26"/>
      <c r="F1476" s="26"/>
    </row>
    <row r="1477" spans="5:6" ht="15" customHeight="1" x14ac:dyDescent="0.25">
      <c r="E1477" s="26"/>
      <c r="F1477" s="26"/>
    </row>
    <row r="1478" spans="5:6" ht="15" customHeight="1" x14ac:dyDescent="0.25">
      <c r="E1478" s="26"/>
      <c r="F1478" s="26"/>
    </row>
    <row r="1479" spans="5:6" ht="15" customHeight="1" x14ac:dyDescent="0.25">
      <c r="E1479" s="26"/>
      <c r="F1479" s="26"/>
    </row>
    <row r="1480" spans="5:6" ht="15" customHeight="1" x14ac:dyDescent="0.25">
      <c r="E1480" s="26"/>
      <c r="F1480" s="26"/>
    </row>
    <row r="1481" spans="5:6" ht="15" customHeight="1" x14ac:dyDescent="0.25">
      <c r="E1481" s="26"/>
      <c r="F1481" s="26"/>
    </row>
    <row r="1482" spans="5:6" ht="15" customHeight="1" x14ac:dyDescent="0.25">
      <c r="E1482" s="26"/>
      <c r="F1482" s="26"/>
    </row>
    <row r="1483" spans="5:6" ht="15" customHeight="1" x14ac:dyDescent="0.25">
      <c r="E1483" s="26"/>
      <c r="F1483" s="26"/>
    </row>
    <row r="1484" spans="5:6" ht="15" customHeight="1" x14ac:dyDescent="0.25">
      <c r="E1484" s="26"/>
      <c r="F1484" s="26"/>
    </row>
    <row r="1485" spans="5:6" ht="15" customHeight="1" x14ac:dyDescent="0.25">
      <c r="E1485" s="26"/>
      <c r="F1485" s="26"/>
    </row>
    <row r="1486" spans="5:6" ht="15" customHeight="1" x14ac:dyDescent="0.25">
      <c r="E1486" s="26"/>
      <c r="F1486" s="26"/>
    </row>
    <row r="1487" spans="5:6" ht="15" customHeight="1" x14ac:dyDescent="0.25">
      <c r="E1487" s="26"/>
      <c r="F1487" s="26"/>
    </row>
    <row r="1488" spans="5:6" ht="15" customHeight="1" x14ac:dyDescent="0.25">
      <c r="E1488" s="26"/>
      <c r="F1488" s="26"/>
    </row>
    <row r="1489" spans="5:6" ht="15" customHeight="1" x14ac:dyDescent="0.25">
      <c r="E1489" s="26"/>
      <c r="F1489" s="26"/>
    </row>
    <row r="1490" spans="5:6" ht="15" customHeight="1" x14ac:dyDescent="0.25">
      <c r="E1490" s="26"/>
      <c r="F1490" s="26"/>
    </row>
    <row r="1491" spans="5:6" ht="15" customHeight="1" x14ac:dyDescent="0.25">
      <c r="E1491" s="26"/>
      <c r="F1491" s="26"/>
    </row>
    <row r="1492" spans="5:6" ht="15" customHeight="1" x14ac:dyDescent="0.25">
      <c r="E1492" s="26"/>
      <c r="F1492" s="26"/>
    </row>
    <row r="1493" spans="5:6" ht="15" customHeight="1" x14ac:dyDescent="0.25">
      <c r="E1493" s="26"/>
      <c r="F1493" s="26"/>
    </row>
    <row r="1494" spans="5:6" ht="15" customHeight="1" x14ac:dyDescent="0.25">
      <c r="E1494" s="26"/>
      <c r="F1494" s="26"/>
    </row>
    <row r="1495" spans="5:6" ht="15" customHeight="1" x14ac:dyDescent="0.25">
      <c r="E1495" s="26"/>
      <c r="F1495" s="26"/>
    </row>
    <row r="1496" spans="5:6" ht="15" customHeight="1" x14ac:dyDescent="0.25">
      <c r="E1496" s="26"/>
      <c r="F1496" s="26"/>
    </row>
    <row r="1497" spans="5:6" ht="15" customHeight="1" x14ac:dyDescent="0.25">
      <c r="E1497" s="26"/>
      <c r="F1497" s="26"/>
    </row>
    <row r="1498" spans="5:6" ht="15" customHeight="1" x14ac:dyDescent="0.25">
      <c r="E1498" s="26"/>
      <c r="F1498" s="26"/>
    </row>
    <row r="1499" spans="5:6" ht="15" customHeight="1" x14ac:dyDescent="0.25">
      <c r="E1499" s="26"/>
      <c r="F1499" s="26"/>
    </row>
    <row r="1500" spans="5:6" ht="15" customHeight="1" x14ac:dyDescent="0.25">
      <c r="E1500" s="26"/>
      <c r="F1500" s="26"/>
    </row>
    <row r="1501" spans="5:6" ht="15" customHeight="1" x14ac:dyDescent="0.25">
      <c r="E1501" s="26"/>
      <c r="F1501" s="26"/>
    </row>
    <row r="1502" spans="5:6" ht="15" customHeight="1" x14ac:dyDescent="0.25">
      <c r="E1502" s="26"/>
      <c r="F1502" s="26"/>
    </row>
    <row r="1503" spans="5:6" ht="15" customHeight="1" x14ac:dyDescent="0.25">
      <c r="E1503" s="26"/>
      <c r="F1503" s="26"/>
    </row>
    <row r="1504" spans="5:6" ht="15" customHeight="1" x14ac:dyDescent="0.25">
      <c r="E1504" s="26"/>
      <c r="F1504" s="26"/>
    </row>
    <row r="1505" spans="5:6" ht="15" customHeight="1" x14ac:dyDescent="0.25">
      <c r="E1505" s="26"/>
      <c r="F1505" s="26"/>
    </row>
    <row r="1506" spans="5:6" ht="15" customHeight="1" x14ac:dyDescent="0.25">
      <c r="E1506" s="26"/>
      <c r="F1506" s="26"/>
    </row>
    <row r="1507" spans="5:6" ht="15" customHeight="1" x14ac:dyDescent="0.25">
      <c r="E1507" s="26"/>
      <c r="F1507" s="26"/>
    </row>
    <row r="1508" spans="5:6" ht="15" customHeight="1" x14ac:dyDescent="0.25">
      <c r="E1508" s="26"/>
      <c r="F1508" s="26"/>
    </row>
    <row r="1509" spans="5:6" ht="15" customHeight="1" x14ac:dyDescent="0.25">
      <c r="E1509" s="26"/>
      <c r="F1509" s="26"/>
    </row>
    <row r="1510" spans="5:6" ht="15" customHeight="1" x14ac:dyDescent="0.25">
      <c r="E1510" s="26"/>
      <c r="F1510" s="26"/>
    </row>
    <row r="1511" spans="5:6" ht="15" customHeight="1" x14ac:dyDescent="0.25">
      <c r="E1511" s="26"/>
      <c r="F1511" s="26"/>
    </row>
    <row r="1512" spans="5:6" ht="15" customHeight="1" x14ac:dyDescent="0.25">
      <c r="E1512" s="26"/>
      <c r="F1512" s="26"/>
    </row>
    <row r="1513" spans="5:6" ht="15" customHeight="1" x14ac:dyDescent="0.25">
      <c r="E1513" s="26"/>
      <c r="F1513" s="26"/>
    </row>
    <row r="1514" spans="5:6" ht="15" customHeight="1" x14ac:dyDescent="0.25">
      <c r="E1514" s="26"/>
      <c r="F1514" s="26"/>
    </row>
    <row r="1515" spans="5:6" ht="15" customHeight="1" x14ac:dyDescent="0.25">
      <c r="E1515" s="26"/>
      <c r="F1515" s="26"/>
    </row>
    <row r="1516" spans="5:6" ht="15" customHeight="1" x14ac:dyDescent="0.25">
      <c r="E1516" s="26"/>
      <c r="F1516" s="26"/>
    </row>
    <row r="1517" spans="5:6" ht="15" customHeight="1" x14ac:dyDescent="0.25">
      <c r="E1517" s="26"/>
      <c r="F1517" s="26"/>
    </row>
    <row r="1518" spans="5:6" ht="15" customHeight="1" x14ac:dyDescent="0.25">
      <c r="E1518" s="26"/>
      <c r="F1518" s="26"/>
    </row>
    <row r="1519" spans="5:6" ht="15" customHeight="1" x14ac:dyDescent="0.25">
      <c r="E1519" s="26"/>
      <c r="F1519" s="26"/>
    </row>
    <row r="1520" spans="5:6" ht="15" customHeight="1" x14ac:dyDescent="0.25">
      <c r="E1520" s="26"/>
      <c r="F1520" s="26"/>
    </row>
    <row r="1521" spans="5:6" ht="15" customHeight="1" x14ac:dyDescent="0.25">
      <c r="E1521" s="26"/>
      <c r="F1521" s="26"/>
    </row>
    <row r="1522" spans="5:6" ht="15" customHeight="1" x14ac:dyDescent="0.25">
      <c r="E1522" s="26"/>
      <c r="F1522" s="26"/>
    </row>
    <row r="1523" spans="5:6" ht="15" customHeight="1" x14ac:dyDescent="0.25">
      <c r="E1523" s="26"/>
      <c r="F1523" s="26"/>
    </row>
    <row r="1524" spans="5:6" ht="15" customHeight="1" x14ac:dyDescent="0.25">
      <c r="E1524" s="26"/>
      <c r="F1524" s="26"/>
    </row>
    <row r="1525" spans="5:6" ht="15" customHeight="1" x14ac:dyDescent="0.25">
      <c r="E1525" s="26"/>
      <c r="F1525" s="26"/>
    </row>
    <row r="1526" spans="5:6" ht="15" customHeight="1" x14ac:dyDescent="0.25">
      <c r="E1526" s="26"/>
      <c r="F1526" s="26"/>
    </row>
    <row r="1527" spans="5:6" ht="15" customHeight="1" x14ac:dyDescent="0.25">
      <c r="E1527" s="26"/>
      <c r="F1527" s="26"/>
    </row>
    <row r="1528" spans="5:6" ht="15" customHeight="1" x14ac:dyDescent="0.25">
      <c r="E1528" s="26"/>
      <c r="F1528" s="26"/>
    </row>
    <row r="1529" spans="5:6" ht="15" customHeight="1" x14ac:dyDescent="0.25">
      <c r="E1529" s="26"/>
      <c r="F1529" s="26"/>
    </row>
    <row r="1530" spans="5:6" ht="15" customHeight="1" x14ac:dyDescent="0.25">
      <c r="E1530" s="26"/>
      <c r="F1530" s="26"/>
    </row>
    <row r="1531" spans="5:6" ht="15" customHeight="1" x14ac:dyDescent="0.25">
      <c r="E1531" s="26"/>
      <c r="F1531" s="26"/>
    </row>
    <row r="1532" spans="5:6" ht="15" customHeight="1" x14ac:dyDescent="0.25">
      <c r="E1532" s="26"/>
      <c r="F1532" s="26"/>
    </row>
    <row r="1533" spans="5:6" ht="15" customHeight="1" x14ac:dyDescent="0.25">
      <c r="E1533" s="26"/>
      <c r="F1533" s="26"/>
    </row>
    <row r="1534" spans="5:6" ht="15" customHeight="1" x14ac:dyDescent="0.25">
      <c r="E1534" s="26"/>
      <c r="F1534" s="26"/>
    </row>
    <row r="1535" spans="5:6" ht="15" customHeight="1" x14ac:dyDescent="0.25">
      <c r="E1535" s="26"/>
      <c r="F1535" s="26"/>
    </row>
    <row r="1536" spans="5:6" ht="15" customHeight="1" x14ac:dyDescent="0.25">
      <c r="E1536" s="26"/>
      <c r="F1536" s="26"/>
    </row>
    <row r="1537" spans="5:6" ht="15" customHeight="1" x14ac:dyDescent="0.25">
      <c r="E1537" s="26"/>
      <c r="F1537" s="26"/>
    </row>
    <row r="1538" spans="5:6" ht="15" customHeight="1" x14ac:dyDescent="0.25">
      <c r="E1538" s="26"/>
      <c r="F1538" s="26"/>
    </row>
    <row r="1539" spans="5:6" ht="15" customHeight="1" x14ac:dyDescent="0.25">
      <c r="E1539" s="26"/>
      <c r="F1539" s="26"/>
    </row>
    <row r="1540" spans="5:6" ht="15" customHeight="1" x14ac:dyDescent="0.25">
      <c r="E1540" s="26"/>
      <c r="F1540" s="26"/>
    </row>
    <row r="1541" spans="5:6" ht="15" customHeight="1" x14ac:dyDescent="0.25">
      <c r="E1541" s="26"/>
      <c r="F1541" s="26"/>
    </row>
    <row r="1542" spans="5:6" ht="15" customHeight="1" x14ac:dyDescent="0.25">
      <c r="E1542" s="26"/>
      <c r="F1542" s="26"/>
    </row>
    <row r="1543" spans="5:6" ht="15" customHeight="1" x14ac:dyDescent="0.25">
      <c r="E1543" s="26"/>
      <c r="F1543" s="26"/>
    </row>
    <row r="1544" spans="5:6" ht="15" customHeight="1" x14ac:dyDescent="0.25">
      <c r="E1544" s="26"/>
      <c r="F1544" s="26"/>
    </row>
    <row r="1545" spans="5:6" ht="15" customHeight="1" x14ac:dyDescent="0.25">
      <c r="E1545" s="26"/>
      <c r="F1545" s="26"/>
    </row>
    <row r="1546" spans="5:6" ht="15" customHeight="1" x14ac:dyDescent="0.25">
      <c r="E1546" s="26"/>
      <c r="F1546" s="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/>
  </sheetViews>
  <sheetFormatPr defaultRowHeight="12.75" x14ac:dyDescent="0.2"/>
  <sheetData>
    <row r="1" spans="1:13" x14ac:dyDescent="0.2">
      <c r="A1" s="170" t="s">
        <v>951</v>
      </c>
      <c r="B1" s="170" t="s">
        <v>952</v>
      </c>
      <c r="C1" s="170" t="s">
        <v>4</v>
      </c>
      <c r="D1" s="170" t="s">
        <v>953</v>
      </c>
      <c r="E1" s="170" t="s">
        <v>954</v>
      </c>
      <c r="F1" s="170" t="s">
        <v>955</v>
      </c>
      <c r="G1" s="170" t="s">
        <v>956</v>
      </c>
      <c r="H1" s="170" t="s">
        <v>957</v>
      </c>
      <c r="I1" s="170" t="s">
        <v>958</v>
      </c>
      <c r="J1" s="170" t="s">
        <v>959</v>
      </c>
      <c r="K1" s="170" t="s">
        <v>960</v>
      </c>
      <c r="L1" s="170" t="s">
        <v>961</v>
      </c>
      <c r="M1" s="170" t="s">
        <v>962</v>
      </c>
    </row>
    <row r="2" spans="1:13" x14ac:dyDescent="0.2">
      <c r="A2" s="171">
        <v>45963.237795081019</v>
      </c>
      <c r="B2" t="s">
        <v>963</v>
      </c>
      <c r="C2" t="s">
        <v>964</v>
      </c>
      <c r="D2" t="s">
        <v>965</v>
      </c>
      <c r="E2" t="s">
        <v>966</v>
      </c>
      <c r="F2">
        <v>-1</v>
      </c>
      <c r="G2">
        <v>-76</v>
      </c>
      <c r="H2">
        <v>180</v>
      </c>
      <c r="I2" t="s">
        <v>967</v>
      </c>
      <c r="J2" t="s">
        <v>968</v>
      </c>
      <c r="K2" s="171">
        <v>45963.23778935185</v>
      </c>
      <c r="L2" t="s">
        <v>969</v>
      </c>
      <c r="M2" t="s">
        <v>970</v>
      </c>
    </row>
    <row r="3" spans="1:13" x14ac:dyDescent="0.2">
      <c r="A3" s="171">
        <v>45963.245071226847</v>
      </c>
      <c r="B3" t="s">
        <v>963</v>
      </c>
      <c r="C3" t="s">
        <v>964</v>
      </c>
      <c r="D3" t="s">
        <v>971</v>
      </c>
      <c r="E3" t="s">
        <v>966</v>
      </c>
      <c r="F3">
        <v>-1</v>
      </c>
      <c r="G3">
        <v>-76</v>
      </c>
      <c r="H3">
        <v>180</v>
      </c>
      <c r="I3" t="s">
        <v>972</v>
      </c>
      <c r="J3" t="s">
        <v>968</v>
      </c>
      <c r="K3" s="171">
        <v>45963.245069444441</v>
      </c>
      <c r="L3" t="s">
        <v>969</v>
      </c>
      <c r="M3" t="s">
        <v>973</v>
      </c>
    </row>
    <row r="4" spans="1:13" x14ac:dyDescent="0.2">
      <c r="A4" s="171">
        <v>45963.24704347222</v>
      </c>
      <c r="B4" t="s">
        <v>963</v>
      </c>
      <c r="C4" t="s">
        <v>964</v>
      </c>
      <c r="D4" t="s">
        <v>974</v>
      </c>
      <c r="E4" t="s">
        <v>966</v>
      </c>
      <c r="F4">
        <v>0</v>
      </c>
      <c r="G4">
        <v>0</v>
      </c>
      <c r="H4">
        <v>90</v>
      </c>
      <c r="I4" t="s">
        <v>975</v>
      </c>
      <c r="J4" t="s">
        <v>976</v>
      </c>
      <c r="K4" s="171">
        <v>45963</v>
      </c>
      <c r="L4" t="s">
        <v>977</v>
      </c>
      <c r="M4" t="s">
        <v>978</v>
      </c>
    </row>
    <row r="5" spans="1:13" x14ac:dyDescent="0.2">
      <c r="A5" s="171">
        <v>45963.24704347222</v>
      </c>
      <c r="B5" t="s">
        <v>963</v>
      </c>
      <c r="C5" t="s">
        <v>964</v>
      </c>
      <c r="D5" t="s">
        <v>974</v>
      </c>
      <c r="E5" t="s">
        <v>966</v>
      </c>
      <c r="F5">
        <v>-1</v>
      </c>
      <c r="G5">
        <v>-76</v>
      </c>
      <c r="H5">
        <v>90</v>
      </c>
      <c r="I5" t="s">
        <v>979</v>
      </c>
      <c r="J5" t="s">
        <v>976</v>
      </c>
      <c r="K5" s="171">
        <v>45993</v>
      </c>
      <c r="L5" t="s">
        <v>977</v>
      </c>
      <c r="M5" t="s">
        <v>978</v>
      </c>
    </row>
    <row r="6" spans="1:13" x14ac:dyDescent="0.2">
      <c r="A6" s="171">
        <v>45963.250828368058</v>
      </c>
      <c r="B6" t="s">
        <v>980</v>
      </c>
      <c r="C6" t="s">
        <v>981</v>
      </c>
      <c r="D6" t="s">
        <v>971</v>
      </c>
      <c r="E6" t="s">
        <v>966</v>
      </c>
      <c r="F6">
        <v>0</v>
      </c>
      <c r="G6">
        <v>0</v>
      </c>
      <c r="H6">
        <v>229</v>
      </c>
      <c r="I6" t="s">
        <v>982</v>
      </c>
      <c r="J6" t="s">
        <v>976</v>
      </c>
      <c r="K6" s="171">
        <v>45963</v>
      </c>
      <c r="L6" t="s">
        <v>977</v>
      </c>
      <c r="M6" t="s">
        <v>983</v>
      </c>
    </row>
    <row r="7" spans="1:13" x14ac:dyDescent="0.2">
      <c r="A7" s="171">
        <v>45963.250828368058</v>
      </c>
      <c r="B7" t="s">
        <v>980</v>
      </c>
      <c r="C7" t="s">
        <v>981</v>
      </c>
      <c r="D7" t="s">
        <v>971</v>
      </c>
      <c r="E7" t="s">
        <v>966</v>
      </c>
      <c r="F7">
        <v>-1</v>
      </c>
      <c r="G7">
        <v>-75.900000000000006</v>
      </c>
      <c r="H7">
        <v>229</v>
      </c>
      <c r="I7" t="s">
        <v>984</v>
      </c>
      <c r="J7" t="s">
        <v>976</v>
      </c>
      <c r="K7" s="171">
        <v>45993</v>
      </c>
      <c r="L7" t="s">
        <v>977</v>
      </c>
      <c r="M7" t="s">
        <v>983</v>
      </c>
    </row>
    <row r="8" spans="1:13" x14ac:dyDescent="0.2">
      <c r="A8" s="171">
        <v>45963.250828368058</v>
      </c>
      <c r="B8" t="s">
        <v>963</v>
      </c>
      <c r="C8" t="s">
        <v>964</v>
      </c>
      <c r="D8" t="s">
        <v>971</v>
      </c>
      <c r="E8" t="s">
        <v>966</v>
      </c>
      <c r="F8">
        <v>0</v>
      </c>
      <c r="G8">
        <v>0</v>
      </c>
      <c r="H8">
        <v>229</v>
      </c>
      <c r="I8" t="s">
        <v>982</v>
      </c>
      <c r="J8" t="s">
        <v>976</v>
      </c>
      <c r="K8" s="171">
        <v>45963</v>
      </c>
      <c r="L8" t="s">
        <v>977</v>
      </c>
      <c r="M8" t="s">
        <v>983</v>
      </c>
    </row>
    <row r="9" spans="1:13" x14ac:dyDescent="0.2">
      <c r="A9" s="171">
        <v>45963.250828368058</v>
      </c>
      <c r="B9" t="s">
        <v>963</v>
      </c>
      <c r="C9" t="s">
        <v>964</v>
      </c>
      <c r="D9" t="s">
        <v>971</v>
      </c>
      <c r="E9" t="s">
        <v>966</v>
      </c>
      <c r="F9">
        <v>-1</v>
      </c>
      <c r="G9">
        <v>-76</v>
      </c>
      <c r="H9">
        <v>229</v>
      </c>
      <c r="I9" t="s">
        <v>984</v>
      </c>
      <c r="J9" t="s">
        <v>976</v>
      </c>
      <c r="K9" s="171">
        <v>45993</v>
      </c>
      <c r="L9" t="s">
        <v>977</v>
      </c>
      <c r="M9" t="s">
        <v>983</v>
      </c>
    </row>
    <row r="10" spans="1:13" x14ac:dyDescent="0.2">
      <c r="A10" s="171">
        <v>45963.265453622676</v>
      </c>
      <c r="B10" t="s">
        <v>963</v>
      </c>
      <c r="C10" t="s">
        <v>964</v>
      </c>
      <c r="D10" t="s">
        <v>14</v>
      </c>
      <c r="E10" t="s">
        <v>985</v>
      </c>
      <c r="F10">
        <v>3</v>
      </c>
      <c r="G10">
        <v>228</v>
      </c>
      <c r="H10">
        <v>540</v>
      </c>
      <c r="J10" t="s">
        <v>968</v>
      </c>
      <c r="K10" s="171">
        <v>45963.999988425923</v>
      </c>
      <c r="L10" t="s">
        <v>969</v>
      </c>
      <c r="M10" t="s">
        <v>986</v>
      </c>
    </row>
    <row r="11" spans="1:13" x14ac:dyDescent="0.2">
      <c r="A11" s="171">
        <v>45963.266022951393</v>
      </c>
      <c r="B11" t="s">
        <v>963</v>
      </c>
      <c r="C11" t="s">
        <v>964</v>
      </c>
      <c r="D11" t="s">
        <v>14</v>
      </c>
      <c r="E11" t="s">
        <v>985</v>
      </c>
      <c r="F11">
        <v>5</v>
      </c>
      <c r="G11">
        <v>380</v>
      </c>
      <c r="H11">
        <v>900</v>
      </c>
      <c r="I11" t="s">
        <v>987</v>
      </c>
      <c r="J11" t="s">
        <v>968</v>
      </c>
      <c r="K11" s="171">
        <v>45963.999988425923</v>
      </c>
      <c r="L11" t="s">
        <v>969</v>
      </c>
      <c r="M11" t="s">
        <v>988</v>
      </c>
    </row>
    <row r="12" spans="1:13" x14ac:dyDescent="0.2">
      <c r="A12" s="171">
        <v>45963.277897743057</v>
      </c>
      <c r="B12" t="s">
        <v>980</v>
      </c>
      <c r="C12" t="s">
        <v>981</v>
      </c>
      <c r="D12" t="s">
        <v>965</v>
      </c>
      <c r="E12" t="s">
        <v>966</v>
      </c>
      <c r="F12">
        <v>-1</v>
      </c>
      <c r="G12">
        <v>-75.900000000000006</v>
      </c>
      <c r="H12">
        <v>278</v>
      </c>
      <c r="J12" t="s">
        <v>968</v>
      </c>
      <c r="K12" s="171">
        <v>45963.27789351852</v>
      </c>
      <c r="L12" t="s">
        <v>969</v>
      </c>
      <c r="M12" t="s">
        <v>989</v>
      </c>
    </row>
    <row r="13" spans="1:13" x14ac:dyDescent="0.2">
      <c r="A13" s="171">
        <v>45963.278270694442</v>
      </c>
      <c r="B13" t="s">
        <v>963</v>
      </c>
      <c r="C13" t="s">
        <v>964</v>
      </c>
      <c r="D13" t="s">
        <v>965</v>
      </c>
      <c r="E13" t="s">
        <v>966</v>
      </c>
      <c r="F13">
        <v>-1</v>
      </c>
      <c r="G13">
        <v>-76</v>
      </c>
      <c r="H13">
        <v>180</v>
      </c>
      <c r="I13" t="s">
        <v>963</v>
      </c>
      <c r="J13" t="s">
        <v>976</v>
      </c>
      <c r="K13" s="171">
        <v>45963</v>
      </c>
      <c r="L13" t="s">
        <v>990</v>
      </c>
      <c r="M13" t="s">
        <v>991</v>
      </c>
    </row>
    <row r="14" spans="1:13" x14ac:dyDescent="0.2">
      <c r="A14" s="171">
        <v>45963.302532384158</v>
      </c>
      <c r="B14" t="s">
        <v>980</v>
      </c>
      <c r="C14" t="s">
        <v>981</v>
      </c>
      <c r="D14" t="s">
        <v>14</v>
      </c>
      <c r="E14" t="s">
        <v>985</v>
      </c>
      <c r="F14">
        <v>6</v>
      </c>
      <c r="G14">
        <v>455.4</v>
      </c>
      <c r="H14">
        <v>1668</v>
      </c>
      <c r="J14" t="s">
        <v>968</v>
      </c>
      <c r="K14" t="s">
        <v>992</v>
      </c>
      <c r="L14" t="s">
        <v>969</v>
      </c>
      <c r="M14" t="s">
        <v>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70" t="s">
        <v>994</v>
      </c>
      <c r="B1" s="170" t="s">
        <v>5</v>
      </c>
      <c r="C1" s="170" t="s">
        <v>995</v>
      </c>
      <c r="D1" s="170" t="s">
        <v>996</v>
      </c>
      <c r="E1" s="170" t="s">
        <v>997</v>
      </c>
      <c r="F1" s="170" t="s">
        <v>958</v>
      </c>
    </row>
    <row r="2" spans="1:6" x14ac:dyDescent="0.2">
      <c r="A2" t="s">
        <v>998</v>
      </c>
      <c r="B2" t="s">
        <v>965</v>
      </c>
      <c r="C2" t="s">
        <v>999</v>
      </c>
      <c r="D2" t="s">
        <v>1000</v>
      </c>
      <c r="E2" t="s">
        <v>1001</v>
      </c>
      <c r="F2" t="s">
        <v>1002</v>
      </c>
    </row>
    <row r="3" spans="1:6" x14ac:dyDescent="0.2">
      <c r="A3" t="s">
        <v>1003</v>
      </c>
      <c r="B3" t="s">
        <v>974</v>
      </c>
      <c r="C3" t="s">
        <v>1004</v>
      </c>
      <c r="D3" t="s">
        <v>1005</v>
      </c>
      <c r="E3" t="s">
        <v>1006</v>
      </c>
      <c r="F3" t="s">
        <v>1007</v>
      </c>
    </row>
    <row r="4" spans="1:6" x14ac:dyDescent="0.2">
      <c r="A4" t="s">
        <v>1008</v>
      </c>
      <c r="B4" t="s">
        <v>1009</v>
      </c>
      <c r="C4" t="s">
        <v>1010</v>
      </c>
      <c r="D4" t="s">
        <v>1010</v>
      </c>
      <c r="E4" t="s">
        <v>1011</v>
      </c>
      <c r="F4" t="s">
        <v>1012</v>
      </c>
    </row>
    <row r="5" spans="1:6" x14ac:dyDescent="0.2">
      <c r="A5" t="s">
        <v>1013</v>
      </c>
      <c r="B5" t="s">
        <v>971</v>
      </c>
      <c r="F5" t="s">
        <v>1014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51" customWidth="1"/>
    <col min="2" max="2" width="28.140625" style="151" customWidth="1"/>
  </cols>
  <sheetData>
    <row r="1" spans="1:2" ht="18" customHeight="1" x14ac:dyDescent="0.25">
      <c r="A1" s="145" t="s">
        <v>1015</v>
      </c>
      <c r="B1" s="168">
        <f>SUMIFS(Movimento!H:H, Movimento!E:E, "SAÍDA", Movimento!J:J, "PAGO")</f>
        <v>638</v>
      </c>
    </row>
    <row r="2" spans="1:2" ht="18" customHeight="1" x14ac:dyDescent="0.25">
      <c r="A2" s="145" t="s">
        <v>1016</v>
      </c>
      <c r="B2" s="169">
        <f>SUMIFS(Movimento!G:G, Movimento!E:E, "SAÍDA") * -1</f>
        <v>531.79999999999995</v>
      </c>
    </row>
    <row r="3" spans="1:2" ht="18" customHeight="1" x14ac:dyDescent="0.25">
      <c r="A3" s="145" t="s">
        <v>1017</v>
      </c>
      <c r="B3" s="169">
        <f>B1 - B2</f>
        <v>106.20000000000005</v>
      </c>
    </row>
    <row r="4" spans="1:2" ht="18" customHeight="1" x14ac:dyDescent="0.25">
      <c r="A4" s="145" t="s">
        <v>1018</v>
      </c>
      <c r="B4" s="147">
        <f>(B3 / B1)</f>
        <v>0.16645768025078378</v>
      </c>
    </row>
    <row r="5" spans="1:2" ht="18" customHeight="1" x14ac:dyDescent="0.25">
      <c r="A5" s="145" t="s">
        <v>1019</v>
      </c>
      <c r="B5" s="146">
        <f>SUMIFS(Movimento!F:F, Movimento!J:J, "A RECEBER") * -1</f>
        <v>4</v>
      </c>
    </row>
    <row r="6" spans="1:2" ht="18" customHeight="1" x14ac:dyDescent="0.25">
      <c r="A6" s="145" t="s">
        <v>1020</v>
      </c>
      <c r="B6" s="169">
        <f>SUMIFS(Movimento!H:H, Movimento!J:J, "A RECEBER")</f>
        <v>1276</v>
      </c>
    </row>
    <row r="7" spans="1:2" ht="18" customHeight="1" x14ac:dyDescent="0.25">
      <c r="A7" s="145" t="s">
        <v>1021</v>
      </c>
      <c r="B7" s="146">
        <f>SUM(Movimento!F:F)</f>
        <v>7</v>
      </c>
    </row>
    <row r="8" spans="1:2" ht="18" customHeight="1" x14ac:dyDescent="0.25">
      <c r="A8" s="145" t="s">
        <v>1022</v>
      </c>
      <c r="B8" s="169">
        <f>SUM(Movimento!G:G)</f>
        <v>531.6</v>
      </c>
    </row>
    <row r="9" spans="1:2" ht="18" customHeight="1" x14ac:dyDescent="0.25">
      <c r="A9" s="145" t="s">
        <v>1023</v>
      </c>
      <c r="B9" s="169">
        <f>B1- B8</f>
        <v>106.39999999999998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ydj</cp:lastModifiedBy>
  <dcterms:created xsi:type="dcterms:W3CDTF">2025-08-12T18:12:27Z</dcterms:created>
  <dcterms:modified xsi:type="dcterms:W3CDTF">2025-11-20T00:45:32Z</dcterms:modified>
</cp:coreProperties>
</file>