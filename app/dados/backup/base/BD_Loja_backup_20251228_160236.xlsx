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ydj\Desktop\Projetos\Luana\loja_cosmeticos\app\dados\"/>
    </mc:Choice>
  </mc:AlternateContent>
  <xr:revisionPtr revIDLastSave="0" documentId="13_ncr:1_{A021C59C-7E49-4C2C-AD04-5F8A89926C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tos" sheetId="1" r:id="rId1"/>
    <sheet name="Movimento" sheetId="2" r:id="rId2"/>
    <sheet name="Clientes" sheetId="3" r:id="rId3"/>
    <sheet name="Relatori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B2" i="4"/>
  <c r="B1" i="4"/>
  <c r="B9" i="4" s="1"/>
  <c r="C50" i="2"/>
  <c r="C38" i="2"/>
  <c r="C26" i="2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C42" i="2" s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C51" i="2" s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C19" i="2" s="1"/>
  <c r="E709" i="1"/>
  <c r="E708" i="1"/>
  <c r="E707" i="1"/>
  <c r="E706" i="1"/>
  <c r="E705" i="1"/>
  <c r="C20" i="2" s="1"/>
  <c r="E704" i="1"/>
  <c r="E703" i="1"/>
  <c r="E702" i="1"/>
  <c r="E701" i="1"/>
  <c r="E700" i="1"/>
  <c r="E699" i="1"/>
  <c r="E698" i="1"/>
  <c r="E697" i="1"/>
  <c r="C33" i="2" s="1"/>
  <c r="E696" i="1"/>
  <c r="E695" i="1"/>
  <c r="E694" i="1"/>
  <c r="E693" i="1"/>
  <c r="E692" i="1"/>
  <c r="E691" i="1"/>
  <c r="C21" i="2" s="1"/>
  <c r="E690" i="1"/>
  <c r="E689" i="1"/>
  <c r="C12" i="2" s="1"/>
  <c r="E688" i="1"/>
  <c r="E687" i="1"/>
  <c r="E686" i="1"/>
  <c r="E685" i="1"/>
  <c r="E684" i="1"/>
  <c r="E683" i="1"/>
  <c r="C11" i="2" s="1"/>
  <c r="E682" i="1"/>
  <c r="E681" i="1"/>
  <c r="E680" i="1"/>
  <c r="E679" i="1"/>
  <c r="C15" i="2" s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C49" i="2" s="1"/>
  <c r="E642" i="1"/>
  <c r="E641" i="1"/>
  <c r="E640" i="1"/>
  <c r="E639" i="1"/>
  <c r="E638" i="1"/>
  <c r="E637" i="1"/>
  <c r="E636" i="1"/>
  <c r="E635" i="1"/>
  <c r="E634" i="1"/>
  <c r="C13" i="2" s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C39" i="2" s="1"/>
  <c r="E614" i="1"/>
  <c r="E613" i="1"/>
  <c r="E612" i="1"/>
  <c r="E611" i="1"/>
  <c r="E610" i="1"/>
  <c r="E609" i="1"/>
  <c r="E608" i="1"/>
  <c r="C7" i="2" s="1"/>
  <c r="E607" i="1"/>
  <c r="C9" i="2" s="1"/>
  <c r="E606" i="1"/>
  <c r="E605" i="1"/>
  <c r="E604" i="1"/>
  <c r="E603" i="1"/>
  <c r="E602" i="1"/>
  <c r="E601" i="1"/>
  <c r="C43" i="2" s="1"/>
  <c r="E600" i="1"/>
  <c r="E599" i="1"/>
  <c r="E598" i="1"/>
  <c r="E597" i="1"/>
  <c r="E596" i="1"/>
  <c r="E595" i="1"/>
  <c r="E594" i="1"/>
  <c r="E593" i="1"/>
  <c r="E592" i="1"/>
  <c r="E591" i="1"/>
  <c r="C48" i="2" s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C53" i="2" s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C34" i="2" s="1"/>
  <c r="E529" i="1"/>
  <c r="E528" i="1"/>
  <c r="C56" i="2" s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C55" i="2" s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C45" i="2" s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C41" i="2" s="1"/>
  <c r="E420" i="1"/>
  <c r="E419" i="1"/>
  <c r="E418" i="1"/>
  <c r="E417" i="1"/>
  <c r="E416" i="1"/>
  <c r="E415" i="1"/>
  <c r="E414" i="1"/>
  <c r="E413" i="1"/>
  <c r="E412" i="1"/>
  <c r="E411" i="1"/>
  <c r="E410" i="1"/>
  <c r="C47" i="2" s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C54" i="2" s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C44" i="2" s="1"/>
  <c r="E346" i="1"/>
  <c r="E345" i="1"/>
  <c r="E344" i="1"/>
  <c r="E343" i="1"/>
  <c r="E342" i="1"/>
  <c r="E341" i="1"/>
  <c r="E340" i="1"/>
  <c r="E339" i="1"/>
  <c r="E338" i="1"/>
  <c r="E337" i="1"/>
  <c r="E336" i="1"/>
  <c r="E335" i="1"/>
  <c r="C52" i="2" s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C40" i="2" s="1"/>
  <c r="E311" i="1"/>
  <c r="E310" i="1"/>
  <c r="E309" i="1"/>
  <c r="E308" i="1"/>
  <c r="E307" i="1"/>
  <c r="E306" i="1"/>
  <c r="E305" i="1"/>
  <c r="C16" i="2" s="1"/>
  <c r="E304" i="1"/>
  <c r="E303" i="1"/>
  <c r="E302" i="1"/>
  <c r="E301" i="1"/>
  <c r="E300" i="1"/>
  <c r="E299" i="1"/>
  <c r="E298" i="1"/>
  <c r="E297" i="1"/>
  <c r="E296" i="1"/>
  <c r="E295" i="1"/>
  <c r="E294" i="1"/>
  <c r="C10" i="2" s="1"/>
  <c r="E293" i="1"/>
  <c r="E292" i="1"/>
  <c r="E291" i="1"/>
  <c r="E290" i="1"/>
  <c r="E289" i="1"/>
  <c r="E288" i="1"/>
  <c r="E287" i="1"/>
  <c r="C8" i="2" s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C22" i="2" s="1"/>
  <c r="E266" i="1"/>
  <c r="E265" i="1"/>
  <c r="E264" i="1"/>
  <c r="E263" i="1"/>
  <c r="C14" i="2" s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C32" i="2" s="1"/>
  <c r="E96" i="1"/>
  <c r="E95" i="1"/>
  <c r="E94" i="1"/>
  <c r="C36" i="2" s="1"/>
  <c r="E93" i="1"/>
  <c r="E92" i="1"/>
  <c r="E91" i="1"/>
  <c r="E90" i="1"/>
  <c r="E89" i="1"/>
  <c r="E88" i="1"/>
  <c r="C35" i="2" s="1"/>
  <c r="E87" i="1"/>
  <c r="C37" i="2" s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C23" i="2" s="1"/>
  <c r="E72" i="1"/>
  <c r="E71" i="1"/>
  <c r="E70" i="1"/>
  <c r="E69" i="1"/>
  <c r="C28" i="2" s="1"/>
  <c r="E68" i="1"/>
  <c r="E67" i="1"/>
  <c r="E66" i="1"/>
  <c r="E65" i="1"/>
  <c r="E64" i="1"/>
  <c r="E63" i="1"/>
  <c r="E62" i="1"/>
  <c r="E61" i="1"/>
  <c r="C17" i="2" s="1"/>
  <c r="E60" i="1"/>
  <c r="E59" i="1"/>
  <c r="E58" i="1"/>
  <c r="E57" i="1"/>
  <c r="C27" i="2" s="1"/>
  <c r="E56" i="1"/>
  <c r="C29" i="2" s="1"/>
  <c r="E55" i="1"/>
  <c r="C24" i="2" s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C5" i="2" s="1"/>
  <c r="E31" i="1"/>
  <c r="E30" i="1"/>
  <c r="E29" i="1"/>
  <c r="C46" i="2" s="1"/>
  <c r="E28" i="1"/>
  <c r="E27" i="1"/>
  <c r="C4" i="2" s="1"/>
  <c r="E26" i="1"/>
  <c r="E25" i="1"/>
  <c r="E24" i="1"/>
  <c r="C31" i="2" s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M3" i="1"/>
  <c r="N3" i="1" s="1"/>
  <c r="E3" i="1"/>
  <c r="M2" i="1"/>
  <c r="N2" i="1" s="1"/>
  <c r="E2" i="1"/>
  <c r="C6" i="2" l="1"/>
  <c r="C18" i="2"/>
  <c r="C30" i="2"/>
  <c r="B3" i="4"/>
  <c r="B4" i="4" s="1"/>
  <c r="C25" i="2"/>
</calcChain>
</file>

<file path=xl/sharedStrings.xml><?xml version="1.0" encoding="utf-8"?>
<sst xmlns="http://schemas.openxmlformats.org/spreadsheetml/2006/main" count="5933" uniqueCount="1059">
  <si>
    <t>COD</t>
  </si>
  <si>
    <t>Marca</t>
  </si>
  <si>
    <t>Coleção</t>
  </si>
  <si>
    <t>Categoria</t>
  </si>
  <si>
    <t>Produto</t>
  </si>
  <si>
    <t>Nome</t>
  </si>
  <si>
    <t>Unidade</t>
  </si>
  <si>
    <t>Volume</t>
  </si>
  <si>
    <t>Tipo</t>
  </si>
  <si>
    <t>Descrição</t>
  </si>
  <si>
    <t>Preço Custo</t>
  </si>
  <si>
    <t>Preço Venda</t>
  </si>
  <si>
    <t>Estoque</t>
  </si>
  <si>
    <t>Status estoque</t>
  </si>
  <si>
    <t>NATBRA-2816</t>
  </si>
  <si>
    <t>Natura</t>
  </si>
  <si>
    <t>Tododia</t>
  </si>
  <si>
    <t>Hidrante Desodorante Corporal</t>
  </si>
  <si>
    <t>Algodão</t>
  </si>
  <si>
    <t>400ml</t>
  </si>
  <si>
    <t>Frasco</t>
  </si>
  <si>
    <t xml:space="preserve">Desodorante / nutritivo / creme </t>
  </si>
  <si>
    <t xml:space="preserve">Ameixa e Flor de Baunilha </t>
  </si>
  <si>
    <t>Suave de Algodão \ Nutritivo</t>
  </si>
  <si>
    <t>Acerola e Hibisco</t>
  </si>
  <si>
    <t>Refrescante /  Gelado</t>
  </si>
  <si>
    <t xml:space="preserve">Amora Vermelha e Jabuticaba </t>
  </si>
  <si>
    <t>Capim Limão e Hortelã</t>
  </si>
  <si>
    <t>Cereja Negra e Praliné</t>
  </si>
  <si>
    <t>Cereja e Avela</t>
  </si>
  <si>
    <t>HIdrata. Noturno \ Calmante  \Chá de Camomila e Lavanda</t>
  </si>
  <si>
    <t xml:space="preserve">Todanoite </t>
  </si>
  <si>
    <t xml:space="preserve">200ml </t>
  </si>
  <si>
    <t xml:space="preserve">Frasco </t>
  </si>
  <si>
    <t>HIdrata. Noturno \ Calmante \ Chá de Camomila e Lavanda</t>
  </si>
  <si>
    <t xml:space="preserve">Flor de Gengibre e Tangerina </t>
  </si>
  <si>
    <t>400 ml</t>
  </si>
  <si>
    <t xml:space="preserve">Nutritivo Energizante </t>
  </si>
  <si>
    <t xml:space="preserve">Flor de Pera e Melissa </t>
  </si>
  <si>
    <t xml:space="preserve">Framboesa e PImenta Vermelha </t>
  </si>
  <si>
    <t xml:space="preserve">Jambo Rosa e Flor De Caju </t>
  </si>
  <si>
    <t>Limão Siciliano e Flor de Gardênia</t>
  </si>
  <si>
    <t>Macadâmia</t>
  </si>
  <si>
    <t xml:space="preserve">Maça Caramelada e Baunilha </t>
  </si>
  <si>
    <t xml:space="preserve">Nutritivo \ Especial São João \ Inspirada na Maçã do Amor </t>
  </si>
  <si>
    <t>Manga Rosa e Àgua de Coco</t>
  </si>
  <si>
    <t>Nóz Pecão e Cacau</t>
  </si>
  <si>
    <t xml:space="preserve">Roma e Salvia </t>
  </si>
  <si>
    <t xml:space="preserve">Romã e Flor de Amora </t>
  </si>
  <si>
    <t>Tâmara e Canela</t>
  </si>
  <si>
    <t xml:space="preserve">Algodao </t>
  </si>
  <si>
    <t>Refil</t>
  </si>
  <si>
    <t>NATBRA-100423</t>
  </si>
  <si>
    <t>NATBRA-190159</t>
  </si>
  <si>
    <t>NATBRA-99137</t>
  </si>
  <si>
    <t>Todonoite</t>
  </si>
  <si>
    <t xml:space="preserve">Hidrata. Noturno \ calmante </t>
  </si>
  <si>
    <t>NATBRA-152290</t>
  </si>
  <si>
    <t xml:space="preserve">Creme Hidratante </t>
  </si>
  <si>
    <t>Pote</t>
  </si>
  <si>
    <t xml:space="preserve">Creme Hidrat. Prebiotica \ Vitam +B5   \ Para Massagem </t>
  </si>
  <si>
    <t>Cereja e Avelã</t>
  </si>
  <si>
    <t xml:space="preserve">Pote </t>
  </si>
  <si>
    <t xml:space="preserve">Creme Amanteigado \ Perfumado \ Desodorante </t>
  </si>
  <si>
    <t>250g</t>
  </si>
  <si>
    <t xml:space="preserve">Pele Macia \\ Como Veludo \\ HIdrata. e PErfuma 2x Mais </t>
  </si>
  <si>
    <t xml:space="preserve">Manteiga Creme Corporal </t>
  </si>
  <si>
    <t xml:space="preserve">200g </t>
  </si>
  <si>
    <t>Hidratante / Manteiga para o corpo  hidrata \ Uniformiza \ Desodorante</t>
  </si>
  <si>
    <t xml:space="preserve">Oleo Creme Corporal </t>
  </si>
  <si>
    <t xml:space="preserve">Ultranutritivo \ Restaurador \ Desodorante </t>
  </si>
  <si>
    <t xml:space="preserve">Oleo Corporal </t>
  </si>
  <si>
    <t xml:space="preserve">120ml </t>
  </si>
  <si>
    <t xml:space="preserve">Óleo bifásico \ hidra. intensa \ perfuma </t>
  </si>
  <si>
    <t>Ameixa e Flor de Baunilha</t>
  </si>
  <si>
    <t xml:space="preserve">Concentrado  Relaxante </t>
  </si>
  <si>
    <t>800g</t>
  </si>
  <si>
    <t>Tubo</t>
  </si>
  <si>
    <t xml:space="preserve">Concentrado Relaxante \ perfuma \ essencia relaxante </t>
  </si>
  <si>
    <t>R$ 66, 90</t>
  </si>
  <si>
    <t>Sabonete em barra puro vegetal</t>
  </si>
  <si>
    <t xml:space="preserve">90g </t>
  </si>
  <si>
    <t>Caixa</t>
  </si>
  <si>
    <t xml:space="preserve">Puro vegetal \ Nutritivo </t>
  </si>
  <si>
    <t xml:space="preserve">Algodão </t>
  </si>
  <si>
    <t xml:space="preserve">Acalma \ Relaxa </t>
  </si>
  <si>
    <t>NATBRA-72147</t>
  </si>
  <si>
    <t>Alecrim e Sálvia</t>
  </si>
  <si>
    <t>NATBRA-100535</t>
  </si>
  <si>
    <t>NATBRA-87512</t>
  </si>
  <si>
    <t>Amora Vermelha e Jabuticaba</t>
  </si>
  <si>
    <t xml:space="preserve">Avelã e Cassis </t>
  </si>
  <si>
    <t>Capim Limao e Hortela</t>
  </si>
  <si>
    <t>Cereja Negra e Pranilé</t>
  </si>
  <si>
    <t>NATBRA-95840</t>
  </si>
  <si>
    <t xml:space="preserve">Acalma \ Relaxa \ nutritivo </t>
  </si>
  <si>
    <t xml:space="preserve">energizante \ Nutritivo </t>
  </si>
  <si>
    <t xml:space="preserve">Energ. Flor de Gengibre e Tangerina </t>
  </si>
  <si>
    <t xml:space="preserve">Energizante \ Puro vegetal \ Nutritivo </t>
  </si>
  <si>
    <t xml:space="preserve">Framboesa e PImenta Rosa </t>
  </si>
  <si>
    <t xml:space="preserve">Frutas Vermelha </t>
  </si>
  <si>
    <t>Jasmim e Bergamota</t>
  </si>
  <si>
    <t xml:space="preserve">Maçã Caramelada e Baunilha </t>
  </si>
  <si>
    <t>NATBRA-2829</t>
  </si>
  <si>
    <t xml:space="preserve">Macadamia </t>
  </si>
  <si>
    <t xml:space="preserve">Noz Pecã e Cacau </t>
  </si>
  <si>
    <t>Romã e Flor de Amora</t>
  </si>
  <si>
    <t>NATBRA-7733</t>
  </si>
  <si>
    <t xml:space="preserve">Roma e Uva Rosa, Alecrin e Salvia </t>
  </si>
  <si>
    <t xml:space="preserve">Flor de Lis, Alecrim, Framboesa e Pimenta Vermelha, Macadamia, Frutas Vermelhas </t>
  </si>
  <si>
    <t xml:space="preserve">Ameixa e flor de baunilha, Ameixa e Flor de Cereja eRroma e Flor de Amora  </t>
  </si>
  <si>
    <t>Sabonete Liquido Intimo</t>
  </si>
  <si>
    <t xml:space="preserve">Algodão, Suave, Conforto </t>
  </si>
  <si>
    <t xml:space="preserve">Suave \ Conforto </t>
  </si>
  <si>
    <t xml:space="preserve">Cereja e Avelã </t>
  </si>
  <si>
    <t xml:space="preserve">Proteção \ Cuidado </t>
  </si>
  <si>
    <t>Delicado e Frescor</t>
  </si>
  <si>
    <t xml:space="preserve">Delicado \ Frescor </t>
  </si>
  <si>
    <t xml:space="preserve">Sabonete Liquido Corpo e Esfoliante </t>
  </si>
  <si>
    <t>Limão e Hortelã</t>
  </si>
  <si>
    <t>190g</t>
  </si>
  <si>
    <t xml:space="preserve">Esfoliante </t>
  </si>
  <si>
    <t xml:space="preserve">Esfoliante em Creme Corporal </t>
  </si>
  <si>
    <t>Jambo Rosa e Flor de Caju</t>
  </si>
  <si>
    <t xml:space="preserve">Esfoliante Nutritivo \ Suaviza \ Perfuma </t>
  </si>
  <si>
    <t>Geleia Desodorante Iluminador</t>
  </si>
  <si>
    <t>100g</t>
  </si>
  <si>
    <t xml:space="preserve">Gelia Iluminador \ Desosrante \ Perfuma </t>
  </si>
  <si>
    <t>R$ 59, 90</t>
  </si>
  <si>
    <t>Agua pre-biotica para o corpo</t>
  </si>
  <si>
    <t xml:space="preserve">Manga Rosa e Água de Coco </t>
  </si>
  <si>
    <t>150ml</t>
  </si>
  <si>
    <t xml:space="preserve">Hidrata e Refresca a Pele </t>
  </si>
  <si>
    <t>R$ 60, 00</t>
  </si>
  <si>
    <t xml:space="preserve">Bruma Facil </t>
  </si>
  <si>
    <t>100ml</t>
  </si>
  <si>
    <t xml:space="preserve">Energizante \ spray  Facil </t>
  </si>
  <si>
    <t xml:space="preserve">Creme Desodorante </t>
  </si>
  <si>
    <t xml:space="preserve"> 2 em 1 \ Energizante \ Nutritivo </t>
  </si>
  <si>
    <t>NATBRA-189404</t>
  </si>
  <si>
    <t>Desodorante Antitranspirante Roll-on</t>
  </si>
  <si>
    <t>Aclarar</t>
  </si>
  <si>
    <t>70ml</t>
  </si>
  <si>
    <t>NATBRA-189401</t>
  </si>
  <si>
    <t xml:space="preserve">Alecrim e Salvia </t>
  </si>
  <si>
    <t>Proteção Inv \ 0% Alcool</t>
  </si>
  <si>
    <t xml:space="preserve">Proteção Performace\ Secagem Rapida </t>
  </si>
  <si>
    <t xml:space="preserve">Amora Vermelha e Jabuticba </t>
  </si>
  <si>
    <t>NATBRA-189402</t>
  </si>
  <si>
    <t xml:space="preserve">Macadania </t>
  </si>
  <si>
    <t xml:space="preserve">Tamara e Canela </t>
  </si>
  <si>
    <t xml:space="preserve">Sem Perfume </t>
  </si>
  <si>
    <t>NATBRA-179542</t>
  </si>
  <si>
    <t>Desodorante Creme</t>
  </si>
  <si>
    <t>80g</t>
  </si>
  <si>
    <t>Proteção Inv \ 0% Alcool \ Performace</t>
  </si>
  <si>
    <t xml:space="preserve">Cereja e Avela </t>
  </si>
  <si>
    <t>Invisível</t>
  </si>
  <si>
    <t xml:space="preserve">Leite de Algodao </t>
  </si>
  <si>
    <t xml:space="preserve">Manga Rosa e Aguá de Coco </t>
  </si>
  <si>
    <t xml:space="preserve">Creme Para Maos e Pes </t>
  </si>
  <si>
    <t>50ml</t>
  </si>
  <si>
    <t xml:space="preserve">Nutritivo \ Prebiotico </t>
  </si>
  <si>
    <t>Sem desodorante</t>
  </si>
  <si>
    <t>Cereja e Avelã (Normal)</t>
  </si>
  <si>
    <t>Noz Pecã e Cacau</t>
  </si>
  <si>
    <t xml:space="preserve">Com desodorante para os pés </t>
  </si>
  <si>
    <t xml:space="preserve">Sabonete Liquido em Gel </t>
  </si>
  <si>
    <t xml:space="preserve">300ml </t>
  </si>
  <si>
    <t xml:space="preserve">Cremoso \ Perfume \ Hidrata </t>
  </si>
  <si>
    <t xml:space="preserve">R$ 49,90 </t>
  </si>
  <si>
    <t>390g</t>
  </si>
  <si>
    <t>R$ 49,91</t>
  </si>
  <si>
    <t xml:space="preserve">Todonoite </t>
  </si>
  <si>
    <t xml:space="preserve">Banho nas Nuvens </t>
  </si>
  <si>
    <t xml:space="preserve">Banho Energizante </t>
  </si>
  <si>
    <t xml:space="preserve"> R$: 37,90</t>
  </si>
  <si>
    <t xml:space="preserve">Corpo e Mãos </t>
  </si>
  <si>
    <t>Todanoite</t>
  </si>
  <si>
    <t xml:space="preserve">Tranquilizante \ Banho nas Nuvens </t>
  </si>
  <si>
    <t>NATBRA-121969</t>
  </si>
  <si>
    <t>Sabonete em Barra</t>
  </si>
  <si>
    <t xml:space="preserve">Banho nas Nuvens / Barra de Sabonete Massageadora </t>
  </si>
  <si>
    <t xml:space="preserve">Sabonete em Barra </t>
  </si>
  <si>
    <t>Body Splash</t>
  </si>
  <si>
    <t xml:space="preserve">Suave \ confortavel \ notas Florais </t>
  </si>
  <si>
    <t xml:space="preserve">Atraente \ Autentica \ Notas Florais </t>
  </si>
  <si>
    <t xml:space="preserve">Alegre \ Exuberante\ Notas Frutais </t>
  </si>
  <si>
    <t xml:space="preserve">Sedutora \ intensa \ Notas Doces </t>
  </si>
  <si>
    <t xml:space="preserve">Atraente \ Marcante Adocicado </t>
  </si>
  <si>
    <t xml:space="preserve">Cha Camomila e Lavanda </t>
  </si>
  <si>
    <t xml:space="preserve">Relaxante \ Aconchegante \ Inusitada \ Nota Floral </t>
  </si>
  <si>
    <t xml:space="preserve">Encatadora \ Confortavel \ Notas Florais Frescas </t>
  </si>
  <si>
    <t xml:space="preserve">Energizante </t>
  </si>
  <si>
    <t xml:space="preserve">Frambuesa e Pimenta Vermelha </t>
  </si>
  <si>
    <t xml:space="preserve">Frutas Tropicais \ Tons de Pele Pretas e Pardas </t>
  </si>
  <si>
    <t xml:space="preserve"> suculenta e envolte \ Especial São João</t>
  </si>
  <si>
    <t>Noz pecã e cacau</t>
  </si>
  <si>
    <t xml:space="preserve">Marcante \ Envolvente \ Florais Adocicadas </t>
  </si>
  <si>
    <t xml:space="preserve">Spray de Ambientes </t>
  </si>
  <si>
    <t xml:space="preserve">Fragancia Acogeadora e Serena </t>
  </si>
  <si>
    <t xml:space="preserve">Refil </t>
  </si>
  <si>
    <t>Fragancia Acogeadora e Serena</t>
  </si>
  <si>
    <t>Shampoo</t>
  </si>
  <si>
    <t xml:space="preserve">Amora e Oleo De Coco </t>
  </si>
  <si>
    <t xml:space="preserve">Limpeza Antiressecamento </t>
  </si>
  <si>
    <t xml:space="preserve">R$ 33,90 </t>
  </si>
  <si>
    <t xml:space="preserve">Flor de Cereja e Abacate </t>
  </si>
  <si>
    <t xml:space="preserve">Limpa delicadamente \ Repara os fios </t>
  </si>
  <si>
    <t xml:space="preserve">Maçã Verde e Aloe Vera </t>
  </si>
  <si>
    <t xml:space="preserve">Purifica \ Equilibra os fios </t>
  </si>
  <si>
    <t xml:space="preserve">Pessego e Amendoa </t>
  </si>
  <si>
    <t xml:space="preserve">Limpa os Fios \ Sem Ressecar </t>
  </si>
  <si>
    <t xml:space="preserve">Condicionador </t>
  </si>
  <si>
    <t>280ml</t>
  </si>
  <si>
    <t xml:space="preserve">Hidrata \ Desembaraça os fios </t>
  </si>
  <si>
    <t xml:space="preserve">Repara Pontas Duplas e Sela os Fios </t>
  </si>
  <si>
    <t xml:space="preserve">Hidrata Profundamente \ Sem Pesar </t>
  </si>
  <si>
    <t xml:space="preserve">Nutre e desembaraça os fios \ Sem frizz </t>
  </si>
  <si>
    <t xml:space="preserve">Mascara Concentrada Cronograma Capilar </t>
  </si>
  <si>
    <t>250ml</t>
  </si>
  <si>
    <t>Repara</t>
  </si>
  <si>
    <t xml:space="preserve">Hidrata </t>
  </si>
  <si>
    <t xml:space="preserve">Nutri </t>
  </si>
  <si>
    <t xml:space="preserve">Creme para pentear </t>
  </si>
  <si>
    <t xml:space="preserve"> Amora e Oléo Coco  (Crespo)</t>
  </si>
  <si>
    <t xml:space="preserve">Crespo </t>
  </si>
  <si>
    <t xml:space="preserve"> Amora e Oléo Coco (Cachos)</t>
  </si>
  <si>
    <t xml:space="preserve">Cachos </t>
  </si>
  <si>
    <t>180ml</t>
  </si>
  <si>
    <t xml:space="preserve">Reaparador </t>
  </si>
  <si>
    <t xml:space="preserve">Nutritivo </t>
  </si>
  <si>
    <t xml:space="preserve"> Amora e Oléo Coco (Crespo)</t>
  </si>
  <si>
    <t>Spray Reativador Cachos e Crespos</t>
  </si>
  <si>
    <t>Amora e Oléo Coco</t>
  </si>
  <si>
    <t xml:space="preserve">Spray Reativador de Cachos </t>
  </si>
  <si>
    <t>Spray Hidratante  para Cabelos</t>
  </si>
  <si>
    <t>Maça verde e Aloe Vera</t>
  </si>
  <si>
    <t>Spray Hidrataçao antifrizz</t>
  </si>
  <si>
    <t xml:space="preserve">Gelatina Cachos e Crespos </t>
  </si>
  <si>
    <t xml:space="preserve">Amora e Oléo Coco </t>
  </si>
  <si>
    <t>240g</t>
  </si>
  <si>
    <t>Potencializa a Definição \ Fixação</t>
  </si>
  <si>
    <t xml:space="preserve">Essencia para os Cabelos </t>
  </si>
  <si>
    <t xml:space="preserve">Flor  De Ameixa </t>
  </si>
  <si>
    <t>60ml</t>
  </si>
  <si>
    <t xml:space="preserve">Fios perrfumados a qualuqer hora do dia </t>
  </si>
  <si>
    <t>Ekos</t>
  </si>
  <si>
    <t>Polpa Hidrante</t>
  </si>
  <si>
    <t xml:space="preserve">Açaí </t>
  </si>
  <si>
    <t>75g</t>
  </si>
  <si>
    <t xml:space="preserve">Hidrata as mãos </t>
  </si>
  <si>
    <t xml:space="preserve">Andiroba </t>
  </si>
  <si>
    <t>Polpa Hidrante para Maos</t>
  </si>
  <si>
    <t xml:space="preserve">Castanha </t>
  </si>
  <si>
    <t>Polpa Hidrante para os Pes</t>
  </si>
  <si>
    <t xml:space="preserve">Desosdorante \ Hidratante \ para os pés </t>
  </si>
  <si>
    <t xml:space="preserve">Cacau </t>
  </si>
  <si>
    <t xml:space="preserve">Fortalece as unhas \ Perfuma e hidrata as mãos </t>
  </si>
  <si>
    <t>Nectar Hidrante</t>
  </si>
  <si>
    <t xml:space="preserve">Maracujá </t>
  </si>
  <si>
    <t xml:space="preserve">Tukumã </t>
  </si>
  <si>
    <t>Creme de massagem</t>
  </si>
  <si>
    <t xml:space="preserve">Andirobá </t>
  </si>
  <si>
    <t xml:space="preserve">Polpa \ hidrata \ massagem </t>
  </si>
  <si>
    <t xml:space="preserve">Balsamo polpa concentrada </t>
  </si>
  <si>
    <t>Tukumã</t>
  </si>
  <si>
    <t>Polpa Balsomo Concentrado</t>
  </si>
  <si>
    <t>Polpa Desodorante Hidratante</t>
  </si>
  <si>
    <t xml:space="preserve">Polpa desodorante e hidratante </t>
  </si>
  <si>
    <t xml:space="preserve">200 ml </t>
  </si>
  <si>
    <t>Flor do Luar</t>
  </si>
  <si>
    <t xml:space="preserve">Madeira em Flor </t>
  </si>
  <si>
    <t>Andiroba</t>
  </si>
  <si>
    <t xml:space="preserve">400ml </t>
  </si>
  <si>
    <t xml:space="preserve">R$ 88, 90 </t>
  </si>
  <si>
    <t>Açai</t>
  </si>
  <si>
    <t xml:space="preserve">Flor de Luar </t>
  </si>
  <si>
    <t xml:space="preserve">Flor de Madereira </t>
  </si>
  <si>
    <t xml:space="preserve">Dou Esfoliante Multicamadas </t>
  </si>
  <si>
    <t xml:space="preserve">Esfoliante multicamadas \ ceu estrelado noite </t>
  </si>
  <si>
    <t xml:space="preserve">Esfoliante Hidrata e Renovação </t>
  </si>
  <si>
    <t xml:space="preserve">Esfoliante Hidratação prufunda \ Renovação da pele </t>
  </si>
  <si>
    <t>Oleo Trifasico e Desodorante</t>
  </si>
  <si>
    <t xml:space="preserve">Antiressecamento \ realiamneto da estrutura da pele </t>
  </si>
  <si>
    <t>Castanha</t>
  </si>
  <si>
    <t>Açaí</t>
  </si>
  <si>
    <t>Maracujá</t>
  </si>
  <si>
    <t>Sabonete Barra</t>
  </si>
  <si>
    <t xml:space="preserve">Caixa </t>
  </si>
  <si>
    <t xml:space="preserve">Oleo 100% vegano \ limpam \ Perfumam </t>
  </si>
  <si>
    <t xml:space="preserve">Sabonete Barra Esfoliante </t>
  </si>
  <si>
    <t>Sortido: castnha, andiroba,ucuuba ,maracuja.</t>
  </si>
  <si>
    <t xml:space="preserve">Sabonete Barra  Esfoliante </t>
  </si>
  <si>
    <t xml:space="preserve">Sortido: castanha, maracuja, buriti, pitanga. </t>
  </si>
  <si>
    <t>Sortido: castanha,maracuja,açai,andiroba</t>
  </si>
  <si>
    <t>Sortido: castanha, andiroba, açai, maracujá.</t>
  </si>
  <si>
    <t xml:space="preserve">Sabonete Barra </t>
  </si>
  <si>
    <t xml:space="preserve">Formato Cacau | Em barra | Cremoso </t>
  </si>
  <si>
    <t xml:space="preserve">R$ 73,90 </t>
  </si>
  <si>
    <t>Sabonete Barra mini</t>
  </si>
  <si>
    <t>25g</t>
  </si>
  <si>
    <t xml:space="preserve">Sabonetes Cremesos \ Esfoliante </t>
  </si>
  <si>
    <t>Sabonete liquido para Maos</t>
  </si>
  <si>
    <t xml:space="preserve">Sabonteira \ limpa \ hidrata </t>
  </si>
  <si>
    <t>Pitanga</t>
  </si>
  <si>
    <t>Kit</t>
  </si>
  <si>
    <t>Viagem Encontro com a Amazônia</t>
  </si>
  <si>
    <t>KIT</t>
  </si>
  <si>
    <t xml:space="preserve">Sabonte Liquido Esfoliante </t>
  </si>
  <si>
    <t xml:space="preserve">Açai </t>
  </si>
  <si>
    <t xml:space="preserve">185ml </t>
  </si>
  <si>
    <t xml:space="preserve">Hidrata \ Reequilibra \ Amacia \ Oleo </t>
  </si>
  <si>
    <t>185ml</t>
  </si>
  <si>
    <t xml:space="preserve">Sabonete Liquido em  Oleo </t>
  </si>
  <si>
    <t>Sabonete Liquido Corporal</t>
  </si>
  <si>
    <t xml:space="preserve">195ml </t>
  </si>
  <si>
    <t xml:space="preserve">hidrata \ Reequilibra \ Amacia </t>
  </si>
  <si>
    <t>Pre Shampoo</t>
  </si>
  <si>
    <t>Murumuru</t>
  </si>
  <si>
    <t xml:space="preserve">nutritivamente a fibra capilar </t>
  </si>
  <si>
    <t xml:space="preserve">Shampoo </t>
  </si>
  <si>
    <t xml:space="preserve">Murumuru </t>
  </si>
  <si>
    <t xml:space="preserve">Nutritivamnete a Fibra Capilar </t>
  </si>
  <si>
    <t xml:space="preserve">Patuá </t>
  </si>
  <si>
    <t xml:space="preserve">Antiqueda \  refortalecer as fibras capilares </t>
  </si>
  <si>
    <t>NATBRA-151033</t>
  </si>
  <si>
    <t>R$ 45, 50</t>
  </si>
  <si>
    <t>NATBRA-102402</t>
  </si>
  <si>
    <t>R$ 45, 51</t>
  </si>
  <si>
    <t xml:space="preserve">Mascara para cabelo </t>
  </si>
  <si>
    <t xml:space="preserve">Reconstrutora </t>
  </si>
  <si>
    <t xml:space="preserve">Fortalecedora </t>
  </si>
  <si>
    <t xml:space="preserve">Creme Para Pentear </t>
  </si>
  <si>
    <t xml:space="preserve">150ml </t>
  </si>
  <si>
    <t xml:space="preserve">Creme cond. Multibeneficios </t>
  </si>
  <si>
    <t xml:space="preserve">Oleo Finalizador Cabelo </t>
  </si>
  <si>
    <t xml:space="preserve">60ml </t>
  </si>
  <si>
    <t xml:space="preserve">Blinda o cabelo contra agressoes externas </t>
  </si>
  <si>
    <t xml:space="preserve">Serum Noturno Nutritivo </t>
  </si>
  <si>
    <t xml:space="preserve">30ml </t>
  </si>
  <si>
    <t xml:space="preserve">Antidanos \ reconstroi nutritivamente a fibra capilar </t>
  </si>
  <si>
    <t xml:space="preserve">Tonico Noturno de Crescimento </t>
  </si>
  <si>
    <t xml:space="preserve">Acelera o crescimento 3 vezes \ Evita a queda dos fios </t>
  </si>
  <si>
    <t>Colonia</t>
  </si>
  <si>
    <t>Frescor Açai Feminino</t>
  </si>
  <si>
    <t xml:space="preserve">Frescor </t>
  </si>
  <si>
    <t>Frescor Andiroba Feminino</t>
  </si>
  <si>
    <t>Frescor Cacau Feminino</t>
  </si>
  <si>
    <t>Frescor Castanha Feminino</t>
  </si>
  <si>
    <t>Frescor Flor do Luar Feminino</t>
  </si>
  <si>
    <t>Frescor Maracuja Feminino</t>
  </si>
  <si>
    <t>Frescor Pitanga Feminino</t>
  </si>
  <si>
    <t>Eau De Parfum</t>
  </si>
  <si>
    <t xml:space="preserve">Alma </t>
  </si>
  <si>
    <t xml:space="preserve">50ml </t>
  </si>
  <si>
    <t>Amadeirado Especiado / Notas de Cumaru / Copaíba</t>
  </si>
  <si>
    <t xml:space="preserve">Pedra </t>
  </si>
  <si>
    <t xml:space="preserve">Amadeirado Aromático / Notas Aromáticas / Minerais da Resina </t>
  </si>
  <si>
    <t xml:space="preserve">Raiz </t>
  </si>
  <si>
    <t xml:space="preserve">Amadeirado da Priprioca / Floral Verde </t>
  </si>
  <si>
    <t xml:space="preserve">Ryo Chuva </t>
  </si>
  <si>
    <t xml:space="preserve"> Cítrico Aquoso / Viva / Intensa </t>
  </si>
  <si>
    <t xml:space="preserve">Ryo Festa </t>
  </si>
  <si>
    <t xml:space="preserve">Amadeirado / Aquoso / Vibrante / Potente </t>
  </si>
  <si>
    <t>Ryo Vivo</t>
  </si>
  <si>
    <t xml:space="preserve">Floral Aquoso / Afetivo / Delicadfo </t>
  </si>
  <si>
    <t>NATBRA-112866</t>
  </si>
  <si>
    <t>Humor</t>
  </si>
  <si>
    <t>Shampoo 3 em 1</t>
  </si>
  <si>
    <t xml:space="preserve">Humor A Dois Masculino </t>
  </si>
  <si>
    <t xml:space="preserve">100ml </t>
  </si>
  <si>
    <t>Cuidado completo com fragrância leve e irreverente, que agrada a todos. Fórmula multifuncional. Pode ser usado no cabelo, corpo e barba. Limpa, condiciona e estiliza. Praticidade e frescor em um único produto.</t>
  </si>
  <si>
    <t xml:space="preserve">A Rigor Masculino </t>
  </si>
  <si>
    <t xml:space="preserve">75ml </t>
  </si>
  <si>
    <t xml:space="preserve">Notas de Bergamota e Pimenta </t>
  </si>
  <si>
    <t xml:space="preserve">R$ 154, 90 </t>
  </si>
  <si>
    <t xml:space="preserve"> Beijo de Humor Masculino </t>
  </si>
  <si>
    <t xml:space="preserve">Especiarias Quentes \ notas de Ameixa toque de Cacau Cremoso </t>
  </si>
  <si>
    <t xml:space="preserve">Conexão de Humor Masculino </t>
  </si>
  <si>
    <t xml:space="preserve">Amadeirado Frutal </t>
  </si>
  <si>
    <t xml:space="preserve">Notas Citricas e Pimenta Rosa </t>
  </si>
  <si>
    <t xml:space="preserve">Aromatico Moderado </t>
  </si>
  <si>
    <t xml:space="preserve">Química de Humor Masculino </t>
  </si>
  <si>
    <t xml:space="preserve">Amadeirado moderado </t>
  </si>
  <si>
    <t>NATBRA-782675</t>
  </si>
  <si>
    <t xml:space="preserve">Elixir Momentos Casais </t>
  </si>
  <si>
    <t>Beijo de Humor Feminino</t>
  </si>
  <si>
    <t xml:space="preserve">Notas Ameixa c\ Sandelo e um toque Cacau </t>
  </si>
  <si>
    <t>Festival De Humor Feminino</t>
  </si>
  <si>
    <t xml:space="preserve">Frutal \ Notas Eletrizantes </t>
  </si>
  <si>
    <t xml:space="preserve">Adocicado Moderado </t>
  </si>
  <si>
    <t>Humor On-line Feminino</t>
  </si>
  <si>
    <t xml:space="preserve">combinção notas Frutais com Cítricas </t>
  </si>
  <si>
    <t>Meu Primeiro Humor Feminino</t>
  </si>
  <si>
    <t xml:space="preserve">Frutal Moderado </t>
  </si>
  <si>
    <t>Quimica de Humor Feminino</t>
  </si>
  <si>
    <t xml:space="preserve">24ml </t>
  </si>
  <si>
    <t xml:space="preserve">Elixir \ Essencia para momentos de casal </t>
  </si>
  <si>
    <t>Floral Envolvente</t>
  </si>
  <si>
    <t xml:space="preserve">75 ml </t>
  </si>
  <si>
    <t>Humor Transforma Unisex</t>
  </si>
  <si>
    <t xml:space="preserve">Amadeirado Especiado </t>
  </si>
  <si>
    <t>NATBRA-86723</t>
  </si>
  <si>
    <t>Desodorante Corporal</t>
  </si>
  <si>
    <t>Meu Primeiro Humor</t>
  </si>
  <si>
    <t xml:space="preserve">Conexão de Humor </t>
  </si>
  <si>
    <t xml:space="preserve">Amadeirada Frutal </t>
  </si>
  <si>
    <t xml:space="preserve">Festivel De Humor </t>
  </si>
  <si>
    <t>Mousse Desodorante</t>
  </si>
  <si>
    <t xml:space="preserve">Body Splash </t>
  </si>
  <si>
    <t xml:space="preserve">Paz e Humor </t>
  </si>
  <si>
    <t xml:space="preserve">Me tensiono Logo medito </t>
  </si>
  <si>
    <t>NATBRA-122207</t>
  </si>
  <si>
    <t xml:space="preserve">A Rigor </t>
  </si>
  <si>
    <t xml:space="preserve">Hoje a Noite é de Humor </t>
  </si>
  <si>
    <t xml:space="preserve">Meu Proprio Humor </t>
  </si>
  <si>
    <t>Gel luminador Hidratante e Desodorante</t>
  </si>
  <si>
    <t xml:space="preserve">Gel Hidratante Iluminador </t>
  </si>
  <si>
    <t xml:space="preserve">Creme Hidrantante Para Mãos </t>
  </si>
  <si>
    <t>40g</t>
  </si>
  <si>
    <t xml:space="preserve">Hidratante Para ás Mãos </t>
  </si>
  <si>
    <t xml:space="preserve">Geleia de Banho </t>
  </si>
  <si>
    <t>125g</t>
  </si>
  <si>
    <t>Sabonete com esferas iluminadoras</t>
  </si>
  <si>
    <t xml:space="preserve">Iogurte Desodorante e Hidratante </t>
  </si>
  <si>
    <t>125ml</t>
  </si>
  <si>
    <t xml:space="preserve">Derrete com o calor do  corpo \ hidra </t>
  </si>
  <si>
    <t>Essencial</t>
  </si>
  <si>
    <t>Deo Parfum</t>
  </si>
  <si>
    <t xml:space="preserve"> Atraí Masculino</t>
  </si>
  <si>
    <t xml:space="preserve">Sofisticada /  Marcante / Atraente / Especiado / Amadeirado </t>
  </si>
  <si>
    <t xml:space="preserve"> Atô Masculino</t>
  </si>
  <si>
    <t xml:space="preserve">Intensidade / Elegância / Contemporânia / Luminoso / Especiado </t>
  </si>
  <si>
    <t xml:space="preserve"> Masculino</t>
  </si>
  <si>
    <t xml:space="preserve">Elegância / Força / Intensidade / Marcante / Aromático / Amadeirado </t>
  </si>
  <si>
    <t xml:space="preserve"> Estilo Masculino</t>
  </si>
  <si>
    <t xml:space="preserve">Amadeirado Especiado / Intensa / Marcante / Picante </t>
  </si>
  <si>
    <t xml:space="preserve"> Elixir Masculino</t>
  </si>
  <si>
    <t>Moderna / Sofisticada / Marcante / Sofisticação / Amadeirado/ Intenso</t>
  </si>
  <si>
    <t xml:space="preserve"> Exclusivo Masculino</t>
  </si>
  <si>
    <t xml:space="preserve">Amadeirado Especiado / Intenso / Sofisticação </t>
  </si>
  <si>
    <t xml:space="preserve"> Intenso Masculino</t>
  </si>
  <si>
    <t xml:space="preserve">Alta Concentração da Fragrância / Amadeirado / Amadeirado / Picante </t>
  </si>
  <si>
    <t xml:space="preserve"> Mirra Masculino</t>
  </si>
  <si>
    <t xml:space="preserve">Amadeirado Marcante / Sensual / Quente / Denso / Leal Para Tempos Frios </t>
  </si>
  <si>
    <t xml:space="preserve"> Oud Masculino</t>
  </si>
  <si>
    <t xml:space="preserve"> Fragrância Intensa / Envolvente / Mistérioso / Riqueza  do Oud  / Amadeirado </t>
  </si>
  <si>
    <t xml:space="preserve"> Old Vanilla  Masculino</t>
  </si>
  <si>
    <t xml:space="preserve"> Intensa / Envolvente / Mistério / Encanto / Fragrância Exclusiva da Marca Natura</t>
  </si>
  <si>
    <t xml:space="preserve"> Old Pimenta Masculino</t>
  </si>
  <si>
    <t xml:space="preserve">Pimenta Preta / Provocador /  Nobre </t>
  </si>
  <si>
    <t xml:space="preserve"> Palo Santo Masculino</t>
  </si>
  <si>
    <t>Notas Doces / Amadeiradas / Toque de Menta / Sutil</t>
  </si>
  <si>
    <t xml:space="preserve"> Supreme Masculino</t>
  </si>
  <si>
    <t xml:space="preserve">Fragrância Poderosa /  Refinada / Nobres </t>
  </si>
  <si>
    <t xml:space="preserve"> Sentir Masculino</t>
  </si>
  <si>
    <t>potência / sofisticada / sensual</t>
  </si>
  <si>
    <t xml:space="preserve"> Único Masculino</t>
  </si>
  <si>
    <t xml:space="preserve"> fragrância sofisticada/  intensa / perfeito / Amadeirado </t>
  </si>
  <si>
    <t xml:space="preserve">Sofisticada /  Marcante / Atraente / Especiado </t>
  </si>
  <si>
    <t>NATBRA-76420</t>
  </si>
  <si>
    <t>NATBRA-103348</t>
  </si>
  <si>
    <t xml:space="preserve"> Atrai Feminino</t>
  </si>
  <si>
    <t xml:space="preserve">Encanto / Delicado /  Pimenta  Rosa / Amadeirado Floral </t>
  </si>
  <si>
    <t xml:space="preserve"> Atô Feminino</t>
  </si>
  <si>
    <t xml:space="preserve">Floral Frutal / Acorde Dourado / Iluminoso / Amadeirado / Elegancia </t>
  </si>
  <si>
    <t xml:space="preserve"> Feminino</t>
  </si>
  <si>
    <t xml:space="preserve">Sofisticado / Elegancia / Intensidade / Amadeirado Floral </t>
  </si>
  <si>
    <t xml:space="preserve"> Estilo Feminino</t>
  </si>
  <si>
    <t xml:space="preserve">Ousado / Floral Intenso / Moderno / Surpreendente / Amadeirado / Cremoso e Baunilha </t>
  </si>
  <si>
    <t xml:space="preserve"> Elixir Feminino</t>
  </si>
  <si>
    <t xml:space="preserve">Frescor de Notas Citricas / Frutais Com Um Corpo Floral / Finalizando pelo pachouilli </t>
  </si>
  <si>
    <t xml:space="preserve"> Exclusivo Feminino</t>
  </si>
  <si>
    <t xml:space="preserve">Exalta Personalidade /  Elegancia / Criação Unica / Notas de Casis e Mandarina </t>
  </si>
  <si>
    <t xml:space="preserve"> Exclusivo Floral Feminino</t>
  </si>
  <si>
    <t xml:space="preserve">Elegancia /  Flores Brancas Preciosas / Irresistiveis Aroma Frutal </t>
  </si>
  <si>
    <t xml:space="preserve"> Mirra Feminino</t>
  </si>
  <si>
    <t xml:space="preserve">Adocicado / Bem Amadeirada / Chique / Sexy /  Luminoso /  Saida Pimenta </t>
  </si>
  <si>
    <t xml:space="preserve"> Oud Feminino</t>
  </si>
  <si>
    <t xml:space="preserve">Poderosissima / Envolvente /  Sofisticado / Força / Marcante /  Elegancia / Intenso </t>
  </si>
  <si>
    <t xml:space="preserve"> Old Vanilla Feminino </t>
  </si>
  <si>
    <t xml:space="preserve">Doce Sem Ser Enjoativo / Baunilla / Sofisticação / Envolvente / Poderosa / Floral com a intensidade Oud </t>
  </si>
  <si>
    <t xml:space="preserve"> Old Pimenta Feminino</t>
  </si>
  <si>
    <t xml:space="preserve">Especiado Quente / Amadeirado / Especiado Fresco / Pimenta Preta / Conforto / Agradavel </t>
  </si>
  <si>
    <t xml:space="preserve"> Palo Santo Feminino</t>
  </si>
  <si>
    <t xml:space="preserve">Floral Branco / Baunilha / Floral Amadeirado / Quente / Doce Confortavel / Envolvente </t>
  </si>
  <si>
    <t xml:space="preserve"> Supreme Feminino</t>
  </si>
  <si>
    <t xml:space="preserve">Atalcado / Amadeirado / Doce / Floral / Baunilha / Quente / Delicado </t>
  </si>
  <si>
    <t xml:space="preserve"> Sentir Feminino</t>
  </si>
  <si>
    <t xml:space="preserve">Floral / Tuberosa / Animafico / Doce Suave  / Frutado / Diurno / Casual </t>
  </si>
  <si>
    <t xml:space="preserve"> Único Feminino</t>
  </si>
  <si>
    <t>Marcante / Pimenta Preta / Diferenciado / Sofisticado / Pura e Notas Mais Nobres / Coração Jasmin Egiptia</t>
  </si>
  <si>
    <t>Desodorante Coporal</t>
  </si>
  <si>
    <t>Feminino</t>
  </si>
  <si>
    <t xml:space="preserve">Perfuma 24 hrs /  Perfuma / Mantem a Hidratação do Corpo </t>
  </si>
  <si>
    <t xml:space="preserve"> Atrai Masculino</t>
  </si>
  <si>
    <t>NATBRA-166317</t>
  </si>
  <si>
    <t xml:space="preserve"> Exclusivo</t>
  </si>
  <si>
    <t>Hidratante Desodorante Perfumado</t>
  </si>
  <si>
    <t xml:space="preserve">Hidrata  / Perfumado  /  Desodorante 48 hrs  / Brilho da Pele  / Cremoso </t>
  </si>
  <si>
    <t>Essencial Exclusivo</t>
  </si>
  <si>
    <t>Essencial Oud</t>
  </si>
  <si>
    <t xml:space="preserve">Essencial Supreme </t>
  </si>
  <si>
    <t xml:space="preserve">Hidrata / Perfuma /  Desodorante / Brilho da Pele / Cremoso </t>
  </si>
  <si>
    <t>/v4vvv</t>
  </si>
  <si>
    <t>NATBRA-178241</t>
  </si>
  <si>
    <t xml:space="preserve">Creme de Barbear </t>
  </si>
  <si>
    <t xml:space="preserve">75g </t>
  </si>
  <si>
    <t xml:space="preserve">Fragrância / Elegante / Perfuma / Desodorante / Fragrância Marcante </t>
  </si>
  <si>
    <t xml:space="preserve">R$ 62, 90 </t>
  </si>
  <si>
    <t xml:space="preserve">Balm Pos Barba </t>
  </si>
  <si>
    <t>75ml</t>
  </si>
  <si>
    <t>Acalma após o barbear e ainda hidrata a pele</t>
  </si>
  <si>
    <t xml:space="preserve">R$ 76, 90 </t>
  </si>
  <si>
    <t>Essencial oud</t>
  </si>
  <si>
    <t xml:space="preserve">110ml </t>
  </si>
  <si>
    <t xml:space="preserve">Shampoo 3 em 1 Limpa (corpo. barba e cabelos ) Sem Pesar /  Cuidados Práticos / Fragrância Amadeirada </t>
  </si>
  <si>
    <t xml:space="preserve">Shower Gel Corporal </t>
  </si>
  <si>
    <t xml:space="preserve">100g </t>
  </si>
  <si>
    <t xml:space="preserve">Shampoo 3 em 1 Limpa (corpo. barba e cabelos  / Sem Rescecar / Sensação Refrescante / Perfumação Douradora </t>
  </si>
  <si>
    <t xml:space="preserve">Essencial  Exclusivo Floral </t>
  </si>
  <si>
    <t xml:space="preserve">Cremoso \ Perfume \ Hidrata  / Ilumina Com As Particulas de Glitter / Frescor / Amadeirado </t>
  </si>
  <si>
    <t>Sabonete em barra</t>
  </si>
  <si>
    <t>Masculino</t>
  </si>
  <si>
    <t xml:space="preserve">Caixa  </t>
  </si>
  <si>
    <t xml:space="preserve">Promove Limpeza Profunda / Hidratação Natural Da Pele </t>
  </si>
  <si>
    <t>Atô</t>
  </si>
  <si>
    <t xml:space="preserve">Supreme </t>
  </si>
  <si>
    <t>Luna</t>
  </si>
  <si>
    <t xml:space="preserve">25ml </t>
  </si>
  <si>
    <t>Miniatura</t>
  </si>
  <si>
    <t xml:space="preserve">Personalidade Única Da Fragrância Chipre / Caminho Olfativo / Clássico Mundial </t>
  </si>
  <si>
    <t>R$ 89, 90</t>
  </si>
  <si>
    <t xml:space="preserve"> Girl Infantil</t>
  </si>
  <si>
    <t>Sinta o Frescor e o Floral / meninas que querem mostrar sua identidade e sua personalidade através de uma fragrância</t>
  </si>
  <si>
    <t>NATBRA-56417</t>
  </si>
  <si>
    <t xml:space="preserve"> Absoluta Feminino</t>
  </si>
  <si>
    <t xml:space="preserve"> Fragrância Intensa / Envolvente / Sensualidade  /  Força Feminina /  Notas Florais Amadeirado / Exala Poder /  Elegância</t>
  </si>
  <si>
    <t xml:space="preserve"> Confiante Feminino</t>
  </si>
  <si>
    <t xml:space="preserve">Fundo Amadeirado / Frutas Vermelhas / toque Floral Feminino / Marcante </t>
  </si>
  <si>
    <t xml:space="preserve"> Coragem Feminino</t>
  </si>
  <si>
    <t>Flor da Protea / Simboliza Resistência / Esperança / Calor Envolvente da Pimenta-rosa / Cremosidade</t>
  </si>
  <si>
    <t xml:space="preserve"> Divina Feminino</t>
  </si>
  <si>
    <t xml:space="preserve"> Fragrância Radiante / Irresistível / Exalta a liberdade / Poder Feminino /  Perfumação Marcante. </t>
  </si>
  <si>
    <t xml:space="preserve"> Fascinante Feminino</t>
  </si>
  <si>
    <t xml:space="preserve">Elegância / Magnetismo / Envolvente / Marcante /  Magnética / Envolvente /  Flores Roxas / Delicado da Pataqueira / Bela Flor Roxa </t>
  </si>
  <si>
    <t xml:space="preserve"> Força Feminino</t>
  </si>
  <si>
    <t>Intensas / Amadeiradas / Exressar sua Sensualidade / Luna Traduz a Força</t>
  </si>
  <si>
    <t xml:space="preserve"> Liberdade Feminino</t>
  </si>
  <si>
    <t> Inspirado em Mulheres Autênticas / Maçã Cristalizada /  Buquê Floral / Baunilha  / Ishpink</t>
  </si>
  <si>
    <t xml:space="preserve"> Marcante Feminino</t>
  </si>
  <si>
    <t>Luna Maercante traz o caminho olfativo chipre em sua versão mais ousada</t>
  </si>
  <si>
    <t xml:space="preserve"> Ousadia Feminino</t>
  </si>
  <si>
    <t xml:space="preserve"> Natura encontra com a luminosidade da exótica flor da pitaya e a vibração das frutas vermelhas.</t>
  </si>
  <si>
    <t xml:space="preserve"> Radiante Feminino</t>
  </si>
  <si>
    <t xml:space="preserve">Alegria / Florais e Frutais / Radiante / Otimista / Notas Vibrantes </t>
  </si>
  <si>
    <t xml:space="preserve"> Rosé Feminino</t>
  </si>
  <si>
    <t xml:space="preserve">Frescor Branco Delicioso </t>
  </si>
  <si>
    <t>Ilumina</t>
  </si>
  <si>
    <t>Intensa / Elegante / Brilho Próprio / Destaca a Potência Feminina</t>
  </si>
  <si>
    <t xml:space="preserve">Intenso </t>
  </si>
  <si>
    <t>Primeiro Deo Parfum Natura /  Fragrância única / Sensual / Patchoul / Baunilha</t>
  </si>
  <si>
    <t xml:space="preserve"> Absoluta </t>
  </si>
  <si>
    <t xml:space="preserve"> Confiante</t>
  </si>
  <si>
    <t xml:space="preserve"> Coragem</t>
  </si>
  <si>
    <t xml:space="preserve"> Liberdade</t>
  </si>
  <si>
    <t xml:space="preserve"> Ousadia</t>
  </si>
  <si>
    <t xml:space="preserve"> Radiante</t>
  </si>
  <si>
    <t>NATBRA-140684</t>
  </si>
  <si>
    <t>Oleo Corporal  Desodorante  Perfumado</t>
  </si>
  <si>
    <t xml:space="preserve">Spray </t>
  </si>
  <si>
    <t xml:space="preserve">Desodorante Roll-on </t>
  </si>
  <si>
    <t xml:space="preserve"> 75ml </t>
  </si>
  <si>
    <t xml:space="preserve">Essencia  Para  Cabelos </t>
  </si>
  <si>
    <t xml:space="preserve"> Divina </t>
  </si>
  <si>
    <t xml:space="preserve"> Fascinante</t>
  </si>
  <si>
    <t xml:space="preserve">Leve  com  a Sensação de Frescor / Classico Mundial / Mistura Intensiva </t>
  </si>
  <si>
    <t>Hidrante Desodorante Perfumado Iluminador</t>
  </si>
  <si>
    <t xml:space="preserve"> Feminio</t>
  </si>
  <si>
    <t xml:space="preserve">Hidrata  / Perfumado  /  Desodorante 48 hrs  / Brilho da Pele  / Cremoso / Iluminador </t>
  </si>
  <si>
    <t>R$ 42, 20</t>
  </si>
  <si>
    <t>R$ 63.90</t>
  </si>
  <si>
    <t xml:space="preserve">40g </t>
  </si>
  <si>
    <t xml:space="preserve">80ml </t>
  </si>
  <si>
    <t xml:space="preserve"> Força </t>
  </si>
  <si>
    <t xml:space="preserve"> Rosé</t>
  </si>
  <si>
    <t>Kaiak</t>
  </si>
  <si>
    <t>Clássico da Perfumaria Brasileira /  atemporal de notas aromáticas / cítricas / aquosas inspiradas na força das águas</t>
  </si>
  <si>
    <t>R$ 185, 90</t>
  </si>
  <si>
    <t xml:space="preserve"> Aero Masculino</t>
  </si>
  <si>
    <t xml:space="preserve">Encapsula a sensação revigorante do encontro do vento com a água do mar / Refrescante </t>
  </si>
  <si>
    <t xml:space="preserve"> Aventura Masculino</t>
  </si>
  <si>
    <t>Combinação surpreendente água / sol / mata / Notas Cítricas / Vibrantes da Bergamota / Combinadas ao musk / Madeira</t>
  </si>
  <si>
    <t xml:space="preserve"> Aventura Intensa Masculino</t>
  </si>
  <si>
    <t xml:space="preserve">Fresca com Frutas Aquosas / Notas Aromáticas / Madeiras Úmidas / Pimentas / Marcante / Material 100% Reciclado </t>
  </si>
  <si>
    <t xml:space="preserve"> Oceano Masculino</t>
  </si>
  <si>
    <t>Emoção única Desbravar a Imensidão azul Oceano / Notas Frescas Algas Marinhas / Salgadas da Pataqueira Âmbar Marinho / Madeiras Escuras</t>
  </si>
  <si>
    <t xml:space="preserve"> O2 Masculino</t>
  </si>
  <si>
    <t>Traz o Respiro do Mar / Pureza do Frescor Oxigena / Tomar Fôlego / Mergulhar Fundo na energia das águas.</t>
  </si>
  <si>
    <t xml:space="preserve"> Pulso Masculino</t>
  </si>
  <si>
    <t>Resultado de Uma Combinação Notas Aquosas / Especiarias Fresca / Madeiras como Sândalo / Cedro</t>
  </si>
  <si>
    <t xml:space="preserve"> Sonar Masculino</t>
  </si>
  <si>
    <t>Tecnologia VibraScent traduz sons e cores em cheiros /Mais de 50% da embalagem feita com plástico reciclado</t>
  </si>
  <si>
    <t xml:space="preserve"> Uber Masculino</t>
  </si>
  <si>
    <t>Menta / Diidromircenol / Notas Verdes / Notas de corpo: gerânio / Manjericão / Lavanda / Notas de fundo: âmbar/ sândalo /copaíba.</t>
  </si>
  <si>
    <t xml:space="preserve"> Ultra Masculino</t>
  </si>
  <si>
    <t>Frescor / Bem estar / Combinação de Anis / Notas Aquosas / Estoraque / Madeiras / Cedro / Patchouli / Para todos momentos.</t>
  </si>
  <si>
    <t xml:space="preserve"> Vital Masculino</t>
  </si>
  <si>
    <t>Potência / recarga de Energia / Do encontro com Mar /  Frescor Renovador / Fragrância única que ativa os sentidos / Nos faz Sentir Vivos.</t>
  </si>
  <si>
    <t xml:space="preserve"> Aero Feminino</t>
  </si>
  <si>
    <t>Explosão Cítrica de Bergamota e Laranja / Notas Aquosas / Femininas de jasmim  / Explosão de Frescor / Feminilidade</t>
  </si>
  <si>
    <t xml:space="preserve"> Aventura Feminino</t>
  </si>
  <si>
    <t xml:space="preserve">Combinação entre Água / Sol / Mata / Notas Aquosas / Verdes / Frescor / Floral do Muguet / Jasmim </t>
  </si>
  <si>
    <t xml:space="preserve"> Aventura Intensa Feminino</t>
  </si>
  <si>
    <t>Fragrância Fresca com Flor de Jasmim / Folhas de Violeta / Melancia / Notas Aromáticas / Marcante / Material 100% Reciclado</t>
  </si>
  <si>
    <t xml:space="preserve"> Extremo Feminino</t>
  </si>
  <si>
    <t xml:space="preserve"> Energia </t>
  </si>
  <si>
    <t>Deslumbrante Explosão Cítrica de Bergamota / Laranja / notas aquosas / fem- jasmim /  Inspirada na Força das Águas / Revigora as Energias</t>
  </si>
  <si>
    <t xml:space="preserve"> O2 Feminino</t>
  </si>
  <si>
    <t>Cítricas Borbulhantes / Buquê Floral Cristalino / Potentes Notas Aquáticas / Refrescância do poejo / Ingrediente da Biodiversidade Brasileira</t>
  </si>
  <si>
    <t xml:space="preserve"> Oceano Feminino</t>
  </si>
  <si>
    <t>Jardins de Corais do Fundo do Mar / Notas Frescas de Algas / Nuances Frutadas / Olfativa Refrescante / Envolvente / Fluem como as águas</t>
  </si>
  <si>
    <t xml:space="preserve"> Sonar Feminino</t>
  </si>
  <si>
    <t>Frescor / Tem um Caminho Olfativo Floral Frutal Moderado / Sensação de Oceano Profundo / Nota Aquosa Intensa / Mas Delicada</t>
  </si>
  <si>
    <t xml:space="preserve"> Ultra Feminino</t>
  </si>
  <si>
    <t>Frescor e Bem Estar / Combinação de Anis / Notas Aquosas / Estoraque / Jasmim / lavanda / Embalagem Feita de Material Reciclado</t>
  </si>
  <si>
    <t xml:space="preserve"> Vital Feminino</t>
  </si>
  <si>
    <t>Assim Como um Encontro Reenergizante com o Mar / Te Faz se Sentir Revitalizada (comprovada pela neurociência)</t>
  </si>
  <si>
    <t>Deo Perfum</t>
  </si>
  <si>
    <t>K Masculino</t>
  </si>
  <si>
    <t>Deo Parfum / Aromático intenso / Intensidade / Durabilidade / Frescor Revigorante / Intenso</t>
  </si>
  <si>
    <t>R$ 273, 90</t>
  </si>
  <si>
    <t>K Max Masculino</t>
  </si>
  <si>
    <t>Deo Parfum / Intensas / Amadeiradas / Duradouras / Frescor Revigorante / Sofisticada / Única / Potente</t>
  </si>
  <si>
    <t xml:space="preserve">Gel 2 em 1 Barbear e Pos Barba </t>
  </si>
  <si>
    <t>Facilita o deslize da lâmina para barbear preciso e confortável / Acalma a pele após o barbear / Perfuma o rosto com fragrância aromática.</t>
  </si>
  <si>
    <t>R$ 46, 90</t>
  </si>
  <si>
    <t xml:space="preserve"> Aventura </t>
  </si>
  <si>
    <t xml:space="preserve"> Extremo</t>
  </si>
  <si>
    <t xml:space="preserve"> Oceano </t>
  </si>
  <si>
    <t xml:space="preserve"> Pulso </t>
  </si>
  <si>
    <t xml:space="preserve"> Shampoo Cabelo e Corpo</t>
  </si>
  <si>
    <t xml:space="preserve"> Aero </t>
  </si>
  <si>
    <t xml:space="preserve">125ml </t>
  </si>
  <si>
    <t>Usado nos Cabelos e Também como Sabonete Líquido Corporal</t>
  </si>
  <si>
    <t xml:space="preserve"> Extremo </t>
  </si>
  <si>
    <t>R$ 35, 90</t>
  </si>
  <si>
    <t>R$ 64, 30</t>
  </si>
  <si>
    <t xml:space="preserve"> Uber</t>
  </si>
  <si>
    <t>NATBRA-182679</t>
  </si>
  <si>
    <t>Sabonete Loquido em Gel</t>
  </si>
  <si>
    <t>Fragrância com alta proteção até 72h / Cuida da pele com ativos naturais / Tem tecnologia invisível</t>
  </si>
  <si>
    <t>Floral Frutal Moderada / Fragrância com alta proteção até 72h / Cuida da pele com ativos naturais / Tem tecnologia invisível</t>
  </si>
  <si>
    <t>Fragrância com alta proteção até 24h / Cuida da pele com ativos naturais / Tem tecnologia invisível</t>
  </si>
  <si>
    <t>R$ 54, 90</t>
  </si>
  <si>
    <t xml:space="preserve"> Extremo Masculino</t>
  </si>
  <si>
    <t>R$ 41, 90</t>
  </si>
  <si>
    <t>NATBRA-56747</t>
  </si>
  <si>
    <t>NATBRA-108405</t>
  </si>
  <si>
    <t xml:space="preserve">R$ 54, 90 </t>
  </si>
  <si>
    <t xml:space="preserve">R$ 41, 90 </t>
  </si>
  <si>
    <t xml:space="preserve"> Aero Feminino </t>
  </si>
  <si>
    <t>Desodorante Hidratante Corporal</t>
  </si>
  <si>
    <t>O Jeito Mais Fácil / Rápido / Prático de Hidratar o Corpo Inteiro /  Recompoe os Mineirais do Corpo  / Em Spray</t>
  </si>
  <si>
    <t>R$ 62, 90</t>
  </si>
  <si>
    <t xml:space="preserve">R$ 50, 90 </t>
  </si>
  <si>
    <t xml:space="preserve">Spray Pos Barba </t>
  </si>
  <si>
    <t> recuperar a pele após as agressões do barbear e refrescá-la a qualquer momento do dia. Não provoca a oleosidade da pele.</t>
  </si>
  <si>
    <t xml:space="preserve">R$ 74, 90 </t>
  </si>
  <si>
    <t>Espuma cremosa / limpa sem ressecar / Embalagem 70% reciclável / Fórmula 97% de origem natural / Produto vegano</t>
  </si>
  <si>
    <t xml:space="preserve">R$ 13, 90 </t>
  </si>
  <si>
    <t xml:space="preserve"> Vital </t>
  </si>
  <si>
    <t xml:space="preserve"> Uber </t>
  </si>
  <si>
    <t xml:space="preserve"> Oceano</t>
  </si>
  <si>
    <t>NATBRA-15811</t>
  </si>
  <si>
    <t xml:space="preserve"> Corpo e Barba</t>
  </si>
  <si>
    <t xml:space="preserve">Produto Vegano / Refrescante / Ideal para barbear / Praticidade no dia a dia / Limpa sem Ressecar / Barba </t>
  </si>
  <si>
    <t xml:space="preserve">R$ 27, 90 </t>
  </si>
  <si>
    <t>Água gel</t>
  </si>
  <si>
    <t xml:space="preserve">Hidratante Corporal </t>
  </si>
  <si>
    <t>O jeito mais fácil / Rápido / Prático de hidratar corpo inteiro / Combater o Ressecamento / Prevenir a perda de água / Repor os minerais da pele</t>
  </si>
  <si>
    <t xml:space="preserve">R$ 64, 90 </t>
  </si>
  <si>
    <t xml:space="preserve">Ilia </t>
  </si>
  <si>
    <t xml:space="preserve"> Dual Feminino</t>
  </si>
  <si>
    <t>Muitos o considera uma criação única e afiada / mistura o masculino e o feminino de forma intensa e moderna.</t>
  </si>
  <si>
    <t xml:space="preserve">R$ 194, 90 </t>
  </si>
  <si>
    <t xml:space="preserve"> Completa Feminino</t>
  </si>
  <si>
    <t>Floral fresco com base almiscarada e um acorde cítrico na saída que o deixa extremamente aberto e confortável, nada doce / Rica / Poderosa</t>
  </si>
  <si>
    <t xml:space="preserve"> Florescer Feminino</t>
  </si>
  <si>
    <t>Floral fresco com base almiscarada e um acorde cítrico na saída que o deixa extremamente aberto e confortável, nada doce.</t>
  </si>
  <si>
    <t xml:space="preserve"> Flor de Laranjeira Feminino</t>
  </si>
  <si>
    <t>Delicado / Fresco / levemente adocicado / com notas florais brancas  / nuances cítricas / remetendo à primavera e ao frescor</t>
  </si>
  <si>
    <t>Floral / Delicado / Muito bem construído / Sinto a suculência da framboesa / cremosidade da flor de laranjeira / um leve cítrico</t>
  </si>
  <si>
    <t xml:space="preserve"> Laços Feminino</t>
  </si>
  <si>
    <t>Docinho / Abaunilhado / Frutadinho meio achicletado / Floral Gostoso / Confortável com um leve atalcado super jovial.</t>
  </si>
  <si>
    <t xml:space="preserve"> Plena Feminino</t>
  </si>
  <si>
    <t>Docinho / Abaunilhado / Frutadinho meio achicletado / Ele tem um floral muito gostoso / confortável com um leve super jovial.</t>
  </si>
  <si>
    <t xml:space="preserve"> Ser Feminino</t>
  </si>
  <si>
    <t>sofisticada que harmoniza as flores brancas com notas ambaradas e um toque da exclusiva vanilla bahiana</t>
  </si>
  <si>
    <t xml:space="preserve"> Secreto Feminino</t>
  </si>
  <si>
    <t>Sofisticada que harmoniza as flores brancas com notas ambaradas e um toque da exclusiva vanilla bahiana / Dualidade entre força e delicadeza</t>
  </si>
  <si>
    <t xml:space="preserve"> Viver Feminino</t>
  </si>
  <si>
    <t>toranja / frutas vermelhas no topo / freesia e magnólia no coração / notas amadeiradas e baunilha na base</t>
  </si>
  <si>
    <t>Creme Hidrante Desodorante Perfumado</t>
  </si>
  <si>
    <t xml:space="preserve"> Completa </t>
  </si>
  <si>
    <t xml:space="preserve">Hidrata a pele Naturalmente / Aveludado / prolonga a fragância ainda mais / Praticidade de caber na Bolsa </t>
  </si>
  <si>
    <t xml:space="preserve"> Secreto </t>
  </si>
  <si>
    <t xml:space="preserve"> Ser </t>
  </si>
  <si>
    <t xml:space="preserve">Agradável sensação / limpa e deixa a pele macia / receber a hidratação exclusiva </t>
  </si>
  <si>
    <t>NATBRA-164382</t>
  </si>
  <si>
    <t xml:space="preserve"> Sortido </t>
  </si>
  <si>
    <t>Kriska</t>
  </si>
  <si>
    <t>Colonia Feminina</t>
  </si>
  <si>
    <t xml:space="preserve"> Drama </t>
  </si>
  <si>
    <t>adocicada / produto Vegano /  até 8h na pele / ocasiões especiais / intensa / envolvente / Marcar presença / Florais / Adocicadas</t>
  </si>
  <si>
    <t>R$ 159, 90</t>
  </si>
  <si>
    <t xml:space="preserve"> Jeans </t>
  </si>
  <si>
    <t xml:space="preserve"> Adocicada / confortável inspirada na versatilidade do jeans / Combinação feminina de notas doces /  Se misturam ao frescor dos cítricos</t>
  </si>
  <si>
    <t xml:space="preserve">Doçura das notas de baunilha com o marcante das madeiras / Equilibram delicadeza e confiança / Equilibram delicadeza e confiança </t>
  </si>
  <si>
    <t xml:space="preserve"> Romance </t>
  </si>
  <si>
    <t>Adocicado/ Romance / Dia a dia Para Sair / Adocicadas inspiradas nas nuances do chocolate rosa / Criação autêntica / Moderna</t>
  </si>
  <si>
    <t xml:space="preserve"> Shock</t>
  </si>
  <si>
    <t>Vibrante / Envolvente / Mistura a doçura do caramelo / Baunilha / Algodão-doce com os toques frutados de pimenta-rosa / frutas vermelhas</t>
  </si>
  <si>
    <t xml:space="preserve">Sabonete Liquido </t>
  </si>
  <si>
    <t>notas de baunilha se mistura a uma combinação / marcante de madeiras / Partículas iluminadoras que deixam a pele iluminada</t>
  </si>
  <si>
    <t>Hidratante Corporal Perfumado</t>
  </si>
  <si>
    <t>Hidrata / Perfuma a pele com o adocicado marcante de Kriska /  surpreendente / autêntica / Pele hidratada / macia / intensifica</t>
  </si>
  <si>
    <t xml:space="preserve">R$ 51, 90 </t>
  </si>
  <si>
    <t>Desodorante Corporal Perfumado</t>
  </si>
  <si>
    <t>Shock</t>
  </si>
  <si>
    <t>NATBRA-116779</t>
  </si>
  <si>
    <t>Homem</t>
  </si>
  <si>
    <t xml:space="preserve"> Essence </t>
  </si>
  <si>
    <t>únicas / elegantes / refletem a personalidade /  especiais para todas as ocasiões</t>
  </si>
  <si>
    <t>R$ 80, 30</t>
  </si>
  <si>
    <t xml:space="preserve"> Meninos Infantil</t>
  </si>
  <si>
    <t>Amadeirada que celebra o encontro de geraçõe/  Agrada aos mais diversos meninos e faz uma homenagem à conexão entre pais e filhos / Aromático do poejo</t>
  </si>
  <si>
    <t xml:space="preserve"> Aromaticos </t>
  </si>
  <si>
    <t xml:space="preserve">Vive uma rotina intensa / refrescância com um fundo amadeirado / edição limitada </t>
  </si>
  <si>
    <t>R$ 229, 90</t>
  </si>
  <si>
    <t xml:space="preserve">  Dom </t>
  </si>
  <si>
    <t xml:space="preserve">Sofisticada e marcante / inspirada no poder da liderança / amadeiradas e especiadas / expressar sua força e elegância todo momento </t>
  </si>
  <si>
    <t xml:space="preserve"> Elo </t>
  </si>
  <si>
    <t xml:space="preserve"> Duradoura / intensa / homens autênticos / valorizam combinações surpreendentes / Frescas de lavanda branca / estoraque se unem à força amadeirada do vetiver / toque de pimenta-preta</t>
  </si>
  <si>
    <t>Únicas / elegantes / refletem a personalidade /  especiais para todas as ocasiões</t>
  </si>
  <si>
    <t>Únicas e elegantes que refletem a personalidade de cada homem / únicos e especiais para todas as ocasiões / prolongada / Madeiras quentes / desperta e renova</t>
  </si>
  <si>
    <t xml:space="preserve"> Madeira </t>
  </si>
  <si>
    <t>Madeiras vetiver / cedro / cashmeran / com âmbar / especiarias frias / cardamomo / gengibre / toque de frescor à fragrância</t>
  </si>
  <si>
    <t xml:space="preserve"> Nós </t>
  </si>
  <si>
    <t xml:space="preserve"> Vívida para ocasiões memoráveis / amadeiradas e contagiantes / a combinação de cumaru que se complementa com o toque inesperada da íris</t>
  </si>
  <si>
    <t xml:space="preserve"> Neo </t>
  </si>
  <si>
    <t>Madeira / Equilibra intensidade / Conforto / Sensações plurais potencializadas pela força de um coletivo de madeiras nobres e pela Pataqueira</t>
  </si>
  <si>
    <t>NATBRA-81951</t>
  </si>
  <si>
    <t xml:space="preserve"> Sagaz </t>
  </si>
  <si>
    <t>Amadeirada / marcante / envolvente / duradoura / intensa / sofisticados / confiantes / ousada</t>
  </si>
  <si>
    <t xml:space="preserve"> Tato</t>
  </si>
  <si>
    <t>Aguçar os sentidos e revelar o poder e a sensibilidade do toque / sinta na pele o contraste irresistível de pimenta com cardamomo, combinado com o calor do cumaru, ingrediente da biodiversidade brasileira</t>
  </si>
  <si>
    <t xml:space="preserve"> Verum</t>
  </si>
  <si>
    <t>Amadeirada contrasta notas verdes da folha de violeta e um toque especial da copaíba, ingrediente da natureza / para quem é confiante e vive o hoje</t>
  </si>
  <si>
    <t xml:space="preserve"> Coragio </t>
  </si>
  <si>
    <t>coragem e autenticidade / intensa e duradoura / ideal para ocasiões especiais/ arrepio na pele das notas metálicas de especiarias frias e o calor da madeira copaíba e do cumaru</t>
  </si>
  <si>
    <t>R$ 299, 90</t>
  </si>
  <si>
    <t xml:space="preserve"> Evolutin </t>
  </si>
  <si>
    <t>Alta concentração de óleos essenciais / envolvente / contemporânea / madeiras quentes de ambar / sândalo / grapefruit / bergamota</t>
  </si>
  <si>
    <t xml:space="preserve"> Emocione </t>
  </si>
  <si>
    <t>óleo da biodiversidade brasileira / força das emoções masculinas / contraste de amadeirado do sândalo com a inesperada flor de cactus e pataqueira</t>
  </si>
  <si>
    <t>NATBRA-159951</t>
  </si>
  <si>
    <t xml:space="preserve"> Especiarias</t>
  </si>
  <si>
    <t>NATBRA-959847</t>
  </si>
  <si>
    <t xml:space="preserve"> Essence</t>
  </si>
  <si>
    <t>NATBRA-173493</t>
  </si>
  <si>
    <t xml:space="preserve"> Cacau </t>
  </si>
  <si>
    <t>limpa profundamente / pele fresca e suave / sensação de revitalização / fragrância amadeirada intensa inspirada</t>
  </si>
  <si>
    <t xml:space="preserve"> Corajoso </t>
  </si>
  <si>
    <t xml:space="preserve">110g </t>
  </si>
  <si>
    <t xml:space="preserve">Hidratação Imediata /  Hidratação até 48 Hrs   </t>
  </si>
  <si>
    <t>NATBRA-149374</t>
  </si>
  <si>
    <t xml:space="preserve"> Dom </t>
  </si>
  <si>
    <t xml:space="preserve">R$ 29, 90 </t>
  </si>
  <si>
    <t xml:space="preserve"> Sem Perfume </t>
  </si>
  <si>
    <t xml:space="preserve"> Tato </t>
  </si>
  <si>
    <t xml:space="preserve">Shampoo 2 em 1 </t>
  </si>
  <si>
    <t xml:space="preserve">Masculino </t>
  </si>
  <si>
    <t>fórmula prática que limpa e condiciona sem pesar / saudável / refrescância e cuidado para os seus cabelos / óleo de babaçu, que contribui no reforço da barreira cutânea e do mecanismo de defesa da pele</t>
  </si>
  <si>
    <t xml:space="preserve">R$ 49, 90 </t>
  </si>
  <si>
    <t>NATBRA-147421</t>
  </si>
  <si>
    <t xml:space="preserve">Shampoo Antiqueda </t>
  </si>
  <si>
    <t xml:space="preserve">Antiqueda /  Fortifica os Fios com Redução Intensiva de queda </t>
  </si>
  <si>
    <t xml:space="preserve">R$ 56, 90 </t>
  </si>
  <si>
    <t xml:space="preserve">Shampoo Anticaspa </t>
  </si>
  <si>
    <t xml:space="preserve">Anticaspa / Elimina até 100% Da Caspa Visivel /  Sem Rescecar os Fios </t>
  </si>
  <si>
    <t xml:space="preserve"> Shampoo Cabelo Corpo </t>
  </si>
  <si>
    <t xml:space="preserve"> Meninos infantil</t>
  </si>
  <si>
    <t xml:space="preserve">Limpa / Perfuma /  HIdrata </t>
  </si>
  <si>
    <t xml:space="preserve">R$ 34, 90 </t>
  </si>
  <si>
    <t xml:space="preserve">Shower Gel 4 em 1 </t>
  </si>
  <si>
    <t xml:space="preserve">Shower Gel 4 em 1 / Cabelo / Barba / Rosto / Corpo / Limpa / Protege a pele e os fios </t>
  </si>
  <si>
    <t xml:space="preserve">Sabonete Faciel Esfolianete </t>
  </si>
  <si>
    <t xml:space="preserve">Limoa / Esfolia / Estimulando a renovação da pele </t>
  </si>
  <si>
    <t xml:space="preserve">R$ 59, 90 </t>
  </si>
  <si>
    <t xml:space="preserve">Espuma de Barbear </t>
  </si>
  <si>
    <t xml:space="preserve">Sensação de Frescor / Pele Limpa / Barbear Confortavel </t>
  </si>
  <si>
    <t xml:space="preserve">R$ 69, 90 </t>
  </si>
  <si>
    <t xml:space="preserve">Gel Para Barbear </t>
  </si>
  <si>
    <t xml:space="preserve">Frsaco </t>
  </si>
  <si>
    <t xml:space="preserve">Gel Translucido / Facilita o Desenho da Barba </t>
  </si>
  <si>
    <t xml:space="preserve">R$ 48, 90 </t>
  </si>
  <si>
    <t xml:space="preserve">Creme Para Barbear Multifuncional </t>
  </si>
  <si>
    <t xml:space="preserve">Reduz a Irritação no Barbear </t>
  </si>
  <si>
    <t>R$  55, 90</t>
  </si>
  <si>
    <t xml:space="preserve">Balm Pos Barba Multifuncinal </t>
  </si>
  <si>
    <t xml:space="preserve">Acalma / Revitaliza / Hidratação Profunda </t>
  </si>
  <si>
    <t xml:space="preserve">R$ 72, 90 </t>
  </si>
  <si>
    <t>Oleo para Barba</t>
  </si>
  <si>
    <t xml:space="preserve">Barba até 2 Vezes mais Macia / Hidratada 2 vezes mais </t>
  </si>
  <si>
    <t xml:space="preserve">R$ 79, 90 </t>
  </si>
  <si>
    <t>Hidratante para Maos Ressecadas</t>
  </si>
  <si>
    <t xml:space="preserve">Pele Profundamente Hidratanda </t>
  </si>
  <si>
    <t xml:space="preserve">R$ 39, 90 </t>
  </si>
  <si>
    <t>Seve</t>
  </si>
  <si>
    <t xml:space="preserve">Amendoas e Cereja </t>
  </si>
  <si>
    <t xml:space="preserve">Pele Macia e Hidratada 24 hrs / Realça o seu Brilhoi Natural Da Pele / Fragrancia Envolvente / Sensualidade / Aflora a beleza </t>
  </si>
  <si>
    <t xml:space="preserve">R$ 115, 90 </t>
  </si>
  <si>
    <t>Amêndoas Doces</t>
  </si>
  <si>
    <t xml:space="preserve">Amendoas Doces Intensa </t>
  </si>
  <si>
    <t xml:space="preserve">Amêndoas e Flor de Ameixa </t>
  </si>
  <si>
    <t xml:space="preserve">Amêndoas e Orquidia Negra </t>
  </si>
  <si>
    <t xml:space="preserve">Rosas e Amendoas </t>
  </si>
  <si>
    <t xml:space="preserve">Pimenta Rosa </t>
  </si>
  <si>
    <t xml:space="preserve">R$ 98, 90 </t>
  </si>
  <si>
    <t>Creme Corporal Desodorante Perfumado</t>
  </si>
  <si>
    <t xml:space="preserve">Desodorante / Perfuma / Hidrata /  Corporal </t>
  </si>
  <si>
    <t xml:space="preserve">R$ 112, 90 </t>
  </si>
  <si>
    <t>Biografia</t>
  </si>
  <si>
    <t xml:space="preserve"> Assinatura </t>
  </si>
  <si>
    <t>Floral Adocicado / Unico /  Um toque de doçura da baumilia /  Celebra as Datas e historias pessoais e individuais.</t>
  </si>
  <si>
    <t xml:space="preserve"> Oferece Diferentes Sensaçoes / Combinaçao Notas Frutais de pessego e cassis / Florais verde Refrescante  /  Amaderado </t>
  </si>
  <si>
    <t xml:space="preserve"> Encontros </t>
  </si>
  <si>
    <t xml:space="preserve">Buque Floral  delicado  /  Notas de coraçao rosa / Jasmim / Lirio do Vale / Saida Vibrante de Bergamota e pimenta rosa </t>
  </si>
  <si>
    <t xml:space="preserve">Frescor de Alecrim / Salvia / Sofisticação do Cashmeran / Fragransia  Inesquecivel </t>
  </si>
  <si>
    <t xml:space="preserve">  Feminino</t>
  </si>
  <si>
    <t>Oferece diferentes sensaçoes / Notas frescas  / Herbais / Forte amadeirado do cedro / Sandalo / vetevir /  Finalizando com Sofisticaçao de ambar</t>
  </si>
  <si>
    <t xml:space="preserve">Notas Quentes / Envolventes / Perfeitos para momentos especiais / Para Encontro Marcantes </t>
  </si>
  <si>
    <t xml:space="preserve"> Inspire </t>
  </si>
  <si>
    <t xml:space="preserve">Amadeirado moderado / Notas frutais / toque especiado frescor inusitado / especiado toque gelado / trazendo frescor inesperado </t>
  </si>
  <si>
    <t xml:space="preserve"> Assinatura Feminino</t>
  </si>
  <si>
    <t xml:space="preserve"> Frasco </t>
  </si>
  <si>
    <t>NATBRA-9467</t>
  </si>
  <si>
    <t xml:space="preserve"> Caminhos Feminino</t>
  </si>
  <si>
    <t xml:space="preserve">Notas Florais / Frescas /  Fragrancia Unica </t>
  </si>
  <si>
    <t xml:space="preserve"> Encontros Feminino</t>
  </si>
  <si>
    <t xml:space="preserve"> Inspire Feminino</t>
  </si>
  <si>
    <t xml:space="preserve">Notas Frutais / Amadeirado / Elegancia / Força / Perfeitos para momentos especiais  / Floral delicado </t>
  </si>
  <si>
    <t xml:space="preserve"> Assinatura Masculino</t>
  </si>
  <si>
    <t>NATBRA-817061</t>
  </si>
  <si>
    <t xml:space="preserve"> Inspire Masculino</t>
  </si>
  <si>
    <t>Sabonete Liquido</t>
  </si>
  <si>
    <t>Hidratante para Maos</t>
  </si>
  <si>
    <t>NATBRA-817060</t>
  </si>
  <si>
    <t xml:space="preserve"> inspire </t>
  </si>
  <si>
    <t>NATBRA-71604</t>
  </si>
  <si>
    <t>Mamãe e Bebê</t>
  </si>
  <si>
    <t xml:space="preserve">Agua Colonia  Bebe </t>
  </si>
  <si>
    <t>Flor de Laranjeira Amarelinho 0a3 anos</t>
  </si>
  <si>
    <t xml:space="preserve">Criar um vínculo afetivo entre mãe e bebê através do cheiro / mulheres e homens, sendo uma opção agradável e segura para a pele sensível do bebê, proporcionando um toque de carinho e bem-estar. Evita de escorregar das mãos / testado e aprovados por pediatras </t>
  </si>
  <si>
    <t>Para o Bebê Verde 0a3 anos</t>
  </si>
  <si>
    <t xml:space="preserve">Relaxante tem cheirinho de amor / carinho / cuidado / perfumação suave / segura /  dia a dia, pós banho </t>
  </si>
  <si>
    <t>Relaxante Roxinho 0a3 anos</t>
  </si>
  <si>
    <t xml:space="preserve">Para deixar o seu bebê com cheirinho de amor e carinho / dia a dia, pós banho / floral Evita de escorregar das mãos / testado e aprovados por pediatras </t>
  </si>
  <si>
    <t>NATBRA-92786</t>
  </si>
  <si>
    <t>Agua Colonia Mamae</t>
  </si>
  <si>
    <t xml:space="preserve">Rosinha / Para Mamãe </t>
  </si>
  <si>
    <t>Hipoalergênicos / segurança durante e após a gestação. Com fragrância suave que é um convite para a mãe cuidar de si mesma enquanto cuida também do seu filho, uma perfumação que fortalece o vínculo entre a mamãe e o bebê. Evita de escorregar das mãos / testado e aprovados por pediatras.</t>
  </si>
  <si>
    <t>suave / delicada / para o bebê são hipoalergênicos / formulados de maneira minimizar possível surgimento de alergia / pensado para a segurança dos seus filhos desde os primeiros dias de vida</t>
  </si>
  <si>
    <t>Para o Bebê Verde Escuro 0a3 anos</t>
  </si>
  <si>
    <t>ideal para curvaturas de 3A até 4C / hipoalergênica / ajuda no desembaraço / manutenção dos cachos por até 24 horas / cachos mais definidos / pode ser usado desde o primeiro banho/ não irrita os olhinhos e nem o couro cabeludo</t>
  </si>
  <si>
    <t xml:space="preserve">Para o Bebê Verde 0a3 anos </t>
  </si>
  <si>
    <t>desembaraçar e hidratar delicadamente os cabelos do bebê, respeitando a fragilidade dos fios e do couro cabeludo. com uma fórmula suave e ingredientes de origem natural, ele deixa os cabelos macios, perfumados e fáceis de pentear, proporcionando cuidado e carinho desde os primeiros dias de vida.</t>
  </si>
  <si>
    <t>possui ação antinó tornando o desembaraçar até 6 vezes mais fácil / ideal para curvaturas de 3A até 4C / contém somente o essencial para hidratar os fios / fórmula hipoalergênica / manutenção dos cachos por até 24 horas / cachos mais definidos / pode ser usado desde o primeiro banho / não irrita os olhinhos e nem o couro cabeludo</t>
  </si>
  <si>
    <t>facilita o desembaraço em até 7 vezes e deixa os cachinhos modelados por até 24 horas / com o poder nutritivo da manteiga de murumuru, que deixa os fios hidratados e macios /  ideal para curvaturas de 3A até 4C /  cachos mais definidos</t>
  </si>
  <si>
    <t>NATBRA-92817</t>
  </si>
  <si>
    <t>Limpeza suave e delicada desde o primeiro banho / foi desenvolvido especialmente para cuidar da pele delicada do bebê e da mamãe com carinho e cuidado / suave, livre de parabenos e corantes, limpa delicadamente a pele, removendo as impurezas sem ressecá-la.</t>
  </si>
  <si>
    <t>Cuidado que relaxa e acalma, para um sono mais tranquilo / sono mais tranquila / Somente com o essencial para a pele sensível do bebê; / Mantém a hidratação da pele do bebê; / Limpeza delicada</t>
  </si>
  <si>
    <t>Branco  Sem Fragrância 0a3 anos</t>
  </si>
  <si>
    <t>íquido sem fragrância / opção para mamães, papais, vovôs, vovós e todos aqueles que preferem produtos sem perfume. Pode ser usado desde o primeiro banho e não arde os olhos.</t>
  </si>
  <si>
    <t>NATBRA-92800</t>
  </si>
  <si>
    <t>Para o Bebê Verde</t>
  </si>
  <si>
    <t>oferece uma limpeza suave e eficaz, respeitando a delicadeza da pele do bebê. com sua fórmula 100% vegetal e ingredientes de origem natural, este sabo limpa sem ressecar / deixando a pele macia, protegida e delicadamente perfumado /  Ideal para um cuidado diário cheio de carinho desde o primeiro banho.</t>
  </si>
  <si>
    <t xml:space="preserve">20g </t>
  </si>
  <si>
    <t xml:space="preserve">3  Sortidos -  Cores , Verde , Roxinho, Rosinha </t>
  </si>
  <si>
    <t>limpeza delicada desde o primeiro banho / tamanho miniatura perfeito para levar em viagens e passeios / deixa a pele delicadamente perfumada com fragrância clássica / ideal para a pele sensível do bebê</t>
  </si>
  <si>
    <t xml:space="preserve">Amarelinho , Flor de Laranjeira com Saboneteira </t>
  </si>
  <si>
    <t>0.5</t>
  </si>
  <si>
    <t>limpeza suave e perfumação alegre desde o primeiro banho / pode ser usado desde o primeiro dia de vida / fragrância alegre e vibrante / testado e aprovado por pediatras / limpeza delicada</t>
  </si>
  <si>
    <t xml:space="preserve">Para o Bebê Verde  com Saboneteira </t>
  </si>
  <si>
    <t xml:space="preserve">Lenços Umedecidos </t>
  </si>
  <si>
    <t>20 cm x 15 cm</t>
  </si>
  <si>
    <t xml:space="preserve">Pacote </t>
  </si>
  <si>
    <t>limpa de forma suave e delicada a pele sensível do bebê /  não resseca a pele / pode ser usado na região da fralda, corpo e rostinho / tecido resistente com toque macio - sem rasgar e sem desperdício / tamanho ideal para mais praticidade e conforto / hipoalergênico / formulados de maneira minimizar possível surgimento de alergia</t>
  </si>
  <si>
    <t xml:space="preserve">Branco  Sem Fragrância </t>
  </si>
  <si>
    <t>cuidado e carinho / limpeza suave e delicada / contém somente o essencial para a pele sensível do bebê / não resseca a pele / pode ser usado na limpeza da região da fralda, corpo e rostinho / tecido resistente com toque macio / tamanho ideal para mais praticidade e conforto na limpeza, sem rasgar e sem desperdício / sem fragrância</t>
  </si>
  <si>
    <t xml:space="preserve"> Flor de Laranjeira Amarelinho 0a3 anos</t>
  </si>
  <si>
    <t>Aroma fresquinho / hidratação intensa para a pele / ideal para a pele sensível do bebê / textura leve e de rápida absorção / fragrância alegre e vibrante / oftalmologicamente testado</t>
  </si>
  <si>
    <t>Branco Sem Fragrância 0a3 anos</t>
  </si>
  <si>
    <t>Sem cheirinho / mais uma opção para mamães, papais, vovôs, vovós e todos aqueles que preferem produtos sem perfume. Recomendado para peles sensíveis, tem rápida absorção e hidratação imediata.</t>
  </si>
  <si>
    <t>especialmente formulado para hidratar e proteger a pele delicada do bebê. com ingredientes suaves e seguros, sua textura leve e de rápida absorção proporciona maciez e conforto.</t>
  </si>
  <si>
    <t>NATBRA-92806</t>
  </si>
  <si>
    <t>suavidade / especialmente formulado para a pele sensível do seu bebê. Com uma fragrância comprovadamente relaxante / Enriquecido com óleos 100% vegetais e manteiga de cupuaçu, ele garante rápida absorção / formando uma camada protetora na pele para trazer mais segurança e cuidado/ Ideal para uso após o banho ou sempre que necessário / maneira minimizar possível surgimento de alergia</t>
  </si>
  <si>
    <t>Preventivo de estrias na gestação e Pós gestação / Hipoalergenico /  hidrata intensamente / melhora a elasticidade da pele</t>
  </si>
  <si>
    <t>hidrata, protege e ajuda na recuperação da pele / fórmula com óleo de amêndoas / textura que facilita o deslizar das mãos, proporcionando uma massagem agradável / com o aroma fresquinho de flor de laranjeira / contém somente o essencial para a pele sensível do bebê</t>
  </si>
  <si>
    <t>essencial para hidratar a pele sensível do bebê /  Com óleo de amêndoas, hidrata e protege com suavidade e cuidado /  Tem rápida absorção e pode ser usado após o banho e sempre que necessário..</t>
  </si>
  <si>
    <t xml:space="preserve">Para Mamãe ,Gestante Rosinha </t>
  </si>
  <si>
    <t xml:space="preserve">Creme Assadura </t>
  </si>
  <si>
    <t xml:space="preserve">Branco Sem Fragrância </t>
  </si>
  <si>
    <t xml:space="preserve">60g </t>
  </si>
  <si>
    <t>barreira que deixa a pele do bebê duas vezes mais fortalecida e protegida de fatores externos com o uso contínuo. Seu complexo nutritivo enriquecido com pantenol, óleo de amêndoas e manteiga de cacau, ajuda a fortalecer as camadas superiores da pele sensível.</t>
  </si>
  <si>
    <t xml:space="preserve">Álcool em Gel </t>
  </si>
  <si>
    <t xml:space="preserve">55g </t>
  </si>
  <si>
    <t>para o adulto que segura o bebê /  elimina 99,9% das bactérias /  ação antisséptica</t>
  </si>
  <si>
    <t>Miniatura Verde para o Bebê 0a3 anos</t>
  </si>
  <si>
    <t xml:space="preserve">Frascos </t>
  </si>
  <si>
    <t>Mamae e Bebe com Trocador Verde para o Bebê 0a3 anos</t>
  </si>
  <si>
    <t>750ml</t>
  </si>
  <si>
    <t>Mamae e Bebe com Frasqueira Verde  para o Bebê 0a3 anos</t>
  </si>
  <si>
    <t xml:space="preserve">350ml </t>
  </si>
  <si>
    <t>Papai e Bebe Mochila com Trocador Verde para o Bebê 0a3 anos</t>
  </si>
  <si>
    <t xml:space="preserve">Erva Doce </t>
  </si>
  <si>
    <t>Alcool em Gel Antisseptico</t>
  </si>
  <si>
    <t>70 INPM</t>
  </si>
  <si>
    <t xml:space="preserve">45g </t>
  </si>
  <si>
    <t>antisséptica comprovada / alcóolica de 70%, foi desenvolvida e avaliada / elimina 99,9% do germes / em situações com alta exposição a germes</t>
  </si>
  <si>
    <t>Proteção por até 72h / cuida da pele com tecnologia de Bioinovação, combina o melhor da ciência e da natureza / protege, perfuma e cuida / tecnologia invisível, não mancha as roupas claras e escuras</t>
  </si>
  <si>
    <t>faz um convite para uma pausa e para mais significado nos simples rituais diários / proteger e perfumar sua pele com tecnologia desodorante que protege contra odores da transpiração.</t>
  </si>
  <si>
    <t>NATBRA-2179</t>
  </si>
  <si>
    <t xml:space="preserve">80g </t>
  </si>
  <si>
    <t xml:space="preserve">Sabonete Cremoso </t>
  </si>
  <si>
    <t xml:space="preserve">250ml </t>
  </si>
  <si>
    <t xml:space="preserve">Limpa Sem Prejudicar as defesas naturais da pele </t>
  </si>
  <si>
    <t>confia de olhos fechados na limpeza e na fragrância inconfundível / 2 sabonetes cremosos, 1 sabonete esfoliante e 1 glicerinado para você desfrutar de banhos muito mais relaxantes</t>
  </si>
  <si>
    <t>higieniza sua pele de forma eficaz, sem agredi-la, recuperando a camada de proteção da pele 75% mais rápido / espuma cremosa e deixam uma delicada camada protetora na pele após o banho</t>
  </si>
  <si>
    <t xml:space="preserve">Spray de Ambiente </t>
  </si>
  <si>
    <t>Difusor de Ambiente Erva Doce para Casa e Comodos</t>
  </si>
  <si>
    <t>Una</t>
  </si>
  <si>
    <t xml:space="preserve">Deo Parfum </t>
  </si>
  <si>
    <t xml:space="preserve">Artisan </t>
  </si>
  <si>
    <t xml:space="preserve">Blush </t>
  </si>
  <si>
    <t xml:space="preserve">Brilho </t>
  </si>
  <si>
    <t>Infinito</t>
  </si>
  <si>
    <t>Instinct</t>
  </si>
  <si>
    <t xml:space="preserve">Senses </t>
  </si>
  <si>
    <t>NATBRA-119046</t>
  </si>
  <si>
    <t xml:space="preserve">Somos </t>
  </si>
  <si>
    <t xml:space="preserve">Una </t>
  </si>
  <si>
    <t xml:space="preserve">Hidratante Corporal  Desodorante </t>
  </si>
  <si>
    <t xml:space="preserve">Una Artisan </t>
  </si>
  <si>
    <t xml:space="preserve">Una Somos </t>
  </si>
  <si>
    <t>Una Senses</t>
  </si>
  <si>
    <t xml:space="preserve">Aura </t>
  </si>
  <si>
    <t>Eau de Parfum</t>
  </si>
  <si>
    <t xml:space="preserve">Alba </t>
  </si>
  <si>
    <t xml:space="preserve">Elegante / potente / Uma Leitura da Moderna Do Clássico Caminho Floral / Dura o Dia Todo / Rosa Alba / Bulgaria / Cresidade Flor de mel / Lichia / Sandalo </t>
  </si>
  <si>
    <t xml:space="preserve">R$ 324, 00 </t>
  </si>
  <si>
    <t xml:space="preserve">Águas </t>
  </si>
  <si>
    <t xml:space="preserve">Agua Colonia </t>
  </si>
  <si>
    <t xml:space="preserve">Flor de Laranjeira </t>
  </si>
  <si>
    <t xml:space="preserve">170ml </t>
  </si>
  <si>
    <t xml:space="preserve">Lavanda </t>
  </si>
  <si>
    <t xml:space="preserve">Lirío </t>
  </si>
  <si>
    <t xml:space="preserve">Jabuticaba </t>
  </si>
  <si>
    <t xml:space="preserve">Violetta </t>
  </si>
  <si>
    <t xml:space="preserve">Framboesa </t>
  </si>
  <si>
    <t xml:space="preserve">Naturé </t>
  </si>
  <si>
    <t>Catavento Infantil</t>
  </si>
  <si>
    <t>Corre Corre Infantil</t>
  </si>
  <si>
    <t>Esconde Esconde Infantil</t>
  </si>
  <si>
    <t>Pula Pula Infantil</t>
  </si>
  <si>
    <t>Cronos Natura</t>
  </si>
  <si>
    <t>50 ml</t>
  </si>
  <si>
    <t>Protetor Solar</t>
  </si>
  <si>
    <t>Protetor solar</t>
  </si>
  <si>
    <t>Fator 30</t>
  </si>
  <si>
    <t>Cápsulas</t>
  </si>
  <si>
    <t>60+</t>
  </si>
  <si>
    <t>Fluidos</t>
  </si>
  <si>
    <t>Multiprotetor</t>
  </si>
  <si>
    <t>Protetor com cor</t>
  </si>
  <si>
    <t>Claro médio</t>
  </si>
  <si>
    <t>Serum</t>
  </si>
  <si>
    <t>Intensivo</t>
  </si>
  <si>
    <t>Refil de limpeza suave</t>
  </si>
  <si>
    <t>Refil de limpeza</t>
  </si>
  <si>
    <t>Sabonete</t>
  </si>
  <si>
    <t>Médio escuro</t>
  </si>
  <si>
    <t>Data</t>
  </si>
  <si>
    <t>COD do Produto</t>
  </si>
  <si>
    <t>Cliente</t>
  </si>
  <si>
    <t>Tipo de Movimentação</t>
  </si>
  <si>
    <t>Quantidade</t>
  </si>
  <si>
    <t>Preço Custo Total</t>
  </si>
  <si>
    <t>Preço Venda Total</t>
  </si>
  <si>
    <t>Observações</t>
  </si>
  <si>
    <t>Status</t>
  </si>
  <si>
    <t>Data Prevista</t>
  </si>
  <si>
    <t>Tipo de Pagamento</t>
  </si>
  <si>
    <t>ID_Venda</t>
  </si>
  <si>
    <t>Natura Hidrante Desodorante Corporal Tododia Algodão 400ml Frasco</t>
  </si>
  <si>
    <t>NATURA</t>
  </si>
  <si>
    <t>ENTRADA</t>
  </si>
  <si>
    <t>Ciclo 23</t>
  </si>
  <si>
    <t>PAGO</t>
  </si>
  <si>
    <t>Pix</t>
  </si>
  <si>
    <t>E-27B7FB</t>
  </si>
  <si>
    <t>SAÍDA</t>
  </si>
  <si>
    <t>2025-12-01 14:22:36</t>
  </si>
  <si>
    <t>V-C8C229</t>
  </si>
  <si>
    <t>ID_Cliente</t>
  </si>
  <si>
    <t>Telefone</t>
  </si>
  <si>
    <t>Email</t>
  </si>
  <si>
    <t>Endereço</t>
  </si>
  <si>
    <t>C-C2BFEE</t>
  </si>
  <si>
    <t>Joana</t>
  </si>
  <si>
    <t>11 92393287</t>
  </si>
  <si>
    <t>dsadsa@gmail.com</t>
  </si>
  <si>
    <t>Cachoeira</t>
  </si>
  <si>
    <t>Loja Whats</t>
  </si>
  <si>
    <t>C-4C4B74</t>
  </si>
  <si>
    <t>ASDDAS</t>
  </si>
  <si>
    <t>2232</t>
  </si>
  <si>
    <t>sadlapsd@gmail.com</t>
  </si>
  <si>
    <t>Furnas</t>
  </si>
  <si>
    <t>Site</t>
  </si>
  <si>
    <t>C-0947A0</t>
  </si>
  <si>
    <t>FGGH</t>
  </si>
  <si>
    <t>asdasd</t>
  </si>
  <si>
    <t>asd</t>
  </si>
  <si>
    <t>dasda</t>
  </si>
  <si>
    <t>C-7482A8</t>
  </si>
  <si>
    <t>GHHHH</t>
  </si>
  <si>
    <t>Cadastrado via Venda</t>
  </si>
  <si>
    <t>FATURAMENTO BRUTO</t>
  </si>
  <si>
    <t>CUSTO DE MERCADORIA VENDIDA (CMV)</t>
  </si>
  <si>
    <t>LUCRO BRUTO TOTAL</t>
  </si>
  <si>
    <t>MARGEM BRUTA (%)</t>
  </si>
  <si>
    <t>QTD PRODUTOS FIADO</t>
  </si>
  <si>
    <t>VALOR A RECEBER (FIADO)</t>
  </si>
  <si>
    <t>ESTOQUE TOTAL (ITENS)</t>
  </si>
  <si>
    <t>CUSTO TOTAL DO ESTOQUE ATUAL</t>
  </si>
  <si>
    <t>SALDO DE CAIXA DO ESTOQUE</t>
  </si>
  <si>
    <t xml:space="preserve">On-line Masculino </t>
  </si>
  <si>
    <t xml:space="preserve">Paz e Humor Masculino </t>
  </si>
  <si>
    <t xml:space="preserve"> A Dois Masculino </t>
  </si>
  <si>
    <t>Proprio Feminino</t>
  </si>
  <si>
    <t xml:space="preserve"> + Beijos Feminino</t>
  </si>
  <si>
    <t>Envolve Unisex</t>
  </si>
  <si>
    <t xml:space="preserve"> Liberta Unisex</t>
  </si>
  <si>
    <t xml:space="preserve"> Proprio </t>
  </si>
  <si>
    <t>Proprio</t>
  </si>
  <si>
    <t>Off-line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</si>
</sst>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yyyy\-mm\-dd\ hh:mm:ss"/>
  </numFmts>
  <fonts count="4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scheme val="minor"/>
    </font>
    <font>
      <sz val="11"/>
      <color rgb="FF000000"/>
      <name val="Arial"/>
      <charset val="1"/>
    </font>
    <font>
      <sz val="10"/>
      <color rgb="FFFF0000"/>
      <name val="Arial"/>
      <scheme val="minor"/>
    </font>
    <font>
      <sz val="11"/>
      <color rgb="FFFF0000"/>
      <name val="Arial"/>
      <scheme val="minor"/>
    </font>
    <font>
      <sz val="12"/>
      <color theme="0"/>
      <name val="Arial"/>
      <scheme val="minor"/>
    </font>
    <font>
      <sz val="10"/>
      <color theme="0"/>
      <name val="Arial"/>
      <scheme val="minor"/>
    </font>
    <font>
      <sz val="11"/>
      <color theme="1"/>
      <name val="Arial"/>
      <scheme val="major"/>
    </font>
    <font>
      <sz val="11"/>
      <color rgb="FF000000"/>
      <name val="Arial"/>
      <scheme val="major"/>
    </font>
    <font>
      <sz val="11"/>
      <color theme="1"/>
      <name val="Arial"/>
      <family val="2"/>
      <charset val="1"/>
    </font>
    <font>
      <sz val="12"/>
      <color theme="1"/>
      <name val="Arial"/>
      <scheme val="major"/>
    </font>
    <font>
      <sz val="11"/>
      <color rgb="FF242424"/>
      <name val="Arial"/>
      <scheme val="major"/>
    </font>
    <font>
      <sz val="11"/>
      <color rgb="FF000000"/>
      <name val="Arial"/>
    </font>
    <font>
      <sz val="12"/>
      <color rgb="FF000000"/>
      <name val="Arial"/>
      <scheme val="major"/>
    </font>
    <font>
      <sz val="12"/>
      <color rgb="FF040C28"/>
      <name val="Arial"/>
      <scheme val="minor"/>
    </font>
    <font>
      <sz val="11"/>
      <color rgb="FF1A1313"/>
      <name val="Arial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scheme val="major"/>
    </font>
    <font>
      <b/>
      <sz val="11"/>
      <color rgb="FF000000"/>
      <name val="Arial"/>
      <family val="2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</font>
    <font>
      <sz val="14"/>
      <color theme="3" tint="0.14999847407452621"/>
      <name val="Bahnschrift SemiBold SemiConden"/>
      <family val="2"/>
    </font>
    <font>
      <sz val="14"/>
      <color rgb="FF000000"/>
      <name val="Arial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</font>
  </fonts>
  <fills count="29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E31717"/>
        <bgColor indexed="64"/>
      </patternFill>
    </fill>
    <fill>
      <patternFill patternType="solid">
        <fgColor rgb="FFB864D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6D0C7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2C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23CC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C1455"/>
        <bgColor indexed="64"/>
      </patternFill>
    </fill>
    <fill>
      <patternFill patternType="solid">
        <fgColor rgb="FFDBD3D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9" fontId="33" fillId="0" borderId="0"/>
    <xf numFmtId="44" fontId="33" fillId="0" borderId="0"/>
    <xf numFmtId="9" fontId="33" fillId="0" borderId="0"/>
    <xf numFmtId="44" fontId="33" fillId="0" borderId="0"/>
    <xf numFmtId="0" fontId="7" fillId="0" borderId="0"/>
    <xf numFmtId="0" fontId="7" fillId="0" borderId="0"/>
  </cellStyleXfs>
  <cellXfs count="178">
    <xf numFmtId="0" fontId="0" fillId="0" borderId="0" xfId="0"/>
    <xf numFmtId="0" fontId="0" fillId="0" borderId="3" xfId="0" applyBorder="1"/>
    <xf numFmtId="0" fontId="13" fillId="0" borderId="3" xfId="0" applyFont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5" borderId="5" xfId="0" applyFont="1" applyFill="1" applyBorder="1" applyAlignment="1">
      <alignment horizontal="center"/>
    </xf>
    <xf numFmtId="0" fontId="13" fillId="7" borderId="3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0" fillId="8" borderId="0" xfId="0" applyFill="1"/>
    <xf numFmtId="0" fontId="11" fillId="0" borderId="3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0" fontId="13" fillId="10" borderId="3" xfId="0" applyFont="1" applyFill="1" applyBorder="1" applyAlignment="1">
      <alignment horizontal="center"/>
    </xf>
    <xf numFmtId="0" fontId="0" fillId="8" borderId="3" xfId="0" applyFill="1" applyBorder="1"/>
    <xf numFmtId="0" fontId="0" fillId="12" borderId="0" xfId="0" applyFill="1"/>
    <xf numFmtId="0" fontId="12" fillId="8" borderId="0" xfId="0" applyFont="1" applyFill="1" applyAlignment="1">
      <alignment horizontal="center" vertical="top"/>
    </xf>
    <xf numFmtId="0" fontId="11" fillId="8" borderId="3" xfId="0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23" fillId="8" borderId="3" xfId="0" applyFont="1" applyFill="1" applyBorder="1" applyAlignment="1">
      <alignment horizontal="center"/>
    </xf>
    <xf numFmtId="0" fontId="23" fillId="8" borderId="8" xfId="0" applyFont="1" applyFill="1" applyBorder="1" applyAlignment="1">
      <alignment horizontal="center"/>
    </xf>
    <xf numFmtId="0" fontId="23" fillId="8" borderId="5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8" borderId="11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3" fillId="8" borderId="3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8" fillId="8" borderId="3" xfId="0" applyFont="1" applyFill="1" applyBorder="1" applyAlignment="1">
      <alignment vertical="center"/>
    </xf>
    <xf numFmtId="0" fontId="13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17" fillId="8" borderId="3" xfId="0" applyFont="1" applyFill="1" applyBorder="1"/>
    <xf numFmtId="0" fontId="18" fillId="8" borderId="3" xfId="0" applyFont="1" applyFill="1" applyBorder="1" applyAlignment="1">
      <alignment horizontal="center"/>
    </xf>
    <xf numFmtId="0" fontId="17" fillId="8" borderId="0" xfId="0" applyFont="1" applyFill="1"/>
    <xf numFmtId="0" fontId="29" fillId="8" borderId="3" xfId="0" applyFont="1" applyFill="1" applyBorder="1" applyAlignment="1">
      <alignment horizontal="center"/>
    </xf>
    <xf numFmtId="0" fontId="11" fillId="0" borderId="3" xfId="0" applyFont="1" applyBorder="1"/>
    <xf numFmtId="0" fontId="30" fillId="8" borderId="0" xfId="0" applyFont="1" applyFill="1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15" fillId="8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8" fillId="13" borderId="3" xfId="0" applyFont="1" applyFill="1" applyBorder="1" applyAlignment="1">
      <alignment horizontal="center"/>
    </xf>
    <xf numFmtId="0" fontId="8" fillId="14" borderId="3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19" fillId="15" borderId="3" xfId="0" applyFont="1" applyFill="1" applyBorder="1" applyAlignment="1">
      <alignment horizontal="center"/>
    </xf>
    <xf numFmtId="0" fontId="20" fillId="17" borderId="3" xfId="0" applyFont="1" applyFill="1" applyBorder="1" applyAlignment="1">
      <alignment horizontal="center"/>
    </xf>
    <xf numFmtId="0" fontId="20" fillId="18" borderId="3" xfId="0" applyFont="1" applyFill="1" applyBorder="1" applyAlignment="1">
      <alignment horizontal="center"/>
    </xf>
    <xf numFmtId="0" fontId="8" fillId="21" borderId="3" xfId="0" applyFont="1" applyFill="1" applyBorder="1" applyAlignment="1">
      <alignment horizontal="center"/>
    </xf>
    <xf numFmtId="0" fontId="8" fillId="22" borderId="3" xfId="0" applyFont="1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25" borderId="3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8" borderId="3" xfId="0" applyFont="1" applyFill="1" applyBorder="1" applyAlignment="1">
      <alignment horizontal="center"/>
    </xf>
    <xf numFmtId="0" fontId="7" fillId="8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0" fontId="32" fillId="8" borderId="3" xfId="0" applyFont="1" applyFill="1" applyBorder="1" applyAlignment="1">
      <alignment horizontal="center"/>
    </xf>
    <xf numFmtId="0" fontId="10" fillId="16" borderId="3" xfId="0" applyFont="1" applyFill="1" applyBorder="1" applyAlignment="1">
      <alignment horizontal="center"/>
    </xf>
    <xf numFmtId="0" fontId="32" fillId="0" borderId="3" xfId="0" applyFont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30" fillId="8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34" fillId="2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center"/>
    </xf>
    <xf numFmtId="0" fontId="30" fillId="2" borderId="0" xfId="0" applyFont="1" applyFill="1" applyAlignment="1">
      <alignment horizontal="center" vertical="center"/>
    </xf>
    <xf numFmtId="0" fontId="35" fillId="19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/>
    </xf>
    <xf numFmtId="0" fontId="36" fillId="2" borderId="16" xfId="0" applyFont="1" applyFill="1" applyBorder="1" applyAlignment="1">
      <alignment horizontal="center"/>
    </xf>
    <xf numFmtId="0" fontId="37" fillId="28" borderId="0" xfId="0" applyFont="1" applyFill="1"/>
    <xf numFmtId="0" fontId="38" fillId="0" borderId="0" xfId="0" applyFont="1"/>
    <xf numFmtId="9" fontId="38" fillId="0" borderId="0" xfId="1" applyFont="1"/>
    <xf numFmtId="0" fontId="34" fillId="2" borderId="0" xfId="0" applyFont="1" applyFill="1"/>
    <xf numFmtId="0" fontId="0" fillId="0" borderId="0" xfId="0" applyAlignment="1">
      <alignment wrapText="1"/>
    </xf>
    <xf numFmtId="0" fontId="9" fillId="23" borderId="3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8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0" fillId="27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30" fillId="0" borderId="0" xfId="0" applyFont="1" applyAlignment="1">
      <alignment horizontal="center"/>
    </xf>
    <xf numFmtId="0" fontId="15" fillId="8" borderId="0" xfId="0" applyFont="1" applyFill="1" applyAlignment="1">
      <alignment horizontal="center"/>
    </xf>
    <xf numFmtId="0" fontId="31" fillId="8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8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23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2" fillId="0" borderId="0" xfId="0" applyFont="1"/>
    <xf numFmtId="0" fontId="12" fillId="0" borderId="0" xfId="0" applyFont="1" applyAlignment="1">
      <alignment horizontal="center" vertical="top"/>
    </xf>
    <xf numFmtId="0" fontId="24" fillId="0" borderId="0" xfId="0" applyFont="1" applyAlignment="1">
      <alignment horizontal="center"/>
    </xf>
    <xf numFmtId="0" fontId="23" fillId="0" borderId="0" xfId="0" applyFont="1"/>
    <xf numFmtId="0" fontId="27" fillId="20" borderId="0" xfId="0" applyFont="1" applyFill="1" applyAlignment="1">
      <alignment horizontal="center" wrapText="1"/>
    </xf>
    <xf numFmtId="0" fontId="25" fillId="0" borderId="0" xfId="0" applyFont="1"/>
    <xf numFmtId="0" fontId="0" fillId="0" borderId="0" xfId="0" applyAlignment="1">
      <alignment horizontal="right"/>
    </xf>
    <xf numFmtId="0" fontId="40" fillId="0" borderId="17" xfId="0" applyFont="1" applyBorder="1" applyAlignment="1">
      <alignment horizontal="center" vertical="top"/>
    </xf>
    <xf numFmtId="0" fontId="39" fillId="0" borderId="17" xfId="0" applyFont="1" applyBorder="1" applyAlignment="1">
      <alignment horizontal="center" vertical="top"/>
    </xf>
    <xf numFmtId="0" fontId="9" fillId="0" borderId="0" xfId="0" applyFont="1"/>
    <xf numFmtId="8" fontId="11" fillId="0" borderId="0" xfId="0" applyNumberFormat="1" applyFont="1" applyAlignment="1">
      <alignment horizontal="center"/>
    </xf>
    <xf numFmtId="8" fontId="11" fillId="8" borderId="0" xfId="0" applyNumberFormat="1" applyFont="1" applyFill="1" applyAlignment="1">
      <alignment horizontal="center"/>
    </xf>
    <xf numFmtId="8" fontId="11" fillId="0" borderId="3" xfId="0" applyNumberFormat="1" applyFont="1" applyBorder="1" applyAlignment="1">
      <alignment horizontal="center"/>
    </xf>
    <xf numFmtId="6" fontId="14" fillId="0" borderId="3" xfId="0" applyNumberFormat="1" applyFont="1" applyBorder="1" applyAlignment="1">
      <alignment horizontal="center"/>
    </xf>
    <xf numFmtId="8" fontId="11" fillId="0" borderId="6" xfId="0" applyNumberFormat="1" applyFont="1" applyBorder="1" applyAlignment="1">
      <alignment horizontal="center"/>
    </xf>
    <xf numFmtId="8" fontId="11" fillId="0" borderId="8" xfId="0" applyNumberFormat="1" applyFont="1" applyBorder="1" applyAlignment="1">
      <alignment horizontal="center"/>
    </xf>
    <xf numFmtId="8" fontId="16" fillId="0" borderId="0" xfId="0" applyNumberFormat="1" applyFont="1" applyAlignment="1">
      <alignment horizontal="center"/>
    </xf>
    <xf numFmtId="8" fontId="13" fillId="5" borderId="3" xfId="0" applyNumberFormat="1" applyFont="1" applyFill="1" applyBorder="1" applyAlignment="1">
      <alignment horizontal="center"/>
    </xf>
    <xf numFmtId="8" fontId="13" fillId="0" borderId="3" xfId="0" applyNumberFormat="1" applyFont="1" applyBorder="1" applyAlignment="1">
      <alignment horizontal="center"/>
    </xf>
    <xf numFmtId="8" fontId="0" fillId="0" borderId="3" xfId="0" applyNumberFormat="1" applyBorder="1" applyAlignment="1">
      <alignment horizontal="center"/>
    </xf>
    <xf numFmtId="8" fontId="0" fillId="0" borderId="0" xfId="0" applyNumberFormat="1" applyAlignment="1">
      <alignment horizontal="center"/>
    </xf>
    <xf numFmtId="8" fontId="11" fillId="0" borderId="5" xfId="0" applyNumberFormat="1" applyFont="1" applyBorder="1" applyAlignment="1">
      <alignment horizontal="center" vertical="center"/>
    </xf>
    <xf numFmtId="8" fontId="13" fillId="8" borderId="3" xfId="0" applyNumberFormat="1" applyFont="1" applyFill="1" applyBorder="1" applyAlignment="1">
      <alignment horizontal="center"/>
    </xf>
    <xf numFmtId="8" fontId="11" fillId="8" borderId="3" xfId="0" applyNumberFormat="1" applyFont="1" applyFill="1" applyBorder="1" applyAlignment="1">
      <alignment horizontal="center"/>
    </xf>
    <xf numFmtId="8" fontId="11" fillId="0" borderId="4" xfId="0" applyNumberFormat="1" applyFont="1" applyBorder="1" applyAlignment="1">
      <alignment horizontal="center"/>
    </xf>
    <xf numFmtId="6" fontId="11" fillId="0" borderId="3" xfId="0" applyNumberFormat="1" applyFont="1" applyBorder="1" applyAlignment="1">
      <alignment horizontal="center"/>
    </xf>
    <xf numFmtId="165" fontId="0" fillId="0" borderId="0" xfId="0" applyNumberFormat="1"/>
    <xf numFmtId="0" fontId="41" fillId="0" borderId="18" xfId="0" applyFont="1" applyBorder="1" applyAlignment="1">
      <alignment horizontal="center" vertical="top"/>
    </xf>
    <xf numFmtId="164" fontId="38" fillId="0" borderId="0" xfId="0" applyNumberFormat="1" applyFont="1"/>
    <xf numFmtId="44" fontId="38" fillId="0" borderId="0" xfId="2" applyFont="1"/>
  </cellXfs>
  <cellStyles count="7">
    <cellStyle name="Moeda" xfId="2" builtinId="4"/>
    <cellStyle name="Moeda 2" xfId="4" xr:uid="{00000000-0005-0000-0000-000004000000}"/>
    <cellStyle name="Normal" xfId="0" builtinId="0"/>
    <cellStyle name="Normal 2" xfId="5" xr:uid="{00000000-0005-0000-0000-000005000000}"/>
    <cellStyle name="Normal 3" xfId="6" xr:uid="{00000000-0005-0000-0000-000006000000}"/>
    <cellStyle name="Porcentagem" xfId="1" builtinId="5"/>
    <cellStyle name="Porcentagem 2" xfId="3" xr:uid="{00000000-0005-0000-0000-000003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P1546"/>
  <sheetViews>
    <sheetView tabSelected="1" zoomScale="85" zoomScaleNormal="85" workbookViewId="0">
      <selection activeCell="F316" sqref="F316:F317"/>
    </sheetView>
  </sheetViews>
  <sheetFormatPr defaultColWidth="12.5703125" defaultRowHeight="15.75" customHeight="1" x14ac:dyDescent="0.25"/>
  <cols>
    <col min="1" max="1" width="19.7109375" style="144" customWidth="1"/>
    <col min="2" max="2" width="20.42578125" style="142" customWidth="1"/>
    <col min="3" max="3" width="15" style="130" customWidth="1"/>
    <col min="4" max="4" width="44.140625" style="119" customWidth="1"/>
    <col min="5" max="5" width="97.28515625" style="123" customWidth="1"/>
    <col min="6" max="6" width="66.42578125" style="123" customWidth="1"/>
    <col min="7" max="7" width="10.42578125" style="38" customWidth="1"/>
    <col min="8" max="8" width="15.85546875" style="123" customWidth="1"/>
    <col min="9" max="9" width="9.42578125" style="124" customWidth="1"/>
    <col min="10" max="10" width="182.42578125" style="123" customWidth="1"/>
    <col min="11" max="11" width="18.140625" style="123" customWidth="1"/>
    <col min="12" max="12" width="18.85546875" style="144" customWidth="1"/>
    <col min="14" max="14" width="24.5703125" style="144" customWidth="1"/>
  </cols>
  <sheetData>
    <row r="1" spans="1:14" ht="15" customHeight="1" x14ac:dyDescent="0.25">
      <c r="A1" s="104" t="s">
        <v>0</v>
      </c>
      <c r="B1" s="104" t="s">
        <v>1</v>
      </c>
      <c r="C1" s="105" t="s">
        <v>2</v>
      </c>
      <c r="D1" s="106" t="s">
        <v>3</v>
      </c>
      <c r="E1" s="106" t="s">
        <v>4</v>
      </c>
      <c r="F1" s="106" t="s">
        <v>5</v>
      </c>
      <c r="G1" s="107" t="s">
        <v>6</v>
      </c>
      <c r="H1" s="108" t="s">
        <v>7</v>
      </c>
      <c r="I1" s="106" t="s">
        <v>8</v>
      </c>
      <c r="J1" s="109" t="s">
        <v>9</v>
      </c>
      <c r="K1" s="106" t="s">
        <v>10</v>
      </c>
      <c r="L1" s="104" t="s">
        <v>11</v>
      </c>
      <c r="M1" s="105" t="s">
        <v>12</v>
      </c>
      <c r="N1" s="113" t="s">
        <v>13</v>
      </c>
    </row>
    <row r="2" spans="1:14" ht="15" customHeight="1" x14ac:dyDescent="0.25">
      <c r="A2" t="s">
        <v>14</v>
      </c>
      <c r="B2" s="63" t="s">
        <v>15</v>
      </c>
      <c r="C2" s="117" t="s">
        <v>16</v>
      </c>
      <c r="D2" s="131" t="s">
        <v>17</v>
      </c>
      <c r="E2" s="135" t="str">
        <f t="shared" ref="E2:E65" si="0">TRIM(CONCATENATE(D2, " ", C2, " ", F2, " ", IF(G2&gt;0, G2 &amp; "x" &amp; H2, H2), " ", I2))</f>
        <v>Hidrante Desodorante Corporal Tododia Algodão 400ml Frasco</v>
      </c>
      <c r="F2" s="120" t="s">
        <v>18</v>
      </c>
      <c r="G2" s="130"/>
      <c r="H2" s="120" t="s">
        <v>19</v>
      </c>
      <c r="I2" s="125" t="s">
        <v>20</v>
      </c>
      <c r="J2" s="131" t="s">
        <v>21</v>
      </c>
      <c r="K2" s="158">
        <v>64</v>
      </c>
      <c r="L2" s="158">
        <v>75.900000000000006</v>
      </c>
      <c r="M2" s="114">
        <f>SUMIF(Movimento!B:B, A2, Movimento!F:F)</f>
        <v>4</v>
      </c>
      <c r="N2" t="str">
        <f>IF(M2=0,"Falta Pedir!",IF(M2&lt;=3,"Baixo Estoque","Em Estoque"))</f>
        <v>Em Estoque</v>
      </c>
    </row>
    <row r="3" spans="1:14" ht="15" customHeight="1" x14ac:dyDescent="0.25">
      <c r="B3" s="63" t="s">
        <v>15</v>
      </c>
      <c r="C3" s="117" t="s">
        <v>16</v>
      </c>
      <c r="D3" s="131" t="s">
        <v>17</v>
      </c>
      <c r="E3" s="135" t="str">
        <f t="shared" si="0"/>
        <v>Hidrante Desodorante Corporal Tododia Ameixa e Flor de Baunilha 400ml Frasco</v>
      </c>
      <c r="F3" s="120" t="s">
        <v>22</v>
      </c>
      <c r="G3" s="130"/>
      <c r="H3" s="120" t="s">
        <v>19</v>
      </c>
      <c r="I3" s="125" t="s">
        <v>20</v>
      </c>
      <c r="J3" s="118" t="s">
        <v>23</v>
      </c>
      <c r="K3" s="158"/>
      <c r="L3" s="158">
        <v>75.900000000000006</v>
      </c>
      <c r="M3" s="114">
        <f>SUMIF(Movimento!B:B, A3, Movimento!F:F)</f>
        <v>0</v>
      </c>
      <c r="N3" t="str">
        <f>IF(M3=0,"Falta Pedir!",IF(M3&lt;=3,"Baixo Estoque","Em Estoque"))</f>
        <v>Falta Pedir!</v>
      </c>
    </row>
    <row r="4" spans="1:14" ht="15" customHeight="1" x14ac:dyDescent="0.25">
      <c r="B4" s="63" t="s">
        <v>15</v>
      </c>
      <c r="C4" s="117" t="s">
        <v>16</v>
      </c>
      <c r="D4" s="131" t="s">
        <v>17</v>
      </c>
      <c r="E4" s="135" t="str">
        <f t="shared" si="0"/>
        <v>Hidrante Desodorante Corporal Tododia Acerola e Hibisco 400ml Frasco</v>
      </c>
      <c r="F4" s="120" t="s">
        <v>24</v>
      </c>
      <c r="G4" s="130"/>
      <c r="H4" s="120" t="s">
        <v>19</v>
      </c>
      <c r="I4" s="125" t="s">
        <v>20</v>
      </c>
      <c r="J4" s="118" t="s">
        <v>25</v>
      </c>
      <c r="K4" s="158"/>
      <c r="L4" s="158">
        <v>75.900000000000006</v>
      </c>
    </row>
    <row r="5" spans="1:14" ht="15" customHeight="1" x14ac:dyDescent="0.25">
      <c r="B5" s="63" t="s">
        <v>15</v>
      </c>
      <c r="C5" s="117" t="s">
        <v>16</v>
      </c>
      <c r="D5" s="131" t="s">
        <v>17</v>
      </c>
      <c r="E5" s="135" t="str">
        <f t="shared" si="0"/>
        <v>Hidrante Desodorante Corporal Tododia Amora Vermelha e Jabuticaba 400ml Frasco</v>
      </c>
      <c r="F5" s="120" t="s">
        <v>26</v>
      </c>
      <c r="G5" s="130"/>
      <c r="H5" s="120" t="s">
        <v>19</v>
      </c>
      <c r="I5" s="125" t="s">
        <v>20</v>
      </c>
      <c r="J5" s="131" t="s">
        <v>21</v>
      </c>
      <c r="K5" s="158"/>
      <c r="L5" s="158">
        <v>75.900000000000006</v>
      </c>
    </row>
    <row r="6" spans="1:14" ht="15" customHeight="1" x14ac:dyDescent="0.25">
      <c r="B6" s="63" t="s">
        <v>15</v>
      </c>
      <c r="C6" s="117" t="s">
        <v>16</v>
      </c>
      <c r="D6" s="131" t="s">
        <v>17</v>
      </c>
      <c r="E6" s="135" t="str">
        <f t="shared" si="0"/>
        <v>Hidrante Desodorante Corporal Tododia Capim Limão e Hortelã 400ml Frasco</v>
      </c>
      <c r="F6" s="120" t="s">
        <v>27</v>
      </c>
      <c r="G6" s="130"/>
      <c r="H6" s="120" t="s">
        <v>19</v>
      </c>
      <c r="I6" s="125" t="s">
        <v>20</v>
      </c>
      <c r="J6" s="131" t="s">
        <v>21</v>
      </c>
      <c r="K6" s="158"/>
      <c r="L6" s="158">
        <v>75.900000000000006</v>
      </c>
    </row>
    <row r="7" spans="1:14" ht="15" customHeight="1" x14ac:dyDescent="0.25">
      <c r="B7" s="63" t="s">
        <v>15</v>
      </c>
      <c r="C7" s="117" t="s">
        <v>16</v>
      </c>
      <c r="D7" s="131" t="s">
        <v>17</v>
      </c>
      <c r="E7" s="135" t="str">
        <f t="shared" si="0"/>
        <v>Hidrante Desodorante Corporal Tododia Cereja Negra e Praliné 400ml Frasco</v>
      </c>
      <c r="F7" s="120" t="s">
        <v>28</v>
      </c>
      <c r="G7" s="130"/>
      <c r="H7" s="120" t="s">
        <v>19</v>
      </c>
      <c r="I7" s="125" t="s">
        <v>20</v>
      </c>
      <c r="J7" s="131" t="s">
        <v>21</v>
      </c>
      <c r="K7" s="158"/>
      <c r="L7" s="158">
        <v>75.900000000000006</v>
      </c>
    </row>
    <row r="8" spans="1:14" ht="15" customHeight="1" x14ac:dyDescent="0.25">
      <c r="B8" s="63" t="s">
        <v>15</v>
      </c>
      <c r="C8" s="117" t="s">
        <v>16</v>
      </c>
      <c r="D8" s="131" t="s">
        <v>17</v>
      </c>
      <c r="E8" s="135" t="str">
        <f t="shared" si="0"/>
        <v>Hidrante Desodorante Corporal Tododia Cereja e Avela 400ml Frasco</v>
      </c>
      <c r="F8" s="120" t="s">
        <v>29</v>
      </c>
      <c r="G8" s="130"/>
      <c r="H8" s="120" t="s">
        <v>19</v>
      </c>
      <c r="I8" s="125" t="s">
        <v>20</v>
      </c>
      <c r="J8" s="131" t="s">
        <v>21</v>
      </c>
      <c r="K8" s="158"/>
      <c r="L8" s="158">
        <v>75.900000000000006</v>
      </c>
    </row>
    <row r="9" spans="1:14" ht="15" customHeight="1" x14ac:dyDescent="0.25">
      <c r="B9" s="63" t="s">
        <v>15</v>
      </c>
      <c r="C9" s="117" t="s">
        <v>16</v>
      </c>
      <c r="D9" s="131" t="s">
        <v>17</v>
      </c>
      <c r="E9" s="135" t="str">
        <f t="shared" si="0"/>
        <v>Hidrante Desodorante Corporal Tododia Cereja e Avela 400ml Frasco</v>
      </c>
      <c r="F9" s="120" t="s">
        <v>29</v>
      </c>
      <c r="G9" s="130"/>
      <c r="H9" s="120" t="s">
        <v>19</v>
      </c>
      <c r="I9" s="125" t="s">
        <v>20</v>
      </c>
      <c r="J9" s="118" t="s">
        <v>30</v>
      </c>
      <c r="K9" s="158"/>
      <c r="L9" s="158">
        <v>75.900000000000006</v>
      </c>
    </row>
    <row r="10" spans="1:14" ht="15" customHeight="1" x14ac:dyDescent="0.25">
      <c r="B10" s="63" t="s">
        <v>15</v>
      </c>
      <c r="C10" s="117" t="s">
        <v>16</v>
      </c>
      <c r="D10" s="131" t="s">
        <v>17</v>
      </c>
      <c r="E10" s="135" t="str">
        <f t="shared" si="0"/>
        <v>Hidrante Desodorante Corporal Tododia Todanoite 200ml Frasco</v>
      </c>
      <c r="F10" s="120" t="s">
        <v>31</v>
      </c>
      <c r="G10" s="130"/>
      <c r="H10" s="120" t="s">
        <v>32</v>
      </c>
      <c r="I10" s="125" t="s">
        <v>33</v>
      </c>
      <c r="J10" s="118" t="s">
        <v>34</v>
      </c>
      <c r="K10" s="158"/>
      <c r="L10" s="158">
        <v>87.9</v>
      </c>
    </row>
    <row r="11" spans="1:14" ht="15" customHeight="1" x14ac:dyDescent="0.25">
      <c r="B11" s="63" t="s">
        <v>15</v>
      </c>
      <c r="C11" s="117" t="s">
        <v>16</v>
      </c>
      <c r="D11" s="131" t="s">
        <v>17</v>
      </c>
      <c r="E11" s="135" t="str">
        <f t="shared" si="0"/>
        <v>Hidrante Desodorante Corporal Tododia Flor de Gengibre e Tangerina 400 ml Frasco</v>
      </c>
      <c r="F11" s="120" t="s">
        <v>35</v>
      </c>
      <c r="G11" s="130"/>
      <c r="H11" s="120" t="s">
        <v>36</v>
      </c>
      <c r="I11" s="125" t="s">
        <v>20</v>
      </c>
      <c r="J11" s="118" t="s">
        <v>37</v>
      </c>
      <c r="K11" s="158"/>
      <c r="L11" s="158">
        <v>75.900000000000006</v>
      </c>
    </row>
    <row r="12" spans="1:14" ht="15" customHeight="1" x14ac:dyDescent="0.25">
      <c r="B12" s="63" t="s">
        <v>15</v>
      </c>
      <c r="C12" s="117" t="s">
        <v>16</v>
      </c>
      <c r="D12" s="131" t="s">
        <v>17</v>
      </c>
      <c r="E12" s="135" t="str">
        <f t="shared" si="0"/>
        <v>Hidrante Desodorante Corporal Tododia Flor de Pera e Melissa 400ml Frasco</v>
      </c>
      <c r="F12" s="92" t="s">
        <v>38</v>
      </c>
      <c r="G12" s="130"/>
      <c r="H12" s="120" t="s">
        <v>19</v>
      </c>
      <c r="I12" s="125" t="s">
        <v>20</v>
      </c>
      <c r="J12" s="131" t="s">
        <v>21</v>
      </c>
      <c r="K12" s="158"/>
      <c r="L12" s="158">
        <v>75.900000000000006</v>
      </c>
    </row>
    <row r="13" spans="1:14" ht="15" customHeight="1" x14ac:dyDescent="0.25">
      <c r="B13" s="63" t="s">
        <v>15</v>
      </c>
      <c r="C13" s="117" t="s">
        <v>16</v>
      </c>
      <c r="D13" s="131" t="s">
        <v>17</v>
      </c>
      <c r="E13" s="135" t="str">
        <f t="shared" si="0"/>
        <v>Hidrante Desodorante Corporal Tododia Framboesa e PImenta Vermelha 400ml Frasco</v>
      </c>
      <c r="F13" s="120" t="s">
        <v>39</v>
      </c>
      <c r="G13" s="130"/>
      <c r="H13" s="120" t="s">
        <v>19</v>
      </c>
      <c r="I13" s="125" t="s">
        <v>20</v>
      </c>
      <c r="J13" s="131" t="s">
        <v>21</v>
      </c>
      <c r="K13" s="158"/>
      <c r="L13" s="158">
        <v>75.900000000000006</v>
      </c>
    </row>
    <row r="14" spans="1:14" ht="15" customHeight="1" x14ac:dyDescent="0.25">
      <c r="B14" s="63" t="s">
        <v>15</v>
      </c>
      <c r="C14" s="117" t="s">
        <v>16</v>
      </c>
      <c r="D14" s="131" t="s">
        <v>17</v>
      </c>
      <c r="E14" s="135" t="str">
        <f t="shared" si="0"/>
        <v>Hidrante Desodorante Corporal Tododia Jambo Rosa e Flor De Caju 400ml Frasco</v>
      </c>
      <c r="F14" s="120" t="s">
        <v>40</v>
      </c>
      <c r="G14" s="130"/>
      <c r="H14" s="120" t="s">
        <v>19</v>
      </c>
      <c r="I14" s="125" t="s">
        <v>20</v>
      </c>
      <c r="J14" s="131" t="s">
        <v>21</v>
      </c>
      <c r="K14" s="158"/>
      <c r="L14" s="158">
        <v>75.900000000000006</v>
      </c>
    </row>
    <row r="15" spans="1:14" ht="15" customHeight="1" x14ac:dyDescent="0.25">
      <c r="B15" s="63" t="s">
        <v>15</v>
      </c>
      <c r="C15" s="117" t="s">
        <v>16</v>
      </c>
      <c r="D15" s="131" t="s">
        <v>17</v>
      </c>
      <c r="E15" s="135" t="str">
        <f t="shared" si="0"/>
        <v>Hidrante Desodorante Corporal Tododia Limão Siciliano e Flor de Gardênia 400ml Frasco</v>
      </c>
      <c r="F15" s="120" t="s">
        <v>41</v>
      </c>
      <c r="G15" s="130"/>
      <c r="H15" s="120" t="s">
        <v>19</v>
      </c>
      <c r="I15" s="125" t="s">
        <v>20</v>
      </c>
      <c r="J15" s="131" t="s">
        <v>21</v>
      </c>
      <c r="K15" s="158"/>
      <c r="L15" s="158">
        <v>75.900000000000006</v>
      </c>
    </row>
    <row r="16" spans="1:14" ht="15" customHeight="1" x14ac:dyDescent="0.25">
      <c r="B16" s="63" t="s">
        <v>15</v>
      </c>
      <c r="C16" s="117" t="s">
        <v>16</v>
      </c>
      <c r="D16" s="131" t="s">
        <v>17</v>
      </c>
      <c r="E16" s="135" t="str">
        <f t="shared" si="0"/>
        <v>Hidrante Desodorante Corporal Tododia Macadâmia 400ml Frasco</v>
      </c>
      <c r="F16" s="120" t="s">
        <v>42</v>
      </c>
      <c r="G16" s="130"/>
      <c r="H16" s="120" t="s">
        <v>19</v>
      </c>
      <c r="I16" s="125" t="s">
        <v>20</v>
      </c>
      <c r="J16" s="131" t="s">
        <v>21</v>
      </c>
      <c r="K16" s="158"/>
      <c r="L16" s="158">
        <v>75.900000000000006</v>
      </c>
    </row>
    <row r="17" spans="1:224" ht="15" customHeight="1" x14ac:dyDescent="0.25">
      <c r="B17" s="63" t="s">
        <v>15</v>
      </c>
      <c r="C17" s="117" t="s">
        <v>16</v>
      </c>
      <c r="D17" s="131" t="s">
        <v>17</v>
      </c>
      <c r="E17" s="135" t="str">
        <f t="shared" si="0"/>
        <v>Hidrante Desodorante Corporal Tododia Maça Caramelada e Baunilha 400ml Frasco</v>
      </c>
      <c r="F17" s="120" t="s">
        <v>43</v>
      </c>
      <c r="G17" s="130"/>
      <c r="H17" s="120" t="s">
        <v>19</v>
      </c>
      <c r="I17" s="125" t="s">
        <v>20</v>
      </c>
      <c r="J17" s="118" t="s">
        <v>44</v>
      </c>
      <c r="K17" s="158"/>
      <c r="L17" s="158">
        <v>75.900000000000006</v>
      </c>
    </row>
    <row r="18" spans="1:224" ht="15" customHeight="1" x14ac:dyDescent="0.25">
      <c r="B18" s="63" t="s">
        <v>15</v>
      </c>
      <c r="C18" s="117" t="s">
        <v>16</v>
      </c>
      <c r="D18" s="131" t="s">
        <v>17</v>
      </c>
      <c r="E18" s="135" t="str">
        <f t="shared" si="0"/>
        <v>Hidrante Desodorante Corporal Tododia Manga Rosa e Àgua de Coco 400ml Frasco</v>
      </c>
      <c r="F18" s="120" t="s">
        <v>45</v>
      </c>
      <c r="G18" s="130"/>
      <c r="H18" s="120" t="s">
        <v>19</v>
      </c>
      <c r="I18" s="125" t="s">
        <v>20</v>
      </c>
      <c r="J18" s="118" t="s">
        <v>25</v>
      </c>
      <c r="K18" s="158"/>
      <c r="L18" s="158">
        <v>75.900000000000006</v>
      </c>
    </row>
    <row r="19" spans="1:224" ht="15" customHeight="1" x14ac:dyDescent="0.25">
      <c r="B19" s="63" t="s">
        <v>15</v>
      </c>
      <c r="C19" s="117" t="s">
        <v>16</v>
      </c>
      <c r="D19" s="131" t="s">
        <v>17</v>
      </c>
      <c r="E19" s="135" t="str">
        <f t="shared" si="0"/>
        <v>Hidrante Desodorante Corporal Tododia Nóz Pecão e Cacau 400ml Frasco</v>
      </c>
      <c r="F19" s="120" t="s">
        <v>46</v>
      </c>
      <c r="G19" s="130"/>
      <c r="H19" s="120" t="s">
        <v>19</v>
      </c>
      <c r="I19" s="125" t="s">
        <v>20</v>
      </c>
      <c r="J19" s="131" t="s">
        <v>21</v>
      </c>
      <c r="K19" s="158"/>
      <c r="L19" s="158">
        <v>75.900000000000006</v>
      </c>
    </row>
    <row r="20" spans="1:224" ht="15" customHeight="1" x14ac:dyDescent="0.25">
      <c r="B20" s="63" t="s">
        <v>15</v>
      </c>
      <c r="C20" s="117" t="s">
        <v>16</v>
      </c>
      <c r="D20" s="131" t="s">
        <v>17</v>
      </c>
      <c r="E20" s="135" t="str">
        <f t="shared" si="0"/>
        <v>Hidrante Desodorante Corporal Tododia Roma e Salvia 400ml Frasco</v>
      </c>
      <c r="F20" s="2" t="s">
        <v>47</v>
      </c>
      <c r="G20" s="130"/>
      <c r="H20" s="120" t="s">
        <v>19</v>
      </c>
      <c r="I20" s="125" t="s">
        <v>20</v>
      </c>
      <c r="J20" s="131" t="s">
        <v>21</v>
      </c>
      <c r="K20" s="158"/>
      <c r="L20" s="158">
        <v>75.900000000000006</v>
      </c>
    </row>
    <row r="21" spans="1:224" ht="15" customHeight="1" x14ac:dyDescent="0.25">
      <c r="B21" s="63" t="s">
        <v>15</v>
      </c>
      <c r="C21" s="117" t="s">
        <v>16</v>
      </c>
      <c r="D21" s="131" t="s">
        <v>17</v>
      </c>
      <c r="E21" s="135" t="str">
        <f t="shared" si="0"/>
        <v>Hidrante Desodorante Corporal Tododia Romã e Flor de Amora 400ml Frasco</v>
      </c>
      <c r="F21" s="120" t="s">
        <v>48</v>
      </c>
      <c r="G21" s="130"/>
      <c r="H21" s="120" t="s">
        <v>19</v>
      </c>
      <c r="I21" s="125" t="s">
        <v>20</v>
      </c>
      <c r="J21" s="131" t="s">
        <v>21</v>
      </c>
      <c r="K21" s="158"/>
      <c r="L21" s="158">
        <v>75.900000000000006</v>
      </c>
    </row>
    <row r="22" spans="1:224" ht="15" customHeight="1" x14ac:dyDescent="0.25">
      <c r="B22" s="63" t="s">
        <v>15</v>
      </c>
      <c r="C22" s="117" t="s">
        <v>16</v>
      </c>
      <c r="D22" s="131" t="s">
        <v>17</v>
      </c>
      <c r="E22" s="135" t="str">
        <f t="shared" si="0"/>
        <v>Hidrante Desodorante Corporal Tododia Tâmara e Canela 400ml Frasco</v>
      </c>
      <c r="F22" s="120" t="s">
        <v>49</v>
      </c>
      <c r="G22" s="130"/>
      <c r="H22" s="120" t="s">
        <v>19</v>
      </c>
      <c r="I22" s="125" t="s">
        <v>20</v>
      </c>
      <c r="J22" s="131" t="s">
        <v>21</v>
      </c>
      <c r="K22" s="158"/>
      <c r="L22" s="158">
        <v>75.900000000000006</v>
      </c>
      <c r="N22"/>
    </row>
    <row r="23" spans="1:224" s="10" customFormat="1" ht="15" customHeight="1" x14ac:dyDescent="0.25">
      <c r="B23" s="63" t="s">
        <v>15</v>
      </c>
      <c r="C23" s="117" t="s">
        <v>16</v>
      </c>
      <c r="D23" s="131" t="s">
        <v>17</v>
      </c>
      <c r="E23" s="135" t="str">
        <f t="shared" si="0"/>
        <v>Hidrante Desodorante Corporal Tododia Algodao 400ml Refil</v>
      </c>
      <c r="F23" s="120" t="s">
        <v>50</v>
      </c>
      <c r="G23" s="130"/>
      <c r="H23" s="120" t="s">
        <v>19</v>
      </c>
      <c r="I23" s="125" t="s">
        <v>51</v>
      </c>
      <c r="J23" s="131" t="s">
        <v>21</v>
      </c>
      <c r="K23" s="158"/>
      <c r="L23" s="158">
        <v>56.4</v>
      </c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</row>
    <row r="24" spans="1:224" s="10" customFormat="1" ht="15" customHeight="1" x14ac:dyDescent="0.25">
      <c r="A24" t="s">
        <v>52</v>
      </c>
      <c r="B24" s="63" t="s">
        <v>15</v>
      </c>
      <c r="C24" s="117" t="s">
        <v>16</v>
      </c>
      <c r="D24" s="131" t="s">
        <v>17</v>
      </c>
      <c r="E24" s="135" t="str">
        <f t="shared" si="0"/>
        <v>Hidrante Desodorante Corporal Tododia Ameixa e Flor de Baunilha 400ml Refil</v>
      </c>
      <c r="F24" s="120" t="s">
        <v>22</v>
      </c>
      <c r="G24" s="130"/>
      <c r="H24" s="120" t="s">
        <v>19</v>
      </c>
      <c r="I24" s="125" t="s">
        <v>51</v>
      </c>
      <c r="J24" s="118" t="s">
        <v>23</v>
      </c>
      <c r="K24" s="158"/>
      <c r="L24" s="158">
        <v>56.4</v>
      </c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</row>
    <row r="25" spans="1:224" s="10" customFormat="1" ht="15" customHeight="1" x14ac:dyDescent="0.25">
      <c r="B25" s="63" t="s">
        <v>15</v>
      </c>
      <c r="C25" s="117" t="s">
        <v>16</v>
      </c>
      <c r="D25" s="131" t="s">
        <v>17</v>
      </c>
      <c r="E25" s="135" t="str">
        <f t="shared" si="0"/>
        <v>Hidrante Desodorante Corporal Tododia Acerola e Hibisco 400ml Refil</v>
      </c>
      <c r="F25" s="120" t="s">
        <v>24</v>
      </c>
      <c r="G25" s="130"/>
      <c r="H25" s="120" t="s">
        <v>19</v>
      </c>
      <c r="I25" s="125" t="s">
        <v>51</v>
      </c>
      <c r="J25" s="118" t="s">
        <v>25</v>
      </c>
      <c r="K25" s="158"/>
      <c r="L25" s="158">
        <v>56.4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</row>
    <row r="26" spans="1:224" s="10" customFormat="1" ht="15" customHeight="1" x14ac:dyDescent="0.25">
      <c r="B26" s="63" t="s">
        <v>15</v>
      </c>
      <c r="C26" s="117" t="s">
        <v>16</v>
      </c>
      <c r="D26" s="131" t="s">
        <v>17</v>
      </c>
      <c r="E26" s="135" t="str">
        <f t="shared" si="0"/>
        <v>Hidrante Desodorante Corporal Tododia Amora Vermelha e Jabuticaba 400ml Refil</v>
      </c>
      <c r="F26" s="120" t="s">
        <v>26</v>
      </c>
      <c r="G26" s="130"/>
      <c r="H26" s="120" t="s">
        <v>19</v>
      </c>
      <c r="I26" s="125" t="s">
        <v>51</v>
      </c>
      <c r="J26" s="131" t="s">
        <v>21</v>
      </c>
      <c r="K26" s="158"/>
      <c r="L26" s="158">
        <v>56.4</v>
      </c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</row>
    <row r="27" spans="1:224" s="10" customFormat="1" ht="15" customHeight="1" x14ac:dyDescent="0.25">
      <c r="A27" t="s">
        <v>53</v>
      </c>
      <c r="B27" s="63" t="s">
        <v>15</v>
      </c>
      <c r="C27" s="117" t="s">
        <v>16</v>
      </c>
      <c r="D27" s="131" t="s">
        <v>17</v>
      </c>
      <c r="E27" s="135" t="str">
        <f t="shared" si="0"/>
        <v>Hidrante Desodorante Corporal Tododia Capim Limão e Hortelã 400ml Refil</v>
      </c>
      <c r="F27" s="120" t="s">
        <v>27</v>
      </c>
      <c r="G27" s="130"/>
      <c r="H27" s="120" t="s">
        <v>19</v>
      </c>
      <c r="I27" s="125" t="s">
        <v>51</v>
      </c>
      <c r="J27" s="131" t="s">
        <v>21</v>
      </c>
      <c r="K27" s="158"/>
      <c r="L27" s="158">
        <v>56.4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</row>
    <row r="28" spans="1:224" s="10" customFormat="1" ht="15" customHeight="1" x14ac:dyDescent="0.25">
      <c r="B28" s="63" t="s">
        <v>15</v>
      </c>
      <c r="C28" s="117" t="s">
        <v>16</v>
      </c>
      <c r="D28" s="131" t="s">
        <v>17</v>
      </c>
      <c r="E28" s="135" t="str">
        <f t="shared" si="0"/>
        <v>Hidrante Desodorante Corporal Tododia Cereja Negra e Praliné 400ml Refil</v>
      </c>
      <c r="F28" s="120" t="s">
        <v>28</v>
      </c>
      <c r="G28" s="130"/>
      <c r="H28" s="120" t="s">
        <v>19</v>
      </c>
      <c r="I28" s="125" t="s">
        <v>51</v>
      </c>
      <c r="J28" s="131" t="s">
        <v>21</v>
      </c>
      <c r="K28" s="158"/>
      <c r="L28" s="158">
        <v>56.4</v>
      </c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</row>
    <row r="29" spans="1:224" s="10" customFormat="1" ht="15" customHeight="1" x14ac:dyDescent="0.25">
      <c r="A29" t="s">
        <v>54</v>
      </c>
      <c r="B29" s="63" t="s">
        <v>15</v>
      </c>
      <c r="C29" s="117" t="s">
        <v>16</v>
      </c>
      <c r="D29" s="131" t="s">
        <v>17</v>
      </c>
      <c r="E29" s="135" t="str">
        <f t="shared" si="0"/>
        <v>Hidrante Desodorante Corporal Tododia Cereja e Avela 400ml Refil</v>
      </c>
      <c r="F29" s="120" t="s">
        <v>29</v>
      </c>
      <c r="G29" s="130"/>
      <c r="H29" s="120" t="s">
        <v>19</v>
      </c>
      <c r="I29" s="125" t="s">
        <v>51</v>
      </c>
      <c r="J29" s="131" t="s">
        <v>21</v>
      </c>
      <c r="K29" s="158"/>
      <c r="L29" s="158">
        <v>56.4</v>
      </c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</row>
    <row r="30" spans="1:224" s="18" customFormat="1" ht="15" customHeight="1" x14ac:dyDescent="0.25">
      <c r="B30" s="63" t="s">
        <v>15</v>
      </c>
      <c r="C30" s="117" t="s">
        <v>16</v>
      </c>
      <c r="D30" s="131" t="s">
        <v>17</v>
      </c>
      <c r="E30" s="135" t="str">
        <f t="shared" si="0"/>
        <v>Hidrante Desodorante Corporal Tododia Todonoite 400ml Refil</v>
      </c>
      <c r="F30" s="122" t="s">
        <v>55</v>
      </c>
      <c r="G30" s="130"/>
      <c r="H30" s="122" t="s">
        <v>19</v>
      </c>
      <c r="I30" s="122" t="s">
        <v>51</v>
      </c>
      <c r="J30" s="134" t="s">
        <v>56</v>
      </c>
      <c r="K30" s="158"/>
      <c r="L30" s="158">
        <v>56.4</v>
      </c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</row>
    <row r="31" spans="1:224" s="18" customFormat="1" ht="15" customHeight="1" x14ac:dyDescent="0.25">
      <c r="B31" s="63" t="s">
        <v>15</v>
      </c>
      <c r="C31" s="70" t="s">
        <v>16</v>
      </c>
      <c r="D31" s="131" t="s">
        <v>17</v>
      </c>
      <c r="E31" s="135" t="str">
        <f t="shared" si="0"/>
        <v>Hidrante Desodorante Corporal Tododia Todonoite 200ml Refil</v>
      </c>
      <c r="F31" s="122" t="s">
        <v>55</v>
      </c>
      <c r="G31" s="130"/>
      <c r="H31" s="122" t="s">
        <v>32</v>
      </c>
      <c r="I31" s="122" t="s">
        <v>51</v>
      </c>
      <c r="J31" s="134" t="s">
        <v>56</v>
      </c>
      <c r="K31" s="158"/>
      <c r="L31" s="158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</row>
    <row r="32" spans="1:224" s="10" customFormat="1" ht="15" customHeight="1" x14ac:dyDescent="0.25">
      <c r="A32" t="s">
        <v>57</v>
      </c>
      <c r="B32" s="63" t="s">
        <v>15</v>
      </c>
      <c r="C32" s="117" t="s">
        <v>16</v>
      </c>
      <c r="D32" s="131" t="s">
        <v>17</v>
      </c>
      <c r="E32" s="135" t="str">
        <f t="shared" si="0"/>
        <v>Hidrante Desodorante Corporal Tododia Flor de Gengibre e Tangerina 400ml Refil</v>
      </c>
      <c r="F32" s="120" t="s">
        <v>35</v>
      </c>
      <c r="G32" s="130"/>
      <c r="H32" s="120" t="s">
        <v>19</v>
      </c>
      <c r="I32" s="125" t="s">
        <v>51</v>
      </c>
      <c r="J32" s="131" t="s">
        <v>56</v>
      </c>
      <c r="K32" s="158"/>
      <c r="L32" s="158">
        <v>56.4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</row>
    <row r="33" spans="2:224" s="10" customFormat="1" ht="15" customHeight="1" x14ac:dyDescent="0.25">
      <c r="B33" s="63" t="s">
        <v>15</v>
      </c>
      <c r="C33" s="117" t="s">
        <v>16</v>
      </c>
      <c r="D33" s="131" t="s">
        <v>17</v>
      </c>
      <c r="E33" s="135" t="str">
        <f t="shared" si="0"/>
        <v>Hidrante Desodorante Corporal Tododia Flor de Pera e Melissa 400ml Refil</v>
      </c>
      <c r="F33" s="120" t="s">
        <v>38</v>
      </c>
      <c r="G33" s="130"/>
      <c r="H33" s="120" t="s">
        <v>19</v>
      </c>
      <c r="I33" s="125" t="s">
        <v>51</v>
      </c>
      <c r="J33" s="131" t="s">
        <v>21</v>
      </c>
      <c r="K33" s="158"/>
      <c r="L33" s="158">
        <v>56.4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</row>
    <row r="34" spans="2:224" s="10" customFormat="1" ht="15" customHeight="1" x14ac:dyDescent="0.25">
      <c r="B34" s="63" t="s">
        <v>15</v>
      </c>
      <c r="C34" s="117" t="s">
        <v>16</v>
      </c>
      <c r="D34" s="131" t="s">
        <v>17</v>
      </c>
      <c r="E34" s="135" t="str">
        <f t="shared" si="0"/>
        <v>Hidrante Desodorante Corporal Tododia Framboesa e PImenta Vermelha 400ml Refil</v>
      </c>
      <c r="F34" s="120" t="s">
        <v>39</v>
      </c>
      <c r="G34" s="130"/>
      <c r="H34" s="120" t="s">
        <v>19</v>
      </c>
      <c r="I34" s="125" t="s">
        <v>51</v>
      </c>
      <c r="J34" s="131" t="s">
        <v>21</v>
      </c>
      <c r="K34" s="158"/>
      <c r="L34" s="158">
        <v>56.4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</row>
    <row r="35" spans="2:224" s="10" customFormat="1" ht="15" customHeight="1" x14ac:dyDescent="0.25">
      <c r="B35" s="63" t="s">
        <v>15</v>
      </c>
      <c r="C35" s="117" t="s">
        <v>16</v>
      </c>
      <c r="D35" s="131" t="s">
        <v>17</v>
      </c>
      <c r="E35" s="135" t="str">
        <f t="shared" si="0"/>
        <v>Hidrante Desodorante Corporal Tododia Jambo Rosa e Flor De Caju 400ml Refil</v>
      </c>
      <c r="F35" s="120" t="s">
        <v>40</v>
      </c>
      <c r="G35" s="130"/>
      <c r="H35" s="120" t="s">
        <v>19</v>
      </c>
      <c r="I35" s="125" t="s">
        <v>51</v>
      </c>
      <c r="J35" s="131" t="s">
        <v>21</v>
      </c>
      <c r="K35" s="158"/>
      <c r="L35" s="158">
        <v>56.4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</row>
    <row r="36" spans="2:224" s="10" customFormat="1" ht="15" customHeight="1" x14ac:dyDescent="0.25">
      <c r="B36" s="63" t="s">
        <v>15</v>
      </c>
      <c r="C36" s="117" t="s">
        <v>16</v>
      </c>
      <c r="D36" s="131" t="s">
        <v>17</v>
      </c>
      <c r="E36" s="135" t="str">
        <f t="shared" si="0"/>
        <v>Hidrante Desodorante Corporal Tododia Limão Siciliano e Flor de Gardênia 400ml Refil</v>
      </c>
      <c r="F36" s="120" t="s">
        <v>41</v>
      </c>
      <c r="G36" s="130"/>
      <c r="H36" s="120" t="s">
        <v>19</v>
      </c>
      <c r="I36" s="125" t="s">
        <v>51</v>
      </c>
      <c r="J36" s="118" t="s">
        <v>37</v>
      </c>
      <c r="K36" s="158"/>
      <c r="L36" s="158">
        <v>56.4</v>
      </c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</row>
    <row r="37" spans="2:224" s="10" customFormat="1" ht="15" customHeight="1" x14ac:dyDescent="0.25">
      <c r="B37" s="63" t="s">
        <v>15</v>
      </c>
      <c r="C37" s="117" t="s">
        <v>16</v>
      </c>
      <c r="D37" s="131" t="s">
        <v>17</v>
      </c>
      <c r="E37" s="135" t="str">
        <f t="shared" si="0"/>
        <v>Hidrante Desodorante Corporal Tododia Macadâmia 400ml Refil</v>
      </c>
      <c r="F37" s="120" t="s">
        <v>42</v>
      </c>
      <c r="G37" s="130"/>
      <c r="H37" s="120" t="s">
        <v>19</v>
      </c>
      <c r="I37" s="125" t="s">
        <v>51</v>
      </c>
      <c r="J37" s="131" t="s">
        <v>21</v>
      </c>
      <c r="K37" s="158"/>
      <c r="L37" s="158">
        <v>56.4</v>
      </c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</row>
    <row r="38" spans="2:224" s="10" customFormat="1" ht="15" customHeight="1" x14ac:dyDescent="0.25">
      <c r="B38" s="63" t="s">
        <v>15</v>
      </c>
      <c r="C38" s="117" t="s">
        <v>16</v>
      </c>
      <c r="D38" s="131" t="s">
        <v>17</v>
      </c>
      <c r="E38" s="135" t="str">
        <f t="shared" si="0"/>
        <v>Hidrante Desodorante Corporal Tododia Maça Caramelada e Baunilha 400ml Refil</v>
      </c>
      <c r="F38" s="120" t="s">
        <v>43</v>
      </c>
      <c r="G38" s="130"/>
      <c r="H38" s="120" t="s">
        <v>19</v>
      </c>
      <c r="I38" s="125" t="s">
        <v>51</v>
      </c>
      <c r="J38" s="118" t="s">
        <v>44</v>
      </c>
      <c r="K38" s="158"/>
      <c r="L38" s="158">
        <v>56.4</v>
      </c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</row>
    <row r="39" spans="2:224" s="10" customFormat="1" ht="15" customHeight="1" x14ac:dyDescent="0.25">
      <c r="B39" s="63" t="s">
        <v>15</v>
      </c>
      <c r="C39" s="117" t="s">
        <v>16</v>
      </c>
      <c r="D39" s="131" t="s">
        <v>17</v>
      </c>
      <c r="E39" s="135" t="str">
        <f t="shared" si="0"/>
        <v>Hidrante Desodorante Corporal Tododia Manga Rosa e Àgua de Coco 400ml Refil</v>
      </c>
      <c r="F39" s="120" t="s">
        <v>45</v>
      </c>
      <c r="G39" s="130"/>
      <c r="H39" s="120" t="s">
        <v>19</v>
      </c>
      <c r="I39" s="125" t="s">
        <v>51</v>
      </c>
      <c r="J39" s="118" t="s">
        <v>25</v>
      </c>
      <c r="K39" s="158"/>
      <c r="L39" s="158">
        <v>56.4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</row>
    <row r="40" spans="2:224" s="10" customFormat="1" ht="15" customHeight="1" x14ac:dyDescent="0.25">
      <c r="B40" s="63" t="s">
        <v>15</v>
      </c>
      <c r="C40" s="117" t="s">
        <v>16</v>
      </c>
      <c r="D40" s="131" t="s">
        <v>17</v>
      </c>
      <c r="E40" s="135" t="str">
        <f t="shared" si="0"/>
        <v>Hidrante Desodorante Corporal Tododia Nóz Pecão e Cacau 400ml Refil</v>
      </c>
      <c r="F40" s="120" t="s">
        <v>46</v>
      </c>
      <c r="G40" s="130"/>
      <c r="H40" s="120" t="s">
        <v>19</v>
      </c>
      <c r="I40" s="125" t="s">
        <v>51</v>
      </c>
      <c r="J40" s="131" t="s">
        <v>21</v>
      </c>
      <c r="K40" s="158"/>
      <c r="L40" s="158">
        <v>56.4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</row>
    <row r="41" spans="2:224" s="10" customFormat="1" ht="15" customHeight="1" x14ac:dyDescent="0.25">
      <c r="B41" s="63" t="s">
        <v>15</v>
      </c>
      <c r="C41" s="117" t="s">
        <v>16</v>
      </c>
      <c r="D41" s="131" t="s">
        <v>17</v>
      </c>
      <c r="E41" s="135" t="str">
        <f t="shared" si="0"/>
        <v>Hidrante Desodorante Corporal Tododia Romã e Flor de Amora 400ml Refil</v>
      </c>
      <c r="F41" s="120" t="s">
        <v>48</v>
      </c>
      <c r="G41" s="130"/>
      <c r="H41" s="120" t="s">
        <v>19</v>
      </c>
      <c r="I41" s="125" t="s">
        <v>51</v>
      </c>
      <c r="J41" s="131" t="s">
        <v>21</v>
      </c>
      <c r="K41" s="158"/>
      <c r="L41" s="158">
        <v>56.4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</row>
    <row r="42" spans="2:224" s="10" customFormat="1" ht="15" customHeight="1" x14ac:dyDescent="0.25">
      <c r="B42" s="63" t="s">
        <v>15</v>
      </c>
      <c r="C42" s="117" t="s">
        <v>16</v>
      </c>
      <c r="D42" s="134" t="s">
        <v>17</v>
      </c>
      <c r="E42" s="135" t="str">
        <f t="shared" si="0"/>
        <v>Hidrante Desodorante Corporal Tododia Tâmara e Canela 400ml Refil</v>
      </c>
      <c r="F42" s="120" t="s">
        <v>49</v>
      </c>
      <c r="G42" s="130"/>
      <c r="H42" s="120" t="s">
        <v>19</v>
      </c>
      <c r="I42" s="125" t="s">
        <v>51</v>
      </c>
      <c r="J42" s="131" t="s">
        <v>21</v>
      </c>
      <c r="K42" s="158"/>
      <c r="L42" s="158">
        <v>56.4</v>
      </c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</row>
    <row r="43" spans="2:224" ht="15" customHeight="1" x14ac:dyDescent="0.25">
      <c r="B43" s="63" t="s">
        <v>15</v>
      </c>
      <c r="C43" s="117" t="s">
        <v>16</v>
      </c>
      <c r="D43" s="134" t="s">
        <v>58</v>
      </c>
      <c r="E43" s="135" t="str">
        <f t="shared" si="0"/>
        <v>Creme Hidratante Tododia Todonoite 200ml Pote</v>
      </c>
      <c r="F43" s="120" t="s">
        <v>55</v>
      </c>
      <c r="G43" s="130"/>
      <c r="H43" s="120" t="s">
        <v>32</v>
      </c>
      <c r="I43" s="125" t="s">
        <v>59</v>
      </c>
      <c r="J43" s="149" t="s">
        <v>60</v>
      </c>
      <c r="K43" s="158"/>
      <c r="L43" s="158">
        <v>81.900000000000006</v>
      </c>
      <c r="N43"/>
    </row>
    <row r="44" spans="2:224" ht="15" customHeight="1" x14ac:dyDescent="0.25">
      <c r="B44" s="63" t="s">
        <v>15</v>
      </c>
      <c r="C44" s="117" t="s">
        <v>16</v>
      </c>
      <c r="D44" s="134" t="s">
        <v>58</v>
      </c>
      <c r="E44" s="135" t="str">
        <f t="shared" si="0"/>
        <v>Creme Hidratante Tododia Cereja e Avelã 200ml Pote</v>
      </c>
      <c r="F44" s="120" t="s">
        <v>61</v>
      </c>
      <c r="G44" s="130"/>
      <c r="H44" s="120" t="s">
        <v>32</v>
      </c>
      <c r="I44" s="125" t="s">
        <v>62</v>
      </c>
      <c r="J44" s="149" t="s">
        <v>63</v>
      </c>
      <c r="K44" s="158"/>
      <c r="L44" s="158"/>
    </row>
    <row r="45" spans="2:224" ht="15" customHeight="1" x14ac:dyDescent="0.25">
      <c r="B45" s="63" t="s">
        <v>15</v>
      </c>
      <c r="C45" s="117" t="s">
        <v>16</v>
      </c>
      <c r="D45" s="134" t="s">
        <v>58</v>
      </c>
      <c r="E45" s="135" t="str">
        <f t="shared" si="0"/>
        <v>Creme Hidratante Tododia Cereja Negra e Praliné 250g Pote</v>
      </c>
      <c r="F45" s="120" t="s">
        <v>28</v>
      </c>
      <c r="G45" s="130"/>
      <c r="H45" s="120" t="s">
        <v>64</v>
      </c>
      <c r="I45" s="125" t="s">
        <v>59</v>
      </c>
      <c r="J45" s="149" t="s">
        <v>65</v>
      </c>
      <c r="K45" s="158"/>
      <c r="L45" s="158">
        <v>81.900000000000006</v>
      </c>
    </row>
    <row r="46" spans="2:224" s="10" customFormat="1" ht="15" customHeight="1" x14ac:dyDescent="0.25">
      <c r="B46" s="63" t="s">
        <v>15</v>
      </c>
      <c r="C46" s="117" t="s">
        <v>16</v>
      </c>
      <c r="D46" s="134" t="s">
        <v>66</v>
      </c>
      <c r="E46" s="135" t="str">
        <f t="shared" si="0"/>
        <v>Manteiga Creme Corporal Tododia Jambo Rosa e Flor De Caju 200g Pote</v>
      </c>
      <c r="F46" s="121" t="s">
        <v>40</v>
      </c>
      <c r="G46" s="130"/>
      <c r="H46" s="121" t="s">
        <v>67</v>
      </c>
      <c r="I46" s="32" t="s">
        <v>62</v>
      </c>
      <c r="J46" s="62" t="s">
        <v>68</v>
      </c>
      <c r="K46" s="159"/>
      <c r="L46" s="159">
        <v>81.900000000000006</v>
      </c>
    </row>
    <row r="47" spans="2:224" s="10" customFormat="1" ht="15" customHeight="1" x14ac:dyDescent="0.25">
      <c r="B47" s="63" t="s">
        <v>15</v>
      </c>
      <c r="C47" s="117" t="s">
        <v>16</v>
      </c>
      <c r="D47" s="134" t="s">
        <v>69</v>
      </c>
      <c r="E47" s="135" t="str">
        <f t="shared" si="0"/>
        <v>Oleo Creme Corporal Tododia Jambo Rosa e Flor De Caju 200ml Pote</v>
      </c>
      <c r="F47" s="121" t="s">
        <v>40</v>
      </c>
      <c r="G47" s="130"/>
      <c r="H47" s="121" t="s">
        <v>32</v>
      </c>
      <c r="I47" s="32" t="s">
        <v>62</v>
      </c>
      <c r="J47" s="19" t="s">
        <v>70</v>
      </c>
      <c r="K47" s="159"/>
      <c r="L47" s="159">
        <v>81.900000000000006</v>
      </c>
    </row>
    <row r="48" spans="2:224" ht="15" customHeight="1" x14ac:dyDescent="0.25">
      <c r="B48" s="63" t="s">
        <v>15</v>
      </c>
      <c r="C48" s="117" t="s">
        <v>16</v>
      </c>
      <c r="D48" s="134" t="s">
        <v>71</v>
      </c>
      <c r="E48" s="135" t="str">
        <f t="shared" si="0"/>
        <v>Oleo Corporal Tododia Cereja Negra e Praliné 120ml Frasco</v>
      </c>
      <c r="F48" s="120" t="s">
        <v>28</v>
      </c>
      <c r="G48" s="130"/>
      <c r="H48" s="120" t="s">
        <v>72</v>
      </c>
      <c r="I48" s="125" t="s">
        <v>20</v>
      </c>
      <c r="J48" s="149" t="s">
        <v>73</v>
      </c>
      <c r="K48" s="158"/>
      <c r="L48" s="158">
        <v>43.9</v>
      </c>
    </row>
    <row r="49" spans="1:12" ht="15" customHeight="1" x14ac:dyDescent="0.25">
      <c r="B49" s="63" t="s">
        <v>15</v>
      </c>
      <c r="C49" s="117" t="s">
        <v>16</v>
      </c>
      <c r="D49" s="134" t="s">
        <v>71</v>
      </c>
      <c r="E49" s="135" t="str">
        <f t="shared" si="0"/>
        <v>Oleo Corporal Tododia Cereja e Avelã 120ml Frasco</v>
      </c>
      <c r="F49" s="120" t="s">
        <v>61</v>
      </c>
      <c r="G49" s="130"/>
      <c r="H49" s="120" t="s">
        <v>72</v>
      </c>
      <c r="I49" s="125" t="s">
        <v>20</v>
      </c>
      <c r="J49" s="149" t="s">
        <v>73</v>
      </c>
      <c r="K49" s="158"/>
      <c r="L49" s="158">
        <v>43.9</v>
      </c>
    </row>
    <row r="50" spans="1:12" ht="15" customHeight="1" x14ac:dyDescent="0.25">
      <c r="B50" s="63" t="s">
        <v>15</v>
      </c>
      <c r="C50" s="117" t="s">
        <v>16</v>
      </c>
      <c r="D50" s="134" t="s">
        <v>71</v>
      </c>
      <c r="E50" s="135" t="str">
        <f t="shared" si="0"/>
        <v>Oleo Corporal Tododia Ameixa e Flor de Baunilha 120ml Frasco</v>
      </c>
      <c r="F50" s="120" t="s">
        <v>74</v>
      </c>
      <c r="G50" s="130"/>
      <c r="H50" s="120" t="s">
        <v>72</v>
      </c>
      <c r="I50" s="125" t="s">
        <v>20</v>
      </c>
      <c r="J50" s="149" t="s">
        <v>73</v>
      </c>
      <c r="K50" s="158"/>
      <c r="L50" s="158">
        <v>43.9</v>
      </c>
    </row>
    <row r="51" spans="1:12" ht="15" customHeight="1" x14ac:dyDescent="0.25">
      <c r="B51" s="63" t="s">
        <v>15</v>
      </c>
      <c r="C51" s="117" t="s">
        <v>16</v>
      </c>
      <c r="D51" s="134" t="s">
        <v>71</v>
      </c>
      <c r="E51" s="135" t="str">
        <f t="shared" si="0"/>
        <v>Oleo Corporal Tododia Tâmara e Canela 120ml Frasco</v>
      </c>
      <c r="F51" s="120" t="s">
        <v>49</v>
      </c>
      <c r="G51" s="130"/>
      <c r="H51" s="120" t="s">
        <v>72</v>
      </c>
      <c r="I51" s="125" t="s">
        <v>20</v>
      </c>
      <c r="J51" s="149" t="s">
        <v>73</v>
      </c>
      <c r="K51" s="158"/>
      <c r="L51" s="158">
        <v>43.9</v>
      </c>
    </row>
    <row r="52" spans="1:12" s="10" customFormat="1" ht="15" customHeight="1" x14ac:dyDescent="0.25">
      <c r="B52" s="63" t="s">
        <v>15</v>
      </c>
      <c r="C52" s="117" t="s">
        <v>16</v>
      </c>
      <c r="D52" s="134" t="s">
        <v>75</v>
      </c>
      <c r="E52" s="135" t="str">
        <f t="shared" si="0"/>
        <v>Concentrado Relaxante Tododia Todonoite 800g Tubo</v>
      </c>
      <c r="F52" s="120" t="s">
        <v>55</v>
      </c>
      <c r="G52" s="130"/>
      <c r="H52" s="120" t="s">
        <v>76</v>
      </c>
      <c r="I52" s="125" t="s">
        <v>77</v>
      </c>
      <c r="J52" s="118" t="s">
        <v>78</v>
      </c>
      <c r="K52" s="130"/>
      <c r="L52" s="130" t="s">
        <v>79</v>
      </c>
    </row>
    <row r="53" spans="1:12" ht="15" customHeight="1" x14ac:dyDescent="0.25">
      <c r="B53" s="63" t="s">
        <v>15</v>
      </c>
      <c r="C53" s="117" t="s">
        <v>16</v>
      </c>
      <c r="D53" s="134" t="s">
        <v>80</v>
      </c>
      <c r="E53" s="135" t="str">
        <f t="shared" si="0"/>
        <v>Sabonete em barra puro vegetal Tododia Acerola e Hibisco 5x90g Caixa</v>
      </c>
      <c r="F53" s="120" t="s">
        <v>24</v>
      </c>
      <c r="G53" s="130">
        <v>5</v>
      </c>
      <c r="H53" s="142" t="s">
        <v>81</v>
      </c>
      <c r="I53" s="143" t="s">
        <v>82</v>
      </c>
      <c r="J53" s="149" t="s">
        <v>83</v>
      </c>
      <c r="K53" s="158"/>
      <c r="L53" s="158">
        <v>33.9</v>
      </c>
    </row>
    <row r="54" spans="1:12" ht="15" customHeight="1" x14ac:dyDescent="0.25">
      <c r="B54" s="63" t="s">
        <v>15</v>
      </c>
      <c r="C54" s="117" t="s">
        <v>16</v>
      </c>
      <c r="D54" s="118" t="s">
        <v>80</v>
      </c>
      <c r="E54" s="135" t="str">
        <f t="shared" si="0"/>
        <v>Sabonete em barra puro vegetal Tododia Algodão 5x90g Caixa</v>
      </c>
      <c r="F54" s="120" t="s">
        <v>84</v>
      </c>
      <c r="G54" s="130">
        <v>5</v>
      </c>
      <c r="H54" s="142" t="s">
        <v>81</v>
      </c>
      <c r="I54" s="143" t="s">
        <v>82</v>
      </c>
      <c r="J54" s="149" t="s">
        <v>85</v>
      </c>
      <c r="K54" s="158"/>
      <c r="L54" s="158">
        <v>33.9</v>
      </c>
    </row>
    <row r="55" spans="1:12" ht="15" customHeight="1" x14ac:dyDescent="0.25">
      <c r="A55" t="s">
        <v>86</v>
      </c>
      <c r="B55" s="63" t="s">
        <v>15</v>
      </c>
      <c r="C55" s="117" t="s">
        <v>16</v>
      </c>
      <c r="D55" s="118" t="s">
        <v>80</v>
      </c>
      <c r="E55" s="135" t="str">
        <f t="shared" si="0"/>
        <v>Sabonete em barra puro vegetal Tododia Alecrim e Sálvia 5x90g Caixa</v>
      </c>
      <c r="F55" s="120" t="s">
        <v>87</v>
      </c>
      <c r="G55" s="130">
        <v>5</v>
      </c>
      <c r="H55" s="142" t="s">
        <v>81</v>
      </c>
      <c r="I55" s="143" t="s">
        <v>82</v>
      </c>
      <c r="J55" s="149" t="s">
        <v>83</v>
      </c>
      <c r="K55" s="158"/>
      <c r="L55" s="158">
        <v>33.9</v>
      </c>
    </row>
    <row r="56" spans="1:12" ht="15" customHeight="1" x14ac:dyDescent="0.25">
      <c r="A56" t="s">
        <v>88</v>
      </c>
      <c r="B56" s="63" t="s">
        <v>15</v>
      </c>
      <c r="C56" s="117" t="s">
        <v>16</v>
      </c>
      <c r="D56" s="118" t="s">
        <v>80</v>
      </c>
      <c r="E56" s="135" t="str">
        <f t="shared" si="0"/>
        <v>Sabonete em barra puro vegetal Tododia Ameixa e Flor de Baunilha 5x90g Caixa</v>
      </c>
      <c r="F56" s="120" t="s">
        <v>74</v>
      </c>
      <c r="G56" s="130">
        <v>5</v>
      </c>
      <c r="H56" s="142" t="s">
        <v>81</v>
      </c>
      <c r="I56" s="143" t="s">
        <v>82</v>
      </c>
      <c r="J56" s="149" t="s">
        <v>83</v>
      </c>
      <c r="K56" s="158"/>
      <c r="L56" s="158">
        <v>33.9</v>
      </c>
    </row>
    <row r="57" spans="1:12" ht="15" customHeight="1" x14ac:dyDescent="0.25">
      <c r="A57" t="s">
        <v>89</v>
      </c>
      <c r="B57" s="63" t="s">
        <v>15</v>
      </c>
      <c r="C57" s="117" t="s">
        <v>16</v>
      </c>
      <c r="D57" s="118" t="s">
        <v>80</v>
      </c>
      <c r="E57" s="135" t="str">
        <f t="shared" si="0"/>
        <v>Sabonete em barra puro vegetal Tododia Amora Vermelha e Jabuticaba 5x90g Caixa</v>
      </c>
      <c r="F57" s="120" t="s">
        <v>90</v>
      </c>
      <c r="G57" s="130">
        <v>5</v>
      </c>
      <c r="H57" s="142" t="s">
        <v>81</v>
      </c>
      <c r="I57" s="143" t="s">
        <v>82</v>
      </c>
      <c r="J57" s="149" t="s">
        <v>83</v>
      </c>
      <c r="K57" s="158"/>
      <c r="L57" s="158">
        <v>33.9</v>
      </c>
    </row>
    <row r="58" spans="1:12" ht="15" customHeight="1" x14ac:dyDescent="0.25">
      <c r="B58" s="63" t="s">
        <v>15</v>
      </c>
      <c r="C58" s="117" t="s">
        <v>16</v>
      </c>
      <c r="D58" s="118" t="s">
        <v>80</v>
      </c>
      <c r="E58" s="135" t="str">
        <f t="shared" si="0"/>
        <v>Sabonete em barra puro vegetal Tododia Avelã e Cassis 5x90g Caixa</v>
      </c>
      <c r="F58" s="120" t="s">
        <v>91</v>
      </c>
      <c r="G58" s="130">
        <v>5</v>
      </c>
      <c r="H58" s="142" t="s">
        <v>81</v>
      </c>
      <c r="I58" s="143" t="s">
        <v>82</v>
      </c>
      <c r="J58" s="149" t="s">
        <v>83</v>
      </c>
      <c r="K58" s="158"/>
      <c r="L58" s="158">
        <v>33.9</v>
      </c>
    </row>
    <row r="59" spans="1:12" ht="15" customHeight="1" x14ac:dyDescent="0.25">
      <c r="B59" s="63" t="s">
        <v>15</v>
      </c>
      <c r="C59" s="117" t="s">
        <v>16</v>
      </c>
      <c r="D59" s="118" t="s">
        <v>80</v>
      </c>
      <c r="E59" s="135" t="str">
        <f t="shared" si="0"/>
        <v>Sabonete em barra puro vegetal Tododia Capim Limao e Hortela 5x90g Caixa</v>
      </c>
      <c r="F59" s="120" t="s">
        <v>92</v>
      </c>
      <c r="G59" s="130">
        <v>5</v>
      </c>
      <c r="H59" s="142" t="s">
        <v>81</v>
      </c>
      <c r="I59" s="143" t="s">
        <v>82</v>
      </c>
      <c r="J59" s="149" t="s">
        <v>83</v>
      </c>
      <c r="K59" s="158"/>
      <c r="L59" s="158">
        <v>33.9</v>
      </c>
    </row>
    <row r="60" spans="1:12" ht="15" customHeight="1" x14ac:dyDescent="0.25">
      <c r="B60" s="63" t="s">
        <v>15</v>
      </c>
      <c r="C60" s="117" t="s">
        <v>16</v>
      </c>
      <c r="D60" s="118" t="s">
        <v>80</v>
      </c>
      <c r="E60" s="135" t="str">
        <f t="shared" si="0"/>
        <v>Sabonete em barra puro vegetal Tododia Cereja Negra e Pranilé 5x90g Caixa</v>
      </c>
      <c r="F60" s="120" t="s">
        <v>93</v>
      </c>
      <c r="G60" s="130">
        <v>5</v>
      </c>
      <c r="H60" s="142" t="s">
        <v>81</v>
      </c>
      <c r="I60" s="143" t="s">
        <v>82</v>
      </c>
      <c r="J60" s="149" t="s">
        <v>83</v>
      </c>
      <c r="K60" s="158"/>
      <c r="L60" s="158">
        <v>33.9</v>
      </c>
    </row>
    <row r="61" spans="1:12" ht="15" customHeight="1" x14ac:dyDescent="0.25">
      <c r="A61" t="s">
        <v>94</v>
      </c>
      <c r="B61" s="63" t="s">
        <v>15</v>
      </c>
      <c r="C61" s="117" t="s">
        <v>16</v>
      </c>
      <c r="D61" s="118" t="s">
        <v>80</v>
      </c>
      <c r="E61" s="135" t="str">
        <f t="shared" si="0"/>
        <v>Sabonete em barra puro vegetal Tododia Cereja e Avelã 5x90g Caixa</v>
      </c>
      <c r="F61" s="120" t="s">
        <v>61</v>
      </c>
      <c r="G61" s="130">
        <v>5</v>
      </c>
      <c r="H61" s="142" t="s">
        <v>81</v>
      </c>
      <c r="I61" s="143" t="s">
        <v>82</v>
      </c>
      <c r="J61" s="149" t="s">
        <v>95</v>
      </c>
      <c r="K61" s="158"/>
      <c r="L61" s="158">
        <v>33.9</v>
      </c>
    </row>
    <row r="62" spans="1:12" ht="15" customHeight="1" x14ac:dyDescent="0.25">
      <c r="B62" s="63" t="s">
        <v>15</v>
      </c>
      <c r="C62" s="117" t="s">
        <v>16</v>
      </c>
      <c r="D62" s="118" t="s">
        <v>80</v>
      </c>
      <c r="E62" s="135" t="str">
        <f t="shared" si="0"/>
        <v>Sabonete em barra puro vegetal Tododia Todonoite 5x90g Caixa</v>
      </c>
      <c r="F62" s="120" t="s">
        <v>55</v>
      </c>
      <c r="G62" s="130">
        <v>5</v>
      </c>
      <c r="H62" s="142" t="s">
        <v>81</v>
      </c>
      <c r="I62" s="143" t="s">
        <v>82</v>
      </c>
      <c r="J62" s="149" t="s">
        <v>96</v>
      </c>
      <c r="K62" s="158"/>
      <c r="L62" s="158">
        <v>33.9</v>
      </c>
    </row>
    <row r="63" spans="1:12" ht="15" customHeight="1" x14ac:dyDescent="0.25">
      <c r="B63" s="63" t="s">
        <v>15</v>
      </c>
      <c r="C63" s="117" t="s">
        <v>16</v>
      </c>
      <c r="D63" s="118" t="s">
        <v>80</v>
      </c>
      <c r="E63" s="135" t="str">
        <f t="shared" si="0"/>
        <v>Sabonete em barra puro vegetal Tododia Energ. Flor de Gengibre e Tangerina 5x90g Caixa</v>
      </c>
      <c r="F63" s="120" t="s">
        <v>97</v>
      </c>
      <c r="G63" s="130">
        <v>5</v>
      </c>
      <c r="H63" s="142" t="s">
        <v>81</v>
      </c>
      <c r="I63" s="143" t="s">
        <v>82</v>
      </c>
      <c r="J63" s="149" t="s">
        <v>98</v>
      </c>
      <c r="K63" s="158"/>
      <c r="L63" s="158">
        <v>33.9</v>
      </c>
    </row>
    <row r="64" spans="1:12" ht="15" customHeight="1" x14ac:dyDescent="0.25">
      <c r="B64" s="63" t="s">
        <v>15</v>
      </c>
      <c r="C64" s="117" t="s">
        <v>16</v>
      </c>
      <c r="D64" s="118" t="s">
        <v>80</v>
      </c>
      <c r="E64" s="135" t="str">
        <f t="shared" si="0"/>
        <v>Sabonete em barra puro vegetal Tododia Framboesa e PImenta Rosa 5x90g Caixa</v>
      </c>
      <c r="F64" s="120" t="s">
        <v>99</v>
      </c>
      <c r="G64" s="130">
        <v>5</v>
      </c>
      <c r="H64" s="142" t="s">
        <v>81</v>
      </c>
      <c r="I64" s="143" t="s">
        <v>82</v>
      </c>
      <c r="J64" s="149" t="s">
        <v>83</v>
      </c>
      <c r="K64" s="158"/>
      <c r="L64" s="158">
        <v>33.9</v>
      </c>
    </row>
    <row r="65" spans="1:12" ht="15" customHeight="1" x14ac:dyDescent="0.25">
      <c r="B65" s="63" t="s">
        <v>15</v>
      </c>
      <c r="C65" s="117" t="s">
        <v>16</v>
      </c>
      <c r="D65" s="118" t="s">
        <v>80</v>
      </c>
      <c r="E65" s="135" t="str">
        <f t="shared" si="0"/>
        <v>Sabonete em barra puro vegetal Tododia Frutas Vermelha 5x90g Caixa</v>
      </c>
      <c r="F65" s="120" t="s">
        <v>100</v>
      </c>
      <c r="G65" s="130">
        <v>5</v>
      </c>
      <c r="H65" s="142" t="s">
        <v>81</v>
      </c>
      <c r="I65" s="143" t="s">
        <v>82</v>
      </c>
      <c r="J65" s="149" t="s">
        <v>83</v>
      </c>
      <c r="K65" s="158"/>
      <c r="L65" s="158">
        <v>33.9</v>
      </c>
    </row>
    <row r="66" spans="1:12" ht="15" customHeight="1" x14ac:dyDescent="0.25">
      <c r="B66" s="63" t="s">
        <v>15</v>
      </c>
      <c r="C66" s="117" t="s">
        <v>16</v>
      </c>
      <c r="D66" s="118" t="s">
        <v>80</v>
      </c>
      <c r="E66" s="135" t="str">
        <f t="shared" ref="E66:E129" si="1">TRIM(CONCATENATE(D66, " ", C66, " ", F66, " ", IF(G66&gt;0, G66 &amp; "x" &amp; H66, H66), " ", I66))</f>
        <v>Sabonete em barra puro vegetal Tododia Jasmim e Bergamota 5x90g Caixa</v>
      </c>
      <c r="F66" s="120" t="s">
        <v>101</v>
      </c>
      <c r="G66" s="130">
        <v>5</v>
      </c>
      <c r="H66" s="142" t="s">
        <v>81</v>
      </c>
      <c r="I66" s="143" t="s">
        <v>82</v>
      </c>
      <c r="J66" s="149" t="s">
        <v>83</v>
      </c>
      <c r="K66" s="158"/>
      <c r="L66" s="158">
        <v>33.9</v>
      </c>
    </row>
    <row r="67" spans="1:12" ht="15" customHeight="1" x14ac:dyDescent="0.25">
      <c r="B67" s="63" t="s">
        <v>15</v>
      </c>
      <c r="C67" s="117" t="s">
        <v>16</v>
      </c>
      <c r="D67" s="118" t="s">
        <v>80</v>
      </c>
      <c r="E67" s="135" t="str">
        <f t="shared" si="1"/>
        <v>Sabonete em barra puro vegetal Tododia Manga Rosa e Àgua de Coco 5x90g Caixa</v>
      </c>
      <c r="F67" s="120" t="s">
        <v>45</v>
      </c>
      <c r="G67" s="130">
        <v>5</v>
      </c>
      <c r="H67" s="142" t="s">
        <v>81</v>
      </c>
      <c r="I67" s="143" t="s">
        <v>82</v>
      </c>
      <c r="J67" s="149" t="s">
        <v>83</v>
      </c>
      <c r="K67" s="158"/>
      <c r="L67" s="158">
        <v>33.9</v>
      </c>
    </row>
    <row r="68" spans="1:12" ht="15" customHeight="1" x14ac:dyDescent="0.25">
      <c r="B68" s="63" t="s">
        <v>15</v>
      </c>
      <c r="C68" s="117" t="s">
        <v>16</v>
      </c>
      <c r="D68" s="118" t="s">
        <v>80</v>
      </c>
      <c r="E68" s="135" t="str">
        <f t="shared" si="1"/>
        <v>Sabonete em barra puro vegetal Tododia Maçã Caramelada e Baunilha 5x90g Caixa</v>
      </c>
      <c r="F68" s="120" t="s">
        <v>102</v>
      </c>
      <c r="G68" s="130">
        <v>5</v>
      </c>
      <c r="H68" s="142" t="s">
        <v>81</v>
      </c>
      <c r="I68" s="143" t="s">
        <v>82</v>
      </c>
      <c r="J68" s="118" t="s">
        <v>44</v>
      </c>
      <c r="K68" s="158"/>
      <c r="L68" s="158">
        <v>33.9</v>
      </c>
    </row>
    <row r="69" spans="1:12" ht="15" customHeight="1" x14ac:dyDescent="0.25">
      <c r="A69" t="s">
        <v>103</v>
      </c>
      <c r="B69" s="63" t="s">
        <v>15</v>
      </c>
      <c r="C69" s="117" t="s">
        <v>16</v>
      </c>
      <c r="D69" s="118" t="s">
        <v>80</v>
      </c>
      <c r="E69" s="135" t="str">
        <f t="shared" si="1"/>
        <v>Sabonete em barra puro vegetal Tododia Macadamia 5x90g Caixa</v>
      </c>
      <c r="F69" s="120" t="s">
        <v>104</v>
      </c>
      <c r="G69" s="130">
        <v>5</v>
      </c>
      <c r="H69" s="142" t="s">
        <v>81</v>
      </c>
      <c r="I69" s="143" t="s">
        <v>82</v>
      </c>
      <c r="J69" s="149" t="s">
        <v>83</v>
      </c>
      <c r="K69" s="158"/>
      <c r="L69" s="158">
        <v>33.9</v>
      </c>
    </row>
    <row r="70" spans="1:12" ht="15" customHeight="1" x14ac:dyDescent="0.25">
      <c r="B70" s="63" t="s">
        <v>15</v>
      </c>
      <c r="C70" s="71" t="s">
        <v>16</v>
      </c>
      <c r="D70" s="64" t="s">
        <v>80</v>
      </c>
      <c r="E70" s="135" t="str">
        <f t="shared" si="1"/>
        <v>Sabonete em barra puro vegetal Tododia Noz Pecã e Cacau 5x90g Caixa</v>
      </c>
      <c r="F70" s="120" t="s">
        <v>105</v>
      </c>
      <c r="G70" s="130">
        <v>5</v>
      </c>
      <c r="H70" s="142" t="s">
        <v>81</v>
      </c>
      <c r="I70" s="143" t="s">
        <v>82</v>
      </c>
      <c r="J70" s="149" t="s">
        <v>83</v>
      </c>
      <c r="K70" s="158"/>
      <c r="L70" s="158">
        <v>33.9</v>
      </c>
    </row>
    <row r="71" spans="1:12" ht="15" customHeight="1" x14ac:dyDescent="0.25">
      <c r="B71" s="63" t="s">
        <v>15</v>
      </c>
      <c r="C71" s="71" t="s">
        <v>16</v>
      </c>
      <c r="D71" s="64" t="s">
        <v>80</v>
      </c>
      <c r="E71" s="135" t="str">
        <f t="shared" si="1"/>
        <v>Sabonete em barra puro vegetal Tododia Roma e Salvia 5x90g Caixa</v>
      </c>
      <c r="F71" s="2" t="s">
        <v>47</v>
      </c>
      <c r="G71" s="130">
        <v>5</v>
      </c>
      <c r="H71" s="142" t="s">
        <v>81</v>
      </c>
      <c r="I71" s="143" t="s">
        <v>82</v>
      </c>
      <c r="J71" s="149" t="s">
        <v>83</v>
      </c>
      <c r="K71" s="158"/>
      <c r="L71" s="158">
        <v>33.9</v>
      </c>
    </row>
    <row r="72" spans="1:12" ht="15" customHeight="1" x14ac:dyDescent="0.25">
      <c r="B72" s="63" t="s">
        <v>15</v>
      </c>
      <c r="C72" s="71" t="s">
        <v>16</v>
      </c>
      <c r="D72" s="64" t="s">
        <v>80</v>
      </c>
      <c r="E72" s="135" t="str">
        <f t="shared" si="1"/>
        <v>Sabonete em barra puro vegetal Tododia Romã e Flor de Amora 5x90g Caixa</v>
      </c>
      <c r="F72" s="2" t="s">
        <v>106</v>
      </c>
      <c r="G72" s="130">
        <v>5</v>
      </c>
      <c r="H72" s="142" t="s">
        <v>81</v>
      </c>
      <c r="I72" s="143" t="s">
        <v>82</v>
      </c>
      <c r="J72" s="149" t="s">
        <v>83</v>
      </c>
      <c r="K72" s="158"/>
      <c r="L72" s="158">
        <v>33.9</v>
      </c>
    </row>
    <row r="73" spans="1:12" s="10" customFormat="1" ht="15" customHeight="1" x14ac:dyDescent="0.25">
      <c r="A73" t="s">
        <v>107</v>
      </c>
      <c r="B73" s="63" t="s">
        <v>15</v>
      </c>
      <c r="C73" s="71" t="s">
        <v>16</v>
      </c>
      <c r="D73" s="64" t="s">
        <v>80</v>
      </c>
      <c r="E73" s="135" t="str">
        <f t="shared" si="1"/>
        <v>Sabonete em barra puro vegetal Tododia Tâmara e Canela 5x90g Caixa</v>
      </c>
      <c r="F73" s="9" t="s">
        <v>49</v>
      </c>
      <c r="G73" s="130">
        <v>5</v>
      </c>
      <c r="H73" s="142" t="s">
        <v>81</v>
      </c>
      <c r="I73" s="143" t="s">
        <v>82</v>
      </c>
      <c r="J73" s="149" t="s">
        <v>83</v>
      </c>
      <c r="K73" s="158"/>
      <c r="L73" s="158">
        <v>33.9</v>
      </c>
    </row>
    <row r="74" spans="1:12" ht="15" customHeight="1" x14ac:dyDescent="0.25">
      <c r="B74" s="63" t="s">
        <v>15</v>
      </c>
      <c r="C74" s="71" t="s">
        <v>16</v>
      </c>
      <c r="D74" s="64" t="s">
        <v>80</v>
      </c>
      <c r="E74" s="135" t="str">
        <f t="shared" si="1"/>
        <v>Sabonete em barra puro vegetal Tododia Roma e Uva Rosa, Alecrin e Salvia 5x90g Caixa</v>
      </c>
      <c r="F74" s="2" t="s">
        <v>108</v>
      </c>
      <c r="G74" s="130">
        <v>5</v>
      </c>
      <c r="H74" s="142" t="s">
        <v>81</v>
      </c>
      <c r="I74" s="31" t="s">
        <v>82</v>
      </c>
      <c r="J74" s="149" t="s">
        <v>83</v>
      </c>
      <c r="K74" s="160"/>
      <c r="L74" s="160">
        <v>41.9</v>
      </c>
    </row>
    <row r="75" spans="1:12" ht="15" customHeight="1" x14ac:dyDescent="0.25">
      <c r="B75" s="63" t="s">
        <v>15</v>
      </c>
      <c r="C75" s="71" t="s">
        <v>16</v>
      </c>
      <c r="D75" s="64" t="s">
        <v>80</v>
      </c>
      <c r="E75" s="135" t="str">
        <f t="shared" si="1"/>
        <v>Sabonete em barra puro vegetal Tododia Flor de Lis, Alecrim, Framboesa e Pimenta Vermelha, Macadamia, Frutas Vermelhas 5x90g Caixa</v>
      </c>
      <c r="F75" s="2" t="s">
        <v>109</v>
      </c>
      <c r="G75" s="130">
        <v>5</v>
      </c>
      <c r="H75" s="142" t="s">
        <v>81</v>
      </c>
      <c r="I75" s="31" t="s">
        <v>82</v>
      </c>
      <c r="J75" s="149" t="s">
        <v>83</v>
      </c>
      <c r="K75" s="160"/>
      <c r="L75" s="160">
        <v>41.9</v>
      </c>
    </row>
    <row r="76" spans="1:12" ht="15" customHeight="1" x14ac:dyDescent="0.25">
      <c r="B76" s="63" t="s">
        <v>15</v>
      </c>
      <c r="C76" s="71" t="s">
        <v>16</v>
      </c>
      <c r="D76" s="64" t="s">
        <v>80</v>
      </c>
      <c r="E76" s="135" t="str">
        <f t="shared" si="1"/>
        <v>Sabonete em barra puro vegetal Tododia Ameixa e flor de baunilha, Ameixa e Flor de Cereja eRroma e Flor de Amora 5x90g Caixa</v>
      </c>
      <c r="F76" s="2" t="s">
        <v>110</v>
      </c>
      <c r="G76" s="130">
        <v>5</v>
      </c>
      <c r="H76" s="142" t="s">
        <v>81</v>
      </c>
      <c r="I76" s="33" t="s">
        <v>82</v>
      </c>
      <c r="J76" s="149" t="s">
        <v>83</v>
      </c>
      <c r="K76" s="160"/>
      <c r="L76" s="160">
        <v>41.9</v>
      </c>
    </row>
    <row r="77" spans="1:12" ht="15.75" customHeight="1" x14ac:dyDescent="0.25">
      <c r="B77" s="63" t="s">
        <v>15</v>
      </c>
      <c r="C77" s="71" t="s">
        <v>16</v>
      </c>
      <c r="D77" s="64" t="s">
        <v>111</v>
      </c>
      <c r="E77" s="135" t="str">
        <f t="shared" si="1"/>
        <v>Sabonete Liquido Intimo Tododia Algodão, Suave, Conforto 200ml Frasco</v>
      </c>
      <c r="F77" s="2" t="s">
        <v>112</v>
      </c>
      <c r="G77" s="130"/>
      <c r="H77" s="11" t="s">
        <v>32</v>
      </c>
      <c r="I77" s="34" t="s">
        <v>33</v>
      </c>
      <c r="J77" s="2" t="s">
        <v>113</v>
      </c>
      <c r="K77" s="160"/>
      <c r="L77" s="160">
        <v>49.9</v>
      </c>
    </row>
    <row r="78" spans="1:12" ht="15.75" customHeight="1" x14ac:dyDescent="0.25">
      <c r="B78" s="63" t="s">
        <v>15</v>
      </c>
      <c r="C78" s="71" t="s">
        <v>16</v>
      </c>
      <c r="D78" s="64" t="s">
        <v>111</v>
      </c>
      <c r="E78" s="135" t="str">
        <f t="shared" si="1"/>
        <v>Sabonete Liquido Intimo Tododia Cereja e Avelã 200ml Frasco</v>
      </c>
      <c r="F78" s="2" t="s">
        <v>114</v>
      </c>
      <c r="G78" s="130"/>
      <c r="H78" s="11" t="s">
        <v>32</v>
      </c>
      <c r="I78" s="34" t="s">
        <v>33</v>
      </c>
      <c r="J78" s="2" t="s">
        <v>115</v>
      </c>
      <c r="K78" s="160"/>
      <c r="L78" s="160">
        <v>49.9</v>
      </c>
    </row>
    <row r="79" spans="1:12" ht="15" customHeight="1" x14ac:dyDescent="0.25">
      <c r="B79" s="63" t="s">
        <v>15</v>
      </c>
      <c r="C79" s="71" t="s">
        <v>16</v>
      </c>
      <c r="D79" s="64" t="s">
        <v>111</v>
      </c>
      <c r="E79" s="135" t="str">
        <f t="shared" si="1"/>
        <v>Sabonete Liquido Intimo Tododia Delicado e Frescor 200ml Frasco</v>
      </c>
      <c r="F79" s="2" t="s">
        <v>116</v>
      </c>
      <c r="G79" s="130"/>
      <c r="H79" s="11" t="s">
        <v>32</v>
      </c>
      <c r="I79" s="33" t="s">
        <v>33</v>
      </c>
      <c r="J79" s="2" t="s">
        <v>117</v>
      </c>
      <c r="K79" s="160"/>
      <c r="L79" s="160">
        <v>49.9</v>
      </c>
    </row>
    <row r="80" spans="1:12" ht="15" customHeight="1" x14ac:dyDescent="0.25">
      <c r="B80" s="63" t="s">
        <v>15</v>
      </c>
      <c r="C80" s="71" t="s">
        <v>16</v>
      </c>
      <c r="D80" s="65" t="s">
        <v>118</v>
      </c>
      <c r="E80" s="135" t="str">
        <f t="shared" si="1"/>
        <v>Sabonete Liquido Corpo e Esfoliante Tododia Limão e Hortelã 190g Frasco</v>
      </c>
      <c r="F80" s="2" t="s">
        <v>119</v>
      </c>
      <c r="G80" s="130"/>
      <c r="H80" s="11" t="s">
        <v>120</v>
      </c>
      <c r="I80" s="33" t="s">
        <v>33</v>
      </c>
      <c r="J80" s="3" t="s">
        <v>121</v>
      </c>
      <c r="K80" s="160"/>
      <c r="L80" s="160">
        <v>49.9</v>
      </c>
    </row>
    <row r="81" spans="1:12" ht="15" customHeight="1" x14ac:dyDescent="0.25">
      <c r="B81" s="63" t="s">
        <v>15</v>
      </c>
      <c r="C81" s="71" t="s">
        <v>16</v>
      </c>
      <c r="D81" s="65" t="s">
        <v>122</v>
      </c>
      <c r="E81" s="135" t="str">
        <f t="shared" si="1"/>
        <v>Esfoliante em Creme Corporal Tododia Macadâmia 200ml Frasco</v>
      </c>
      <c r="F81" s="2" t="s">
        <v>42</v>
      </c>
      <c r="G81" s="130"/>
      <c r="H81" s="11" t="s">
        <v>32</v>
      </c>
      <c r="I81" s="33" t="s">
        <v>33</v>
      </c>
      <c r="J81" s="3" t="s">
        <v>121</v>
      </c>
      <c r="K81" s="160"/>
      <c r="L81" s="160">
        <v>49.9</v>
      </c>
    </row>
    <row r="82" spans="1:12" ht="15" customHeight="1" x14ac:dyDescent="0.25">
      <c r="B82" s="63" t="s">
        <v>15</v>
      </c>
      <c r="C82" s="71" t="s">
        <v>16</v>
      </c>
      <c r="D82" s="64" t="s">
        <v>122</v>
      </c>
      <c r="E82" s="135" t="str">
        <f t="shared" si="1"/>
        <v>Esfoliante em Creme Corporal Tododia Jambo Rosa e Flor de Caju 190g Frasco</v>
      </c>
      <c r="F82" s="2" t="s">
        <v>123</v>
      </c>
      <c r="G82" s="130"/>
      <c r="H82" s="12" t="s">
        <v>120</v>
      </c>
      <c r="I82" s="33" t="s">
        <v>33</v>
      </c>
      <c r="J82" s="3" t="s">
        <v>124</v>
      </c>
      <c r="K82" s="160"/>
      <c r="L82" s="160">
        <v>49.9</v>
      </c>
    </row>
    <row r="83" spans="1:12" ht="15" customHeight="1" x14ac:dyDescent="0.25">
      <c r="B83" s="63" t="s">
        <v>15</v>
      </c>
      <c r="C83" s="71" t="s">
        <v>16</v>
      </c>
      <c r="D83" s="64" t="s">
        <v>125</v>
      </c>
      <c r="E83" s="135" t="str">
        <f t="shared" si="1"/>
        <v>Geleia Desodorante Iluminador Tododia Jambo Rosa e Flor de Caju 100g Frasco</v>
      </c>
      <c r="F83" s="2" t="s">
        <v>123</v>
      </c>
      <c r="G83" s="130"/>
      <c r="H83" s="12" t="s">
        <v>126</v>
      </c>
      <c r="I83" s="33" t="s">
        <v>33</v>
      </c>
      <c r="J83" s="3" t="s">
        <v>127</v>
      </c>
      <c r="K83" s="160"/>
      <c r="L83" s="160" t="s">
        <v>128</v>
      </c>
    </row>
    <row r="84" spans="1:12" ht="15" customHeight="1" x14ac:dyDescent="0.25">
      <c r="B84" s="63" t="s">
        <v>15</v>
      </c>
      <c r="C84" s="71" t="s">
        <v>16</v>
      </c>
      <c r="D84" s="64" t="s">
        <v>129</v>
      </c>
      <c r="E84" s="135" t="str">
        <f t="shared" si="1"/>
        <v>Agua pre-biotica para o corpo Tododia Manga Rosa e Água de Coco 150ml Frasco</v>
      </c>
      <c r="F84" s="2" t="s">
        <v>130</v>
      </c>
      <c r="G84" s="130"/>
      <c r="H84" s="12" t="s">
        <v>131</v>
      </c>
      <c r="I84" s="33" t="s">
        <v>33</v>
      </c>
      <c r="J84" s="3" t="s">
        <v>132</v>
      </c>
      <c r="K84" s="161"/>
      <c r="L84" s="161" t="s">
        <v>133</v>
      </c>
    </row>
    <row r="85" spans="1:12" ht="15" customHeight="1" x14ac:dyDescent="0.25">
      <c r="B85" s="63" t="s">
        <v>15</v>
      </c>
      <c r="C85" s="71" t="s">
        <v>16</v>
      </c>
      <c r="D85" s="64" t="s">
        <v>134</v>
      </c>
      <c r="E85" s="135" t="str">
        <f t="shared" si="1"/>
        <v>Bruma Facil Tododia Flor de Gengibre e Tangerina 100ml Frasco</v>
      </c>
      <c r="F85" s="2" t="s">
        <v>35</v>
      </c>
      <c r="G85" s="130"/>
      <c r="H85" s="12" t="s">
        <v>135</v>
      </c>
      <c r="I85" s="33" t="s">
        <v>33</v>
      </c>
      <c r="J85" s="11" t="s">
        <v>136</v>
      </c>
      <c r="K85" s="160"/>
      <c r="L85" s="160">
        <v>49.9</v>
      </c>
    </row>
    <row r="86" spans="1:12" ht="15" customHeight="1" x14ac:dyDescent="0.25">
      <c r="B86" s="63" t="s">
        <v>15</v>
      </c>
      <c r="C86" s="71" t="s">
        <v>16</v>
      </c>
      <c r="D86" s="64" t="s">
        <v>137</v>
      </c>
      <c r="E86" s="135" t="str">
        <f t="shared" si="1"/>
        <v>Creme Desodorante Tododia Flor de Gengibre e Tangerina 200ml Frasco</v>
      </c>
      <c r="F86" s="2" t="s">
        <v>35</v>
      </c>
      <c r="G86" s="130"/>
      <c r="H86" s="12" t="s">
        <v>32</v>
      </c>
      <c r="I86" s="33" t="s">
        <v>33</v>
      </c>
      <c r="J86" s="11" t="s">
        <v>138</v>
      </c>
      <c r="K86" s="160"/>
      <c r="L86" s="160">
        <v>51.9</v>
      </c>
    </row>
    <row r="87" spans="1:12" ht="15" customHeight="1" x14ac:dyDescent="0.25">
      <c r="A87" t="s">
        <v>139</v>
      </c>
      <c r="B87" s="63" t="s">
        <v>15</v>
      </c>
      <c r="C87" s="71" t="s">
        <v>16</v>
      </c>
      <c r="D87" s="64" t="s">
        <v>140</v>
      </c>
      <c r="E87" s="135" t="str">
        <f t="shared" si="1"/>
        <v>Desodorante Antitranspirante Roll-on Tododia Aclarar 70ml Frasco</v>
      </c>
      <c r="F87" s="2" t="s">
        <v>141</v>
      </c>
      <c r="G87" s="130"/>
      <c r="H87" s="12" t="s">
        <v>142</v>
      </c>
      <c r="I87" s="33" t="s">
        <v>33</v>
      </c>
      <c r="J87" s="11"/>
      <c r="K87" s="160"/>
      <c r="L87" s="160">
        <v>29.9</v>
      </c>
    </row>
    <row r="88" spans="1:12" ht="15" customHeight="1" x14ac:dyDescent="0.25">
      <c r="A88" t="s">
        <v>143</v>
      </c>
      <c r="B88" s="63" t="s">
        <v>15</v>
      </c>
      <c r="C88" s="71" t="s">
        <v>16</v>
      </c>
      <c r="D88" s="64" t="s">
        <v>140</v>
      </c>
      <c r="E88" s="135" t="str">
        <f t="shared" si="1"/>
        <v>Desodorante Antitranspirante Roll-on Tododia Algodão 70ml Frasco</v>
      </c>
      <c r="F88" s="2" t="s">
        <v>84</v>
      </c>
      <c r="G88" s="130"/>
      <c r="H88" s="12" t="s">
        <v>142</v>
      </c>
      <c r="I88" s="33" t="s">
        <v>33</v>
      </c>
      <c r="J88" s="11"/>
      <c r="K88" s="160"/>
      <c r="L88" s="160">
        <v>29.9</v>
      </c>
    </row>
    <row r="89" spans="1:12" ht="15" customHeight="1" x14ac:dyDescent="0.25">
      <c r="B89" s="63" t="s">
        <v>15</v>
      </c>
      <c r="C89" s="71" t="s">
        <v>16</v>
      </c>
      <c r="D89" s="64" t="s">
        <v>140</v>
      </c>
      <c r="E89" s="135" t="str">
        <f t="shared" si="1"/>
        <v>Desodorante Antitranspirante Roll-on Tododia Alecrim e Salvia 70ml Frasco</v>
      </c>
      <c r="F89" s="2" t="s">
        <v>144</v>
      </c>
      <c r="G89" s="130"/>
      <c r="H89" s="12" t="s">
        <v>142</v>
      </c>
      <c r="I89" s="33" t="s">
        <v>33</v>
      </c>
      <c r="J89" s="11" t="s">
        <v>145</v>
      </c>
      <c r="K89" s="160"/>
      <c r="L89" s="160">
        <v>29.9</v>
      </c>
    </row>
    <row r="90" spans="1:12" ht="15" customHeight="1" x14ac:dyDescent="0.25">
      <c r="B90" s="63" t="s">
        <v>15</v>
      </c>
      <c r="C90" s="71" t="s">
        <v>16</v>
      </c>
      <c r="D90" s="64" t="s">
        <v>140</v>
      </c>
      <c r="E90" s="135" t="str">
        <f t="shared" si="1"/>
        <v>Desodorante Antitranspirante Roll-on Tododia Ameixa e Flor de Baunilha 70ml Frasco</v>
      </c>
      <c r="F90" s="2" t="s">
        <v>22</v>
      </c>
      <c r="G90" s="130"/>
      <c r="H90" s="12" t="s">
        <v>142</v>
      </c>
      <c r="I90" s="33" t="s">
        <v>33</v>
      </c>
      <c r="J90" s="11" t="s">
        <v>146</v>
      </c>
      <c r="K90" s="160"/>
      <c r="L90" s="160">
        <v>29.9</v>
      </c>
    </row>
    <row r="91" spans="1:12" ht="15" customHeight="1" x14ac:dyDescent="0.25">
      <c r="B91" s="63" t="s">
        <v>15</v>
      </c>
      <c r="C91" s="71" t="s">
        <v>16</v>
      </c>
      <c r="D91" s="64" t="s">
        <v>140</v>
      </c>
      <c r="E91" s="135" t="str">
        <f t="shared" si="1"/>
        <v>Desodorante Antitranspirante Roll-on Tododia Amora Vermelha e Jabuticba 70ml Frasco</v>
      </c>
      <c r="F91" s="2" t="s">
        <v>147</v>
      </c>
      <c r="G91" s="130"/>
      <c r="H91" s="12" t="s">
        <v>142</v>
      </c>
      <c r="I91" s="33" t="s">
        <v>33</v>
      </c>
      <c r="J91" s="11" t="s">
        <v>146</v>
      </c>
      <c r="K91" s="160"/>
      <c r="L91" s="160">
        <v>29.9</v>
      </c>
    </row>
    <row r="92" spans="1:12" ht="15" customHeight="1" x14ac:dyDescent="0.25">
      <c r="B92" s="63" t="s">
        <v>15</v>
      </c>
      <c r="C92" s="71" t="s">
        <v>16</v>
      </c>
      <c r="D92" s="64" t="s">
        <v>140</v>
      </c>
      <c r="E92" s="135" t="str">
        <f t="shared" si="1"/>
        <v>Desodorante Antitranspirante Roll-on Tododia Capim Limão e Hortelã 70ml Frasco</v>
      </c>
      <c r="F92" s="2" t="s">
        <v>27</v>
      </c>
      <c r="G92" s="130"/>
      <c r="H92" s="12" t="s">
        <v>142</v>
      </c>
      <c r="I92" s="33" t="s">
        <v>33</v>
      </c>
      <c r="J92" s="11" t="s">
        <v>145</v>
      </c>
      <c r="K92" s="160"/>
      <c r="L92" s="160">
        <v>29.9</v>
      </c>
    </row>
    <row r="93" spans="1:12" ht="15" customHeight="1" x14ac:dyDescent="0.25">
      <c r="B93" s="63" t="s">
        <v>15</v>
      </c>
      <c r="C93" s="71" t="s">
        <v>16</v>
      </c>
      <c r="D93" s="64" t="s">
        <v>140</v>
      </c>
      <c r="E93" s="135" t="str">
        <f t="shared" si="1"/>
        <v>Desodorante Antitranspirante Roll-on Tododia Cereja e Avelã 70ml Frasco</v>
      </c>
      <c r="F93" s="2" t="s">
        <v>114</v>
      </c>
      <c r="G93" s="130"/>
      <c r="H93" s="12" t="s">
        <v>142</v>
      </c>
      <c r="I93" s="33" t="s">
        <v>33</v>
      </c>
      <c r="J93" s="11" t="s">
        <v>146</v>
      </c>
      <c r="K93" s="160"/>
      <c r="L93" s="160">
        <v>29.9</v>
      </c>
    </row>
    <row r="94" spans="1:12" ht="15" customHeight="1" x14ac:dyDescent="0.25">
      <c r="A94" t="s">
        <v>148</v>
      </c>
      <c r="B94" s="63" t="s">
        <v>15</v>
      </c>
      <c r="C94" s="71" t="s">
        <v>16</v>
      </c>
      <c r="D94" s="64" t="s">
        <v>140</v>
      </c>
      <c r="E94" s="135" t="str">
        <f t="shared" si="1"/>
        <v>Desodorante Antitranspirante Roll-on Tododia Macadania 70ml Frasco</v>
      </c>
      <c r="F94" s="2" t="s">
        <v>149</v>
      </c>
      <c r="G94" s="130"/>
      <c r="H94" s="12" t="s">
        <v>142</v>
      </c>
      <c r="I94" s="33" t="s">
        <v>33</v>
      </c>
      <c r="J94" s="11" t="s">
        <v>146</v>
      </c>
      <c r="K94" s="160"/>
      <c r="L94" s="160">
        <v>29.9</v>
      </c>
    </row>
    <row r="95" spans="1:12" ht="15" customHeight="1" x14ac:dyDescent="0.25">
      <c r="B95" s="63" t="s">
        <v>15</v>
      </c>
      <c r="C95" s="71" t="s">
        <v>16</v>
      </c>
      <c r="D95" s="64" t="s">
        <v>140</v>
      </c>
      <c r="E95" s="135" t="str">
        <f t="shared" si="1"/>
        <v>Desodorante Antitranspirante Roll-on Tododia Tamara e Canela 70ml Frasco</v>
      </c>
      <c r="F95" s="3" t="s">
        <v>150</v>
      </c>
      <c r="G95" s="130"/>
      <c r="H95" s="12" t="s">
        <v>142</v>
      </c>
      <c r="I95" s="33" t="s">
        <v>33</v>
      </c>
      <c r="J95" s="11" t="s">
        <v>146</v>
      </c>
      <c r="K95" s="160"/>
      <c r="L95" s="160">
        <v>29.9</v>
      </c>
    </row>
    <row r="96" spans="1:12" ht="15" customHeight="1" x14ac:dyDescent="0.25">
      <c r="B96" s="63" t="s">
        <v>15</v>
      </c>
      <c r="C96" s="71" t="s">
        <v>16</v>
      </c>
      <c r="D96" s="64" t="s">
        <v>140</v>
      </c>
      <c r="E96" s="135" t="str">
        <f t="shared" si="1"/>
        <v>Desodorante Antitranspirante Roll-on Tododia Sem Perfume 70ml Frasco</v>
      </c>
      <c r="F96" s="3" t="s">
        <v>151</v>
      </c>
      <c r="G96" s="130"/>
      <c r="H96" s="12" t="s">
        <v>142</v>
      </c>
      <c r="I96" s="33" t="s">
        <v>33</v>
      </c>
      <c r="J96" s="11" t="s">
        <v>146</v>
      </c>
      <c r="K96" s="160"/>
      <c r="L96" s="160">
        <v>29.9</v>
      </c>
    </row>
    <row r="97" spans="1:12" ht="15" customHeight="1" x14ac:dyDescent="0.25">
      <c r="A97" t="s">
        <v>152</v>
      </c>
      <c r="B97" s="63" t="s">
        <v>15</v>
      </c>
      <c r="C97" s="117" t="s">
        <v>16</v>
      </c>
      <c r="D97" s="118" t="s">
        <v>153</v>
      </c>
      <c r="E97" s="135" t="str">
        <f t="shared" si="1"/>
        <v>Desodorante Creme Tododia Ameixa e Flor de Baunilha 80g Frasco</v>
      </c>
      <c r="F97" s="5" t="s">
        <v>22</v>
      </c>
      <c r="G97" s="130"/>
      <c r="H97" s="122" t="s">
        <v>154</v>
      </c>
      <c r="I97" s="35" t="s">
        <v>33</v>
      </c>
      <c r="J97" s="11" t="s">
        <v>155</v>
      </c>
      <c r="K97" s="162"/>
      <c r="L97" s="162">
        <v>30.9</v>
      </c>
    </row>
    <row r="98" spans="1:12" ht="15" customHeight="1" x14ac:dyDescent="0.25">
      <c r="B98" s="63" t="s">
        <v>15</v>
      </c>
      <c r="C98" s="117" t="s">
        <v>16</v>
      </c>
      <c r="D98" s="118" t="s">
        <v>153</v>
      </c>
      <c r="E98" s="135" t="str">
        <f t="shared" si="1"/>
        <v>Desodorante Creme Tododia Cereja e Avela 80g Frasco</v>
      </c>
      <c r="F98" s="6" t="s">
        <v>156</v>
      </c>
      <c r="G98" s="130"/>
      <c r="H98" s="122" t="s">
        <v>154</v>
      </c>
      <c r="I98" s="35" t="s">
        <v>33</v>
      </c>
      <c r="J98" s="11" t="s">
        <v>155</v>
      </c>
      <c r="K98" s="162"/>
      <c r="L98" s="162">
        <v>30.9</v>
      </c>
    </row>
    <row r="99" spans="1:12" ht="15" customHeight="1" x14ac:dyDescent="0.25">
      <c r="B99" s="63" t="s">
        <v>15</v>
      </c>
      <c r="C99" s="117" t="s">
        <v>16</v>
      </c>
      <c r="D99" s="118" t="s">
        <v>153</v>
      </c>
      <c r="E99" s="135" t="str">
        <f t="shared" si="1"/>
        <v>Desodorante Creme Tododia Invisível 80g Frasco</v>
      </c>
      <c r="F99" s="6" t="s">
        <v>157</v>
      </c>
      <c r="G99" s="130"/>
      <c r="H99" s="122" t="s">
        <v>154</v>
      </c>
      <c r="I99" s="35" t="s">
        <v>33</v>
      </c>
      <c r="J99" s="11" t="s">
        <v>155</v>
      </c>
      <c r="K99" s="160"/>
      <c r="L99" s="160">
        <v>30.9</v>
      </c>
    </row>
    <row r="100" spans="1:12" ht="15" customHeight="1" x14ac:dyDescent="0.25">
      <c r="B100" s="63" t="s">
        <v>15</v>
      </c>
      <c r="C100" s="117" t="s">
        <v>16</v>
      </c>
      <c r="D100" s="118" t="s">
        <v>153</v>
      </c>
      <c r="E100" s="135" t="str">
        <f t="shared" si="1"/>
        <v>Desodorante Creme Tododia Leite de Algodao 80g Frasco</v>
      </c>
      <c r="F100" s="7" t="s">
        <v>158</v>
      </c>
      <c r="G100" s="130"/>
      <c r="H100" s="122" t="s">
        <v>154</v>
      </c>
      <c r="I100" s="35" t="s">
        <v>33</v>
      </c>
      <c r="J100" s="11" t="s">
        <v>155</v>
      </c>
      <c r="K100" s="163"/>
      <c r="L100" s="163">
        <v>30.9</v>
      </c>
    </row>
    <row r="101" spans="1:12" ht="15" customHeight="1" x14ac:dyDescent="0.25">
      <c r="B101" s="63" t="s">
        <v>15</v>
      </c>
      <c r="C101" s="71" t="s">
        <v>16</v>
      </c>
      <c r="D101" s="64" t="s">
        <v>153</v>
      </c>
      <c r="E101" s="135" t="str">
        <f t="shared" si="1"/>
        <v>Desodorante Creme Tododia Macadâmia 80g Frasco</v>
      </c>
      <c r="F101" s="2" t="s">
        <v>42</v>
      </c>
      <c r="G101" s="130"/>
      <c r="H101" s="122" t="s">
        <v>154</v>
      </c>
      <c r="I101" s="35" t="s">
        <v>33</v>
      </c>
      <c r="J101" s="11" t="s">
        <v>155</v>
      </c>
      <c r="K101" s="160"/>
      <c r="L101" s="160">
        <v>30.9</v>
      </c>
    </row>
    <row r="102" spans="1:12" ht="15" customHeight="1" x14ac:dyDescent="0.25">
      <c r="B102" s="63" t="s">
        <v>15</v>
      </c>
      <c r="C102" s="71" t="s">
        <v>16</v>
      </c>
      <c r="D102" s="64" t="s">
        <v>153</v>
      </c>
      <c r="E102" s="135" t="str">
        <f t="shared" si="1"/>
        <v>Desodorante Creme Tododia Manga Rosa e Aguá de Coco 80g Frasco</v>
      </c>
      <c r="F102" s="3" t="s">
        <v>159</v>
      </c>
      <c r="G102" s="130"/>
      <c r="H102" s="122" t="s">
        <v>154</v>
      </c>
      <c r="I102" s="35" t="s">
        <v>33</v>
      </c>
      <c r="J102" s="11" t="s">
        <v>155</v>
      </c>
      <c r="K102" s="160"/>
      <c r="L102" s="160">
        <v>30.9</v>
      </c>
    </row>
    <row r="103" spans="1:12" ht="15" customHeight="1" x14ac:dyDescent="0.25">
      <c r="B103" s="63" t="s">
        <v>15</v>
      </c>
      <c r="C103" s="71" t="s">
        <v>16</v>
      </c>
      <c r="D103" s="64" t="s">
        <v>153</v>
      </c>
      <c r="E103" s="135" t="str">
        <f t="shared" si="1"/>
        <v>Desodorante Creme Tododia Noz Pecã e Cacau 80g Frasco</v>
      </c>
      <c r="F103" s="3" t="s">
        <v>105</v>
      </c>
      <c r="G103" s="130"/>
      <c r="H103" s="122" t="s">
        <v>154</v>
      </c>
      <c r="I103" s="35" t="s">
        <v>33</v>
      </c>
      <c r="J103" s="11" t="s">
        <v>155</v>
      </c>
      <c r="K103" s="160"/>
      <c r="L103" s="160">
        <v>30.9</v>
      </c>
    </row>
    <row r="104" spans="1:12" s="10" customFormat="1" ht="15" customHeight="1" x14ac:dyDescent="0.25">
      <c r="B104" s="63" t="s">
        <v>15</v>
      </c>
      <c r="C104" s="71" t="s">
        <v>16</v>
      </c>
      <c r="D104" s="64" t="s">
        <v>160</v>
      </c>
      <c r="E104" s="135" t="str">
        <f t="shared" si="1"/>
        <v>Creme Para Maos e Pes Tododia Algodão 50ml Frasco</v>
      </c>
      <c r="F104" s="2" t="s">
        <v>84</v>
      </c>
      <c r="G104" s="130"/>
      <c r="H104" s="86" t="s">
        <v>161</v>
      </c>
      <c r="I104" s="36" t="s">
        <v>33</v>
      </c>
      <c r="J104" s="9" t="s">
        <v>162</v>
      </c>
      <c r="K104" s="160"/>
      <c r="L104" s="160">
        <v>36.9</v>
      </c>
    </row>
    <row r="105" spans="1:12" s="10" customFormat="1" ht="15" customHeight="1" x14ac:dyDescent="0.25">
      <c r="B105" s="63" t="s">
        <v>15</v>
      </c>
      <c r="C105" s="71" t="s">
        <v>16</v>
      </c>
      <c r="D105" s="64" t="s">
        <v>160</v>
      </c>
      <c r="E105" s="135" t="str">
        <f t="shared" si="1"/>
        <v>Creme Para Maos e Pes Tododia Ameixa e Flor de Baunilha 50ml Frasco</v>
      </c>
      <c r="F105" s="3" t="s">
        <v>22</v>
      </c>
      <c r="G105" s="130"/>
      <c r="H105" s="86" t="s">
        <v>161</v>
      </c>
      <c r="I105" s="36" t="s">
        <v>33</v>
      </c>
      <c r="J105" s="9" t="s">
        <v>162</v>
      </c>
      <c r="K105" s="160"/>
      <c r="L105" s="160">
        <v>36.9</v>
      </c>
    </row>
    <row r="106" spans="1:12" ht="15" customHeight="1" x14ac:dyDescent="0.25">
      <c r="B106" s="63" t="s">
        <v>15</v>
      </c>
      <c r="C106" s="71" t="s">
        <v>16</v>
      </c>
      <c r="D106" s="64" t="s">
        <v>160</v>
      </c>
      <c r="E106" s="135" t="str">
        <f t="shared" si="1"/>
        <v>Creme Para Maos e Pes Tododia Cereja e Avelã 50ml Frasco</v>
      </c>
      <c r="F106" s="2" t="s">
        <v>61</v>
      </c>
      <c r="G106" s="130"/>
      <c r="H106" s="86" t="s">
        <v>161</v>
      </c>
      <c r="I106" s="36" t="s">
        <v>33</v>
      </c>
      <c r="J106" s="9" t="s">
        <v>162</v>
      </c>
      <c r="K106" s="160"/>
      <c r="L106" s="160">
        <v>36.9</v>
      </c>
    </row>
    <row r="107" spans="1:12" ht="15" customHeight="1" x14ac:dyDescent="0.25">
      <c r="B107" s="63" t="s">
        <v>15</v>
      </c>
      <c r="C107" s="71" t="s">
        <v>16</v>
      </c>
      <c r="D107" s="64" t="s">
        <v>160</v>
      </c>
      <c r="E107" s="135" t="str">
        <f t="shared" si="1"/>
        <v>Creme Para Maos e Pes Tododia Noz Pecã e Cacau 50ml Frasco</v>
      </c>
      <c r="F107" s="86" t="s">
        <v>105</v>
      </c>
      <c r="G107" s="130"/>
      <c r="H107" s="88" t="s">
        <v>161</v>
      </c>
      <c r="I107" s="36" t="s">
        <v>33</v>
      </c>
      <c r="J107" s="86" t="s">
        <v>163</v>
      </c>
      <c r="K107" s="160"/>
      <c r="L107" s="160">
        <v>36.9</v>
      </c>
    </row>
    <row r="108" spans="1:12" ht="15" customHeight="1" x14ac:dyDescent="0.25">
      <c r="B108" s="63" t="s">
        <v>15</v>
      </c>
      <c r="C108" s="71" t="s">
        <v>16</v>
      </c>
      <c r="D108" s="64" t="s">
        <v>160</v>
      </c>
      <c r="E108" s="135" t="str">
        <f t="shared" si="1"/>
        <v>Creme Para Maos e Pes Tododia Tamara e Canela 50ml Frasco</v>
      </c>
      <c r="F108" s="3" t="s">
        <v>150</v>
      </c>
      <c r="G108" s="130"/>
      <c r="H108" s="86" t="s">
        <v>161</v>
      </c>
      <c r="I108" s="36" t="s">
        <v>33</v>
      </c>
      <c r="J108" s="9" t="s">
        <v>162</v>
      </c>
      <c r="K108" s="160"/>
      <c r="L108" s="160">
        <v>36.9</v>
      </c>
    </row>
    <row r="109" spans="1:12" s="10" customFormat="1" ht="15" customHeight="1" x14ac:dyDescent="0.25">
      <c r="B109" s="63" t="s">
        <v>15</v>
      </c>
      <c r="C109" s="71" t="s">
        <v>16</v>
      </c>
      <c r="D109" s="64" t="s">
        <v>160</v>
      </c>
      <c r="E109" s="135" t="str">
        <f t="shared" si="1"/>
        <v>Creme Para Maos e Pes Tododia Cereja e Avelã (Normal) 50ml Frasco</v>
      </c>
      <c r="F109" s="86" t="s">
        <v>164</v>
      </c>
      <c r="G109" s="130"/>
      <c r="H109" s="88" t="s">
        <v>161</v>
      </c>
      <c r="I109" s="36" t="s">
        <v>33</v>
      </c>
      <c r="J109" s="86" t="s">
        <v>163</v>
      </c>
      <c r="K109" s="160"/>
      <c r="L109" s="160">
        <v>36.9</v>
      </c>
    </row>
    <row r="110" spans="1:12" ht="15" customHeight="1" x14ac:dyDescent="0.25">
      <c r="B110" s="63" t="s">
        <v>15</v>
      </c>
      <c r="C110" s="71" t="s">
        <v>16</v>
      </c>
      <c r="D110" s="64" t="s">
        <v>160</v>
      </c>
      <c r="E110" s="135" t="str">
        <f t="shared" si="1"/>
        <v>Creme Para Maos e Pes Tododia Noz Pecã e Cacau 50ml Frasco</v>
      </c>
      <c r="F110" s="116" t="s">
        <v>165</v>
      </c>
      <c r="G110" s="130"/>
      <c r="H110" s="88" t="s">
        <v>161</v>
      </c>
      <c r="I110" s="36" t="s">
        <v>33</v>
      </c>
      <c r="J110" s="86" t="s">
        <v>166</v>
      </c>
      <c r="K110" s="160"/>
      <c r="L110" s="160">
        <v>36.9</v>
      </c>
    </row>
    <row r="111" spans="1:12" ht="15" customHeight="1" x14ac:dyDescent="0.25">
      <c r="B111" s="63" t="s">
        <v>15</v>
      </c>
      <c r="C111" s="71" t="s">
        <v>16</v>
      </c>
      <c r="D111" s="64" t="s">
        <v>167</v>
      </c>
      <c r="E111" s="135" t="str">
        <f t="shared" si="1"/>
        <v>Sabonete Liquido em Gel Tododia Algodão 300ml Frasco</v>
      </c>
      <c r="F111" s="2" t="s">
        <v>84</v>
      </c>
      <c r="G111" s="130"/>
      <c r="H111" s="141" t="s">
        <v>168</v>
      </c>
      <c r="I111" s="36" t="s">
        <v>33</v>
      </c>
      <c r="J111" s="11" t="s">
        <v>169</v>
      </c>
      <c r="K111" s="3"/>
      <c r="L111" s="3" t="s">
        <v>170</v>
      </c>
    </row>
    <row r="112" spans="1:12" ht="15" customHeight="1" x14ac:dyDescent="0.25">
      <c r="B112" s="63" t="s">
        <v>15</v>
      </c>
      <c r="C112" s="71" t="s">
        <v>16</v>
      </c>
      <c r="D112" s="64" t="s">
        <v>167</v>
      </c>
      <c r="E112" s="135" t="str">
        <f t="shared" si="1"/>
        <v>Sabonete Liquido em Gel Tododia Alecrim e Salvia 300ml Frasco</v>
      </c>
      <c r="F112" s="2" t="s">
        <v>144</v>
      </c>
      <c r="G112" s="130"/>
      <c r="H112" s="141" t="s">
        <v>168</v>
      </c>
      <c r="I112" s="36" t="s">
        <v>33</v>
      </c>
      <c r="J112" s="11" t="s">
        <v>169</v>
      </c>
      <c r="K112" s="3"/>
      <c r="L112" s="3" t="s">
        <v>170</v>
      </c>
    </row>
    <row r="113" spans="2:12" ht="15" customHeight="1" x14ac:dyDescent="0.25">
      <c r="B113" s="63" t="s">
        <v>15</v>
      </c>
      <c r="C113" s="71" t="s">
        <v>16</v>
      </c>
      <c r="D113" s="64" t="s">
        <v>167</v>
      </c>
      <c r="E113" s="135" t="str">
        <f t="shared" si="1"/>
        <v>Sabonete Liquido em Gel Tododia Alecrim e Salvia 390g Frasco</v>
      </c>
      <c r="F113" s="2" t="s">
        <v>144</v>
      </c>
      <c r="G113" s="130"/>
      <c r="H113" s="141" t="s">
        <v>171</v>
      </c>
      <c r="I113" s="36" t="s">
        <v>33</v>
      </c>
      <c r="J113" s="11" t="s">
        <v>169</v>
      </c>
      <c r="K113" s="3"/>
      <c r="L113" s="3" t="s">
        <v>172</v>
      </c>
    </row>
    <row r="114" spans="2:12" ht="15" customHeight="1" x14ac:dyDescent="0.25">
      <c r="B114" s="63" t="s">
        <v>15</v>
      </c>
      <c r="C114" s="71" t="s">
        <v>16</v>
      </c>
      <c r="D114" s="64" t="s">
        <v>167</v>
      </c>
      <c r="E114" s="135" t="str">
        <f t="shared" si="1"/>
        <v>Sabonete Liquido em Gel Tododia Ameixa e Flor de Baunilha 300ml Frasco</v>
      </c>
      <c r="F114" s="3" t="s">
        <v>22</v>
      </c>
      <c r="G114" s="130"/>
      <c r="H114" s="141" t="s">
        <v>168</v>
      </c>
      <c r="I114" s="36" t="s">
        <v>33</v>
      </c>
      <c r="J114" s="11" t="s">
        <v>169</v>
      </c>
      <c r="K114" s="3"/>
      <c r="L114" s="3" t="s">
        <v>170</v>
      </c>
    </row>
    <row r="115" spans="2:12" ht="15" customHeight="1" x14ac:dyDescent="0.25">
      <c r="B115" s="63" t="s">
        <v>15</v>
      </c>
      <c r="C115" s="71" t="s">
        <v>16</v>
      </c>
      <c r="D115" s="64" t="s">
        <v>167</v>
      </c>
      <c r="E115" s="135" t="str">
        <f t="shared" si="1"/>
        <v>Sabonete Liquido em Gel Tododia Amora Vermelha e Jabuticaba 300ml Frasco</v>
      </c>
      <c r="F115" s="3" t="s">
        <v>26</v>
      </c>
      <c r="G115" s="130"/>
      <c r="H115" s="141" t="s">
        <v>168</v>
      </c>
      <c r="I115" s="36" t="s">
        <v>33</v>
      </c>
      <c r="J115" s="11" t="s">
        <v>169</v>
      </c>
      <c r="K115" s="3"/>
      <c r="L115" s="3" t="s">
        <v>170</v>
      </c>
    </row>
    <row r="116" spans="2:12" ht="15" customHeight="1" x14ac:dyDescent="0.25">
      <c r="B116" s="63" t="s">
        <v>15</v>
      </c>
      <c r="C116" s="71" t="s">
        <v>16</v>
      </c>
      <c r="D116" s="64" t="s">
        <v>167</v>
      </c>
      <c r="E116" s="135" t="str">
        <f t="shared" si="1"/>
        <v>Sabonete Liquido em Gel Tododia Cereja e Avelã 300ml Frasco</v>
      </c>
      <c r="F116" s="3" t="s">
        <v>61</v>
      </c>
      <c r="G116" s="130"/>
      <c r="H116" s="141" t="s">
        <v>168</v>
      </c>
      <c r="I116" s="36" t="s">
        <v>33</v>
      </c>
      <c r="J116" s="11" t="s">
        <v>169</v>
      </c>
      <c r="K116" s="3"/>
      <c r="L116" s="3" t="s">
        <v>170</v>
      </c>
    </row>
    <row r="117" spans="2:12" ht="15" customHeight="1" x14ac:dyDescent="0.25">
      <c r="B117" s="63" t="s">
        <v>15</v>
      </c>
      <c r="C117" s="71" t="s">
        <v>16</v>
      </c>
      <c r="D117" s="64" t="s">
        <v>167</v>
      </c>
      <c r="E117" s="135" t="str">
        <f t="shared" si="1"/>
        <v>Sabonete Liquido em Gel Tododia Todonoite 300ml Frasco</v>
      </c>
      <c r="F117" s="2" t="s">
        <v>173</v>
      </c>
      <c r="G117" s="130"/>
      <c r="H117" s="141" t="s">
        <v>168</v>
      </c>
      <c r="I117" s="36" t="s">
        <v>33</v>
      </c>
      <c r="J117" s="11" t="s">
        <v>174</v>
      </c>
      <c r="K117" s="3"/>
      <c r="L117" s="3" t="s">
        <v>170</v>
      </c>
    </row>
    <row r="118" spans="2:12" ht="15" customHeight="1" x14ac:dyDescent="0.25">
      <c r="B118" s="63" t="s">
        <v>15</v>
      </c>
      <c r="C118" s="71" t="s">
        <v>16</v>
      </c>
      <c r="D118" s="64" t="s">
        <v>167</v>
      </c>
      <c r="E118" s="135" t="str">
        <f t="shared" si="1"/>
        <v>Sabonete Liquido em Gel Tododia Flor de Gengibre e Tangerina 300ml Frasco</v>
      </c>
      <c r="F118" s="2" t="s">
        <v>35</v>
      </c>
      <c r="G118" s="130"/>
      <c r="H118" s="141" t="s">
        <v>168</v>
      </c>
      <c r="I118" s="36" t="s">
        <v>33</v>
      </c>
      <c r="J118" s="11" t="s">
        <v>175</v>
      </c>
      <c r="K118" s="3"/>
      <c r="L118" s="3" t="s">
        <v>170</v>
      </c>
    </row>
    <row r="119" spans="2:12" ht="15" customHeight="1" x14ac:dyDescent="0.25">
      <c r="B119" s="63" t="s">
        <v>15</v>
      </c>
      <c r="C119" s="71" t="s">
        <v>16</v>
      </c>
      <c r="D119" s="64" t="s">
        <v>167</v>
      </c>
      <c r="E119" s="135" t="str">
        <f t="shared" si="1"/>
        <v>Sabonete Liquido em Gel Tododia Macadamia 300ml Frasco</v>
      </c>
      <c r="F119" s="2" t="s">
        <v>104</v>
      </c>
      <c r="G119" s="130"/>
      <c r="H119" s="141" t="s">
        <v>168</v>
      </c>
      <c r="I119" s="36" t="s">
        <v>33</v>
      </c>
      <c r="J119" s="11" t="s">
        <v>169</v>
      </c>
      <c r="K119" s="3"/>
      <c r="L119" s="3" t="s">
        <v>170</v>
      </c>
    </row>
    <row r="120" spans="2:12" ht="15" customHeight="1" x14ac:dyDescent="0.25">
      <c r="B120" s="63" t="s">
        <v>15</v>
      </c>
      <c r="C120" s="71" t="s">
        <v>16</v>
      </c>
      <c r="D120" s="66" t="s">
        <v>167</v>
      </c>
      <c r="E120" s="135" t="str">
        <f t="shared" si="1"/>
        <v>Sabonete Liquido em Gel Tododia Noz Pecã e Cacau 300ml Frasco</v>
      </c>
      <c r="F120" s="2" t="s">
        <v>165</v>
      </c>
      <c r="G120" s="130"/>
      <c r="H120" s="141" t="s">
        <v>168</v>
      </c>
      <c r="I120" s="36" t="s">
        <v>33</v>
      </c>
      <c r="J120" s="11" t="s">
        <v>169</v>
      </c>
      <c r="K120" s="3"/>
      <c r="L120" s="3" t="s">
        <v>170</v>
      </c>
    </row>
    <row r="121" spans="2:12" ht="15" customHeight="1" x14ac:dyDescent="0.25">
      <c r="B121" s="63" t="s">
        <v>15</v>
      </c>
      <c r="C121" s="71" t="s">
        <v>16</v>
      </c>
      <c r="D121" s="64" t="s">
        <v>167</v>
      </c>
      <c r="E121" s="135" t="str">
        <f t="shared" si="1"/>
        <v>Sabonete Liquido em Gel Tododia Tamara e Canela 300ml Frasco</v>
      </c>
      <c r="F121" s="2" t="s">
        <v>150</v>
      </c>
      <c r="G121" s="130"/>
      <c r="H121" s="141" t="s">
        <v>168</v>
      </c>
      <c r="I121" s="36" t="s">
        <v>33</v>
      </c>
      <c r="J121" s="11" t="s">
        <v>169</v>
      </c>
      <c r="K121" s="3"/>
      <c r="L121" s="3" t="s">
        <v>170</v>
      </c>
    </row>
    <row r="122" spans="2:12" s="10" customFormat="1" ht="15" customHeight="1" x14ac:dyDescent="0.25">
      <c r="B122" s="63" t="s">
        <v>15</v>
      </c>
      <c r="C122" s="71" t="s">
        <v>16</v>
      </c>
      <c r="D122" s="66" t="s">
        <v>167</v>
      </c>
      <c r="E122" s="135" t="str">
        <f t="shared" si="1"/>
        <v>Sabonete Liquido em Gel Tododia Algodão 300ml Refil</v>
      </c>
      <c r="F122" s="2" t="s">
        <v>84</v>
      </c>
      <c r="G122" s="130"/>
      <c r="H122" s="141" t="s">
        <v>168</v>
      </c>
      <c r="I122" s="36" t="s">
        <v>51</v>
      </c>
      <c r="J122" s="11" t="s">
        <v>169</v>
      </c>
      <c r="K122" s="140"/>
      <c r="L122" s="140" t="s">
        <v>176</v>
      </c>
    </row>
    <row r="123" spans="2:12" s="10" customFormat="1" ht="15" customHeight="1" x14ac:dyDescent="0.25">
      <c r="B123" s="63" t="s">
        <v>15</v>
      </c>
      <c r="C123" s="71" t="s">
        <v>16</v>
      </c>
      <c r="D123" s="66" t="s">
        <v>167</v>
      </c>
      <c r="E123" s="135" t="str">
        <f t="shared" si="1"/>
        <v>Sabonete Liquido em Gel Tododia Alecrim e Salvia 300ml Refil</v>
      </c>
      <c r="F123" s="2" t="s">
        <v>144</v>
      </c>
      <c r="G123" s="130"/>
      <c r="H123" s="141" t="s">
        <v>168</v>
      </c>
      <c r="I123" s="36" t="s">
        <v>51</v>
      </c>
      <c r="J123" s="11" t="s">
        <v>169</v>
      </c>
      <c r="K123" s="140"/>
      <c r="L123" s="140" t="s">
        <v>176</v>
      </c>
    </row>
    <row r="124" spans="2:12" s="10" customFormat="1" ht="15" customHeight="1" x14ac:dyDescent="0.25">
      <c r="B124" s="63" t="s">
        <v>15</v>
      </c>
      <c r="C124" s="71" t="s">
        <v>16</v>
      </c>
      <c r="D124" s="66" t="s">
        <v>167</v>
      </c>
      <c r="E124" s="135" t="str">
        <f t="shared" si="1"/>
        <v>Sabonete Liquido em Gel Tododia Alecrim e Salvia 300ml Refil</v>
      </c>
      <c r="F124" s="2" t="s">
        <v>144</v>
      </c>
      <c r="G124" s="130"/>
      <c r="H124" s="141" t="s">
        <v>168</v>
      </c>
      <c r="I124" s="36" t="s">
        <v>51</v>
      </c>
      <c r="J124" s="11" t="s">
        <v>177</v>
      </c>
      <c r="K124" s="164"/>
      <c r="L124" s="164">
        <v>58.9</v>
      </c>
    </row>
    <row r="125" spans="2:12" s="10" customFormat="1" ht="15" customHeight="1" x14ac:dyDescent="0.25">
      <c r="B125" s="63" t="s">
        <v>15</v>
      </c>
      <c r="C125" s="71" t="s">
        <v>16</v>
      </c>
      <c r="D125" s="66" t="s">
        <v>167</v>
      </c>
      <c r="E125" s="135" t="str">
        <f t="shared" si="1"/>
        <v>Sabonete Liquido em Gel Tododia Ameixa e Flor de Baunilha 300ml Refil</v>
      </c>
      <c r="F125" s="3" t="s">
        <v>22</v>
      </c>
      <c r="G125" s="130"/>
      <c r="H125" s="141" t="s">
        <v>168</v>
      </c>
      <c r="I125" s="36" t="s">
        <v>51</v>
      </c>
      <c r="J125" s="11" t="s">
        <v>169</v>
      </c>
      <c r="K125" s="140"/>
      <c r="L125" s="140" t="s">
        <v>176</v>
      </c>
    </row>
    <row r="126" spans="2:12" s="10" customFormat="1" ht="15" customHeight="1" x14ac:dyDescent="0.25">
      <c r="B126" s="63" t="s">
        <v>15</v>
      </c>
      <c r="C126" s="71" t="s">
        <v>16</v>
      </c>
      <c r="D126" s="66" t="s">
        <v>167</v>
      </c>
      <c r="E126" s="135" t="str">
        <f t="shared" si="1"/>
        <v>Sabonete Liquido em Gel Tododia Amora Vermelha e Jabuticaba 300ml Refil</v>
      </c>
      <c r="F126" s="3" t="s">
        <v>26</v>
      </c>
      <c r="G126" s="130"/>
      <c r="H126" s="141" t="s">
        <v>168</v>
      </c>
      <c r="I126" s="36" t="s">
        <v>51</v>
      </c>
      <c r="J126" s="11" t="s">
        <v>169</v>
      </c>
      <c r="K126" s="140"/>
      <c r="L126" s="140" t="s">
        <v>176</v>
      </c>
    </row>
    <row r="127" spans="2:12" s="10" customFormat="1" ht="15" customHeight="1" x14ac:dyDescent="0.25">
      <c r="B127" s="63" t="s">
        <v>15</v>
      </c>
      <c r="C127" s="71" t="s">
        <v>16</v>
      </c>
      <c r="D127" s="66" t="s">
        <v>167</v>
      </c>
      <c r="E127" s="135" t="str">
        <f t="shared" si="1"/>
        <v>Sabonete Liquido em Gel Tododia Cereja e Avelã 300ml Refil</v>
      </c>
      <c r="F127" s="3" t="s">
        <v>61</v>
      </c>
      <c r="G127" s="130"/>
      <c r="H127" s="141" t="s">
        <v>168</v>
      </c>
      <c r="I127" s="36" t="s">
        <v>51</v>
      </c>
      <c r="J127" s="11" t="s">
        <v>169</v>
      </c>
      <c r="K127" s="140"/>
      <c r="L127" s="140" t="s">
        <v>176</v>
      </c>
    </row>
    <row r="128" spans="2:12" s="10" customFormat="1" ht="15" customHeight="1" x14ac:dyDescent="0.25">
      <c r="B128" s="63" t="s">
        <v>15</v>
      </c>
      <c r="C128" s="71" t="s">
        <v>16</v>
      </c>
      <c r="D128" s="66" t="s">
        <v>167</v>
      </c>
      <c r="E128" s="135" t="str">
        <f t="shared" si="1"/>
        <v>Sabonete Liquido em Gel Tododia Todanoite 300ml Refil</v>
      </c>
      <c r="F128" s="2" t="s">
        <v>178</v>
      </c>
      <c r="G128" s="130"/>
      <c r="H128" s="141" t="s">
        <v>168</v>
      </c>
      <c r="I128" s="36" t="s">
        <v>51</v>
      </c>
      <c r="J128" s="12" t="s">
        <v>179</v>
      </c>
      <c r="K128" s="140"/>
      <c r="L128" s="140" t="s">
        <v>176</v>
      </c>
    </row>
    <row r="129" spans="1:12" s="10" customFormat="1" ht="15" customHeight="1" x14ac:dyDescent="0.25">
      <c r="B129" s="63" t="s">
        <v>15</v>
      </c>
      <c r="C129" s="71" t="s">
        <v>16</v>
      </c>
      <c r="D129" s="66" t="s">
        <v>167</v>
      </c>
      <c r="E129" s="135" t="str">
        <f t="shared" si="1"/>
        <v>Sabonete Liquido em Gel Tododia Flor de Gengibre e Tangerina 300ml Refil</v>
      </c>
      <c r="F129" s="2" t="s">
        <v>35</v>
      </c>
      <c r="G129" s="130"/>
      <c r="H129" s="141" t="s">
        <v>168</v>
      </c>
      <c r="I129" s="36" t="s">
        <v>51</v>
      </c>
      <c r="J129" s="11" t="s">
        <v>175</v>
      </c>
      <c r="K129" s="140"/>
      <c r="L129" s="140" t="s">
        <v>176</v>
      </c>
    </row>
    <row r="130" spans="1:12" s="10" customFormat="1" ht="15" customHeight="1" x14ac:dyDescent="0.25">
      <c r="B130" s="63" t="s">
        <v>15</v>
      </c>
      <c r="C130" s="71" t="s">
        <v>16</v>
      </c>
      <c r="D130" s="66" t="s">
        <v>167</v>
      </c>
      <c r="E130" s="135" t="str">
        <f t="shared" ref="E130:E193" si="2">TRIM(CONCATENATE(D130, " ", C130, " ", F130, " ", IF(G130&gt;0, G130 &amp; "x" &amp; H130, H130), " ", I130))</f>
        <v>Sabonete Liquido em Gel Tododia Macadamia 300ml Refil</v>
      </c>
      <c r="F130" s="2" t="s">
        <v>104</v>
      </c>
      <c r="G130" s="130"/>
      <c r="H130" s="141" t="s">
        <v>168</v>
      </c>
      <c r="I130" s="36" t="s">
        <v>51</v>
      </c>
      <c r="J130" s="11" t="s">
        <v>169</v>
      </c>
      <c r="K130" s="140"/>
      <c r="L130" s="140" t="s">
        <v>176</v>
      </c>
    </row>
    <row r="131" spans="1:12" s="10" customFormat="1" ht="15" customHeight="1" x14ac:dyDescent="0.25">
      <c r="B131" s="63" t="s">
        <v>15</v>
      </c>
      <c r="C131" s="71" t="s">
        <v>16</v>
      </c>
      <c r="D131" s="66" t="s">
        <v>167</v>
      </c>
      <c r="E131" s="135" t="str">
        <f t="shared" si="2"/>
        <v>Sabonete Liquido em Gel Tododia Noz Pecã e Cacau 300ml Refil</v>
      </c>
      <c r="F131" s="2" t="s">
        <v>165</v>
      </c>
      <c r="G131" s="130"/>
      <c r="H131" s="141" t="s">
        <v>168</v>
      </c>
      <c r="I131" s="36" t="s">
        <v>51</v>
      </c>
      <c r="J131" s="11" t="s">
        <v>169</v>
      </c>
      <c r="K131" s="140"/>
      <c r="L131" s="140" t="s">
        <v>176</v>
      </c>
    </row>
    <row r="132" spans="1:12" s="10" customFormat="1" ht="15" customHeight="1" x14ac:dyDescent="0.25">
      <c r="B132" s="63" t="s">
        <v>15</v>
      </c>
      <c r="C132" s="71" t="s">
        <v>16</v>
      </c>
      <c r="D132" s="66" t="s">
        <v>167</v>
      </c>
      <c r="E132" s="135" t="str">
        <f t="shared" si="2"/>
        <v>Sabonete Liquido em Gel Tododia Tamara e Canela 300ml Refil</v>
      </c>
      <c r="F132" s="2" t="s">
        <v>150</v>
      </c>
      <c r="G132" s="130"/>
      <c r="H132" s="141" t="s">
        <v>168</v>
      </c>
      <c r="I132" s="36" t="s">
        <v>51</v>
      </c>
      <c r="J132" s="11" t="s">
        <v>169</v>
      </c>
      <c r="K132" s="140"/>
      <c r="L132" s="140" t="s">
        <v>176</v>
      </c>
    </row>
    <row r="133" spans="1:12" s="10" customFormat="1" ht="15" customHeight="1" x14ac:dyDescent="0.25">
      <c r="A133" t="s">
        <v>180</v>
      </c>
      <c r="B133" s="63" t="s">
        <v>15</v>
      </c>
      <c r="C133" s="71" t="s">
        <v>16</v>
      </c>
      <c r="D133" s="64" t="s">
        <v>181</v>
      </c>
      <c r="E133" s="135" t="str">
        <f t="shared" si="2"/>
        <v>Sabonete em Barra Tododia Todonoite 5x80g Caixa</v>
      </c>
      <c r="F133" s="9" t="s">
        <v>173</v>
      </c>
      <c r="G133" s="130">
        <v>5</v>
      </c>
      <c r="H133" s="56" t="s">
        <v>154</v>
      </c>
      <c r="I133" s="89" t="s">
        <v>82</v>
      </c>
      <c r="J133" s="11" t="s">
        <v>182</v>
      </c>
      <c r="K133" s="164"/>
      <c r="L133" s="164">
        <v>19.899999999999999</v>
      </c>
    </row>
    <row r="134" spans="1:12" s="10" customFormat="1" ht="15" customHeight="1" x14ac:dyDescent="0.25">
      <c r="B134" s="63" t="s">
        <v>15</v>
      </c>
      <c r="C134" s="71" t="s">
        <v>16</v>
      </c>
      <c r="D134" s="64" t="s">
        <v>183</v>
      </c>
      <c r="E134" s="135" t="str">
        <f t="shared" si="2"/>
        <v>Sabonete em Barra Tododia Flor de Gengibre e Tangerina 5x80g Caixa</v>
      </c>
      <c r="F134" s="9" t="s">
        <v>35</v>
      </c>
      <c r="G134" s="130">
        <v>5</v>
      </c>
      <c r="H134" s="56" t="s">
        <v>154</v>
      </c>
      <c r="I134" s="89" t="s">
        <v>82</v>
      </c>
      <c r="J134" s="11" t="s">
        <v>175</v>
      </c>
      <c r="K134" s="164"/>
      <c r="L134" s="164">
        <v>19.899999999999999</v>
      </c>
    </row>
    <row r="135" spans="1:12" s="10" customFormat="1" ht="15" customHeight="1" x14ac:dyDescent="0.25">
      <c r="B135" s="63" t="s">
        <v>15</v>
      </c>
      <c r="C135" s="71" t="s">
        <v>16</v>
      </c>
      <c r="D135" s="64" t="s">
        <v>184</v>
      </c>
      <c r="E135" s="135" t="str">
        <f t="shared" si="2"/>
        <v>Body Splash Tododia Algodão 200ml Frasco</v>
      </c>
      <c r="F135" s="9" t="s">
        <v>84</v>
      </c>
      <c r="G135" s="130"/>
      <c r="H135" s="11" t="s">
        <v>32</v>
      </c>
      <c r="I135" s="33" t="s">
        <v>33</v>
      </c>
      <c r="J135" s="9" t="s">
        <v>185</v>
      </c>
      <c r="K135" s="165"/>
      <c r="L135" s="165">
        <v>87.9</v>
      </c>
    </row>
    <row r="136" spans="1:12" ht="15.75" customHeight="1" x14ac:dyDescent="0.25">
      <c r="B136" s="63" t="s">
        <v>15</v>
      </c>
      <c r="C136" s="71" t="s">
        <v>16</v>
      </c>
      <c r="D136" s="64" t="s">
        <v>184</v>
      </c>
      <c r="E136" s="135" t="str">
        <f t="shared" si="2"/>
        <v>Body Splash Tododia Ameixa e Flor de Baunilha 200ml Frasco</v>
      </c>
      <c r="F136" s="3" t="s">
        <v>22</v>
      </c>
      <c r="G136" s="130"/>
      <c r="H136" s="11" t="s">
        <v>32</v>
      </c>
      <c r="I136" s="33" t="s">
        <v>33</v>
      </c>
      <c r="J136" s="11" t="s">
        <v>186</v>
      </c>
      <c r="K136" s="165"/>
      <c r="L136" s="165">
        <v>87.9</v>
      </c>
    </row>
    <row r="137" spans="1:12" ht="15.75" customHeight="1" x14ac:dyDescent="0.25">
      <c r="B137" s="63" t="s">
        <v>15</v>
      </c>
      <c r="C137" s="71" t="s">
        <v>16</v>
      </c>
      <c r="D137" s="64" t="s">
        <v>184</v>
      </c>
      <c r="E137" s="135" t="str">
        <f t="shared" si="2"/>
        <v>Body Splash Tododia Amora Vermelha e Jabuticaba 200ml Frasco</v>
      </c>
      <c r="F137" s="3" t="s">
        <v>90</v>
      </c>
      <c r="G137" s="130"/>
      <c r="H137" s="11" t="s">
        <v>32</v>
      </c>
      <c r="I137" s="33" t="s">
        <v>33</v>
      </c>
      <c r="J137" s="11" t="s">
        <v>187</v>
      </c>
      <c r="K137" s="165"/>
      <c r="L137" s="165">
        <v>87.9</v>
      </c>
    </row>
    <row r="138" spans="1:12" ht="15.75" customHeight="1" x14ac:dyDescent="0.25">
      <c r="B138" s="63" t="s">
        <v>15</v>
      </c>
      <c r="C138" s="71" t="s">
        <v>16</v>
      </c>
      <c r="D138" s="64" t="s">
        <v>184</v>
      </c>
      <c r="E138" s="135" t="str">
        <f t="shared" si="2"/>
        <v>Body Splash Tododia Cereja Negra e Pranilé 200ml Frasco</v>
      </c>
      <c r="F138" s="3" t="s">
        <v>93</v>
      </c>
      <c r="G138" s="130"/>
      <c r="H138" s="11" t="s">
        <v>32</v>
      </c>
      <c r="I138" s="33" t="s">
        <v>33</v>
      </c>
      <c r="J138" s="11" t="s">
        <v>188</v>
      </c>
      <c r="K138" s="165"/>
      <c r="L138" s="165">
        <v>87.9</v>
      </c>
    </row>
    <row r="139" spans="1:12" ht="15" customHeight="1" x14ac:dyDescent="0.25">
      <c r="B139" s="63" t="s">
        <v>15</v>
      </c>
      <c r="C139" s="71" t="s">
        <v>16</v>
      </c>
      <c r="D139" s="64" t="s">
        <v>184</v>
      </c>
      <c r="E139" s="135" t="str">
        <f t="shared" si="2"/>
        <v>Body Splash Tododia Cereja e Avelã 200ml Frasco</v>
      </c>
      <c r="F139" s="2" t="s">
        <v>61</v>
      </c>
      <c r="G139" s="130"/>
      <c r="H139" s="11" t="s">
        <v>32</v>
      </c>
      <c r="I139" s="33" t="s">
        <v>33</v>
      </c>
      <c r="J139" s="11" t="s">
        <v>189</v>
      </c>
      <c r="K139" s="165"/>
      <c r="L139" s="165">
        <v>87.9</v>
      </c>
    </row>
    <row r="140" spans="1:12" ht="15" customHeight="1" x14ac:dyDescent="0.25">
      <c r="B140" s="63" t="s">
        <v>15</v>
      </c>
      <c r="C140" s="71" t="s">
        <v>16</v>
      </c>
      <c r="D140" s="64" t="s">
        <v>184</v>
      </c>
      <c r="E140" s="135" t="str">
        <f t="shared" si="2"/>
        <v>Body Splash Tododia Cha Camomila e Lavanda 200ml Frasco</v>
      </c>
      <c r="F140" s="2" t="s">
        <v>190</v>
      </c>
      <c r="G140" s="130"/>
      <c r="H140" s="11" t="s">
        <v>32</v>
      </c>
      <c r="I140" s="33" t="s">
        <v>33</v>
      </c>
      <c r="J140" s="12" t="s">
        <v>191</v>
      </c>
      <c r="K140" s="165"/>
      <c r="L140" s="165">
        <v>87.9</v>
      </c>
    </row>
    <row r="141" spans="1:12" ht="15" customHeight="1" x14ac:dyDescent="0.25">
      <c r="B141" s="63" t="s">
        <v>15</v>
      </c>
      <c r="C141" s="71" t="s">
        <v>16</v>
      </c>
      <c r="D141" s="64" t="s">
        <v>184</v>
      </c>
      <c r="E141" s="135" t="str">
        <f t="shared" si="2"/>
        <v>Body Splash Tododia Flor de Pera e Melissa 200ml Frasco</v>
      </c>
      <c r="F141" s="2" t="s">
        <v>38</v>
      </c>
      <c r="G141" s="130"/>
      <c r="H141" s="11" t="s">
        <v>32</v>
      </c>
      <c r="I141" s="33" t="s">
        <v>33</v>
      </c>
      <c r="J141" s="11" t="s">
        <v>192</v>
      </c>
      <c r="K141" s="165"/>
      <c r="L141" s="165">
        <v>87.9</v>
      </c>
    </row>
    <row r="142" spans="1:12" ht="15" customHeight="1" x14ac:dyDescent="0.25">
      <c r="B142" s="63" t="s">
        <v>15</v>
      </c>
      <c r="C142" s="71" t="s">
        <v>16</v>
      </c>
      <c r="D142" s="64" t="s">
        <v>184</v>
      </c>
      <c r="E142" s="135" t="str">
        <f t="shared" si="2"/>
        <v>Body Splash Tododia Flor de Gengibre e Tangerina 200ml Frasco</v>
      </c>
      <c r="F142" s="2" t="s">
        <v>35</v>
      </c>
      <c r="G142" s="130"/>
      <c r="H142" s="11" t="s">
        <v>32</v>
      </c>
      <c r="I142" s="33" t="s">
        <v>33</v>
      </c>
      <c r="J142" s="2" t="s">
        <v>193</v>
      </c>
      <c r="K142" s="165"/>
      <c r="L142" s="165">
        <v>87.9</v>
      </c>
    </row>
    <row r="143" spans="1:12" ht="15" customHeight="1" x14ac:dyDescent="0.25">
      <c r="B143" s="63" t="s">
        <v>15</v>
      </c>
      <c r="C143" s="71" t="s">
        <v>16</v>
      </c>
      <c r="D143" s="64" t="s">
        <v>184</v>
      </c>
      <c r="E143" s="135" t="str">
        <f t="shared" si="2"/>
        <v>Body Splash Tododia Frambuesa e Pimenta Vermelha 200ml Frasco</v>
      </c>
      <c r="F143" s="2" t="s">
        <v>194</v>
      </c>
      <c r="G143" s="130"/>
      <c r="H143" s="11" t="s">
        <v>32</v>
      </c>
      <c r="I143" s="33" t="s">
        <v>33</v>
      </c>
      <c r="J143" s="2" t="s">
        <v>187</v>
      </c>
      <c r="K143" s="165"/>
      <c r="L143" s="165">
        <v>87.9</v>
      </c>
    </row>
    <row r="144" spans="1:12" ht="15" customHeight="1" x14ac:dyDescent="0.25">
      <c r="B144" s="63" t="s">
        <v>15</v>
      </c>
      <c r="C144" s="71" t="s">
        <v>16</v>
      </c>
      <c r="D144" s="64" t="s">
        <v>184</v>
      </c>
      <c r="E144" s="135" t="str">
        <f t="shared" si="2"/>
        <v>Body Splash Tododia Jambo Rosa e Flor De Caju 200ml Frasco</v>
      </c>
      <c r="F144" s="2" t="s">
        <v>40</v>
      </c>
      <c r="G144" s="130"/>
      <c r="H144" s="11" t="s">
        <v>32</v>
      </c>
      <c r="I144" s="33" t="s">
        <v>33</v>
      </c>
      <c r="J144" s="2" t="s">
        <v>195</v>
      </c>
      <c r="K144" s="165"/>
      <c r="L144" s="165">
        <v>87.9</v>
      </c>
    </row>
    <row r="145" spans="2:12" ht="15" customHeight="1" x14ac:dyDescent="0.25">
      <c r="B145" s="63" t="s">
        <v>15</v>
      </c>
      <c r="C145" s="71" t="s">
        <v>16</v>
      </c>
      <c r="D145" s="64" t="s">
        <v>184</v>
      </c>
      <c r="E145" s="135" t="str">
        <f t="shared" si="2"/>
        <v>Body Splash Tododia Maça Caramelada e Baunilha 200ml Frasco</v>
      </c>
      <c r="F145" s="2" t="s">
        <v>43</v>
      </c>
      <c r="G145" s="130"/>
      <c r="H145" s="11" t="s">
        <v>32</v>
      </c>
      <c r="I145" s="33" t="s">
        <v>33</v>
      </c>
      <c r="J145" s="120" t="s">
        <v>196</v>
      </c>
      <c r="K145" s="165"/>
      <c r="L145" s="165">
        <v>87.9</v>
      </c>
    </row>
    <row r="146" spans="2:12" ht="15" customHeight="1" x14ac:dyDescent="0.25">
      <c r="B146" s="63" t="s">
        <v>15</v>
      </c>
      <c r="C146" s="71" t="s">
        <v>16</v>
      </c>
      <c r="D146" s="64" t="s">
        <v>184</v>
      </c>
      <c r="E146" s="135" t="str">
        <f t="shared" si="2"/>
        <v>Body Splash Tododia Noz pecã e cacau 200ml Frasco</v>
      </c>
      <c r="F146" s="2" t="s">
        <v>197</v>
      </c>
      <c r="G146" s="130"/>
      <c r="H146" s="11" t="s">
        <v>32</v>
      </c>
      <c r="I146" s="33" t="s">
        <v>33</v>
      </c>
      <c r="J146" s="2"/>
      <c r="K146" s="165"/>
      <c r="L146" s="165">
        <v>87.9</v>
      </c>
    </row>
    <row r="147" spans="2:12" ht="15" customHeight="1" x14ac:dyDescent="0.25">
      <c r="B147" s="63" t="s">
        <v>15</v>
      </c>
      <c r="C147" s="71" t="s">
        <v>16</v>
      </c>
      <c r="D147" s="64" t="s">
        <v>184</v>
      </c>
      <c r="E147" s="135" t="str">
        <f t="shared" si="2"/>
        <v>Body Splash Tododia Romã e Flor de Amora 200ml Frasco</v>
      </c>
      <c r="F147" s="2" t="s">
        <v>48</v>
      </c>
      <c r="G147" s="130"/>
      <c r="H147" s="11" t="s">
        <v>32</v>
      </c>
      <c r="I147" s="33" t="s">
        <v>33</v>
      </c>
      <c r="J147" s="2" t="s">
        <v>198</v>
      </c>
      <c r="K147" s="165"/>
      <c r="L147" s="165">
        <v>87.9</v>
      </c>
    </row>
    <row r="148" spans="2:12" ht="15" customHeight="1" x14ac:dyDescent="0.25">
      <c r="B148" s="63" t="s">
        <v>15</v>
      </c>
      <c r="C148" s="71" t="s">
        <v>16</v>
      </c>
      <c r="D148" s="64" t="s">
        <v>199</v>
      </c>
      <c r="E148" s="135" t="str">
        <f t="shared" si="2"/>
        <v>Spray de Ambientes Tododia Todanoite 200ml Frasco</v>
      </c>
      <c r="F148" s="2" t="s">
        <v>178</v>
      </c>
      <c r="G148" s="130"/>
      <c r="H148" s="11" t="s">
        <v>32</v>
      </c>
      <c r="I148" s="33" t="s">
        <v>33</v>
      </c>
      <c r="J148" s="120" t="s">
        <v>200</v>
      </c>
      <c r="K148" s="166"/>
      <c r="L148" s="166">
        <v>83.9</v>
      </c>
    </row>
    <row r="149" spans="2:12" ht="15" customHeight="1" x14ac:dyDescent="0.25">
      <c r="B149" s="63" t="s">
        <v>15</v>
      </c>
      <c r="C149" s="71" t="s">
        <v>16</v>
      </c>
      <c r="D149" s="64" t="s">
        <v>199</v>
      </c>
      <c r="E149" s="135" t="str">
        <f t="shared" si="2"/>
        <v>Spray de Ambientes Tododia Todanoite 200ml Refil</v>
      </c>
      <c r="F149" s="2" t="s">
        <v>178</v>
      </c>
      <c r="G149" s="130"/>
      <c r="H149" s="11" t="s">
        <v>32</v>
      </c>
      <c r="I149" s="33" t="s">
        <v>201</v>
      </c>
      <c r="J149" s="140" t="s">
        <v>202</v>
      </c>
      <c r="K149" s="166"/>
      <c r="L149" s="166">
        <v>58.9</v>
      </c>
    </row>
    <row r="150" spans="2:12" ht="15" customHeight="1" x14ac:dyDescent="0.25">
      <c r="B150" s="63" t="s">
        <v>15</v>
      </c>
      <c r="C150" s="71" t="s">
        <v>16</v>
      </c>
      <c r="D150" s="64" t="s">
        <v>203</v>
      </c>
      <c r="E150" s="135" t="str">
        <f t="shared" si="2"/>
        <v>Shampoo Tododia Amora e Oleo De Coco 300ml Frasco</v>
      </c>
      <c r="F150" s="2" t="s">
        <v>204</v>
      </c>
      <c r="G150" s="130"/>
      <c r="H150" s="2" t="s">
        <v>168</v>
      </c>
      <c r="I150" s="33" t="s">
        <v>33</v>
      </c>
      <c r="J150" s="120" t="s">
        <v>205</v>
      </c>
      <c r="K150" s="2"/>
      <c r="L150" s="2" t="s">
        <v>206</v>
      </c>
    </row>
    <row r="151" spans="2:12" ht="15" customHeight="1" x14ac:dyDescent="0.25">
      <c r="B151" s="63" t="s">
        <v>15</v>
      </c>
      <c r="C151" s="71" t="s">
        <v>16</v>
      </c>
      <c r="D151" s="64" t="s">
        <v>203</v>
      </c>
      <c r="E151" s="135" t="str">
        <f t="shared" si="2"/>
        <v>Shampoo Tododia Flor de Cereja e Abacate 300ml Frasco</v>
      </c>
      <c r="F151" s="2" t="s">
        <v>207</v>
      </c>
      <c r="G151" s="130"/>
      <c r="H151" s="2" t="s">
        <v>168</v>
      </c>
      <c r="I151" s="33" t="s">
        <v>33</v>
      </c>
      <c r="J151" s="11" t="s">
        <v>208</v>
      </c>
      <c r="K151" s="2"/>
      <c r="L151" s="2" t="s">
        <v>206</v>
      </c>
    </row>
    <row r="152" spans="2:12" ht="15" customHeight="1" x14ac:dyDescent="0.25">
      <c r="B152" s="63" t="s">
        <v>15</v>
      </c>
      <c r="C152" s="117" t="s">
        <v>16</v>
      </c>
      <c r="D152" s="64" t="s">
        <v>203</v>
      </c>
      <c r="E152" s="135" t="str">
        <f t="shared" si="2"/>
        <v>Shampoo Tododia Maçã Verde e Aloe Vera 300ml Frasco</v>
      </c>
      <c r="F152" s="2" t="s">
        <v>209</v>
      </c>
      <c r="G152" s="130"/>
      <c r="H152" s="2" t="s">
        <v>168</v>
      </c>
      <c r="I152" s="33" t="s">
        <v>33</v>
      </c>
      <c r="J152" s="2" t="s">
        <v>210</v>
      </c>
      <c r="K152" s="2"/>
      <c r="L152" s="2" t="s">
        <v>206</v>
      </c>
    </row>
    <row r="153" spans="2:12" ht="15" customHeight="1" x14ac:dyDescent="0.25">
      <c r="B153" s="63" t="s">
        <v>15</v>
      </c>
      <c r="C153" s="117" t="s">
        <v>16</v>
      </c>
      <c r="D153" s="64" t="s">
        <v>203</v>
      </c>
      <c r="E153" s="135" t="str">
        <f t="shared" si="2"/>
        <v>Shampoo Tododia Pessego e Amendoa 300ml Frasco</v>
      </c>
      <c r="F153" s="120" t="s">
        <v>211</v>
      </c>
      <c r="G153" s="130"/>
      <c r="H153" s="2" t="s">
        <v>168</v>
      </c>
      <c r="I153" s="33" t="s">
        <v>33</v>
      </c>
      <c r="J153" s="120" t="s">
        <v>212</v>
      </c>
      <c r="K153" s="2"/>
      <c r="L153" s="2" t="s">
        <v>206</v>
      </c>
    </row>
    <row r="154" spans="2:12" ht="15" customHeight="1" x14ac:dyDescent="0.25">
      <c r="B154" s="63" t="s">
        <v>15</v>
      </c>
      <c r="C154" s="117" t="s">
        <v>16</v>
      </c>
      <c r="D154" s="64" t="s">
        <v>203</v>
      </c>
      <c r="E154" s="135" t="str">
        <f t="shared" si="2"/>
        <v>Shampoo Tododia Amora e Oleo De Coco 300ml Refil</v>
      </c>
      <c r="F154" s="2" t="s">
        <v>204</v>
      </c>
      <c r="G154" s="130"/>
      <c r="H154" s="2" t="s">
        <v>168</v>
      </c>
      <c r="I154" s="33" t="s">
        <v>201</v>
      </c>
      <c r="J154" s="120" t="s">
        <v>205</v>
      </c>
      <c r="K154" s="167"/>
      <c r="L154" s="167">
        <v>26.9</v>
      </c>
    </row>
    <row r="155" spans="2:12" ht="15" customHeight="1" x14ac:dyDescent="0.25">
      <c r="B155" s="63" t="s">
        <v>15</v>
      </c>
      <c r="C155" s="117" t="s">
        <v>16</v>
      </c>
      <c r="D155" s="64" t="s">
        <v>203</v>
      </c>
      <c r="E155" s="135" t="str">
        <f t="shared" si="2"/>
        <v>Shampoo Tododia Flor de Cereja e Abacate 300ml Refil</v>
      </c>
      <c r="F155" s="2" t="s">
        <v>207</v>
      </c>
      <c r="G155" s="130"/>
      <c r="H155" s="2" t="s">
        <v>168</v>
      </c>
      <c r="I155" s="33" t="s">
        <v>201</v>
      </c>
      <c r="J155" s="11" t="s">
        <v>208</v>
      </c>
      <c r="K155" s="167"/>
      <c r="L155" s="167">
        <v>26.9</v>
      </c>
    </row>
    <row r="156" spans="2:12" ht="15" customHeight="1" x14ac:dyDescent="0.25">
      <c r="B156" s="63" t="s">
        <v>15</v>
      </c>
      <c r="C156" s="117" t="s">
        <v>16</v>
      </c>
      <c r="D156" s="64" t="s">
        <v>203</v>
      </c>
      <c r="E156" s="135" t="str">
        <f t="shared" si="2"/>
        <v>Shampoo Tododia Maçã Verde e Aloe Vera 300ml Refil</v>
      </c>
      <c r="F156" s="2" t="s">
        <v>209</v>
      </c>
      <c r="G156" s="130"/>
      <c r="H156" s="2" t="s">
        <v>168</v>
      </c>
      <c r="I156" s="33" t="s">
        <v>201</v>
      </c>
      <c r="J156" s="2" t="s">
        <v>210</v>
      </c>
      <c r="K156" s="167"/>
      <c r="L156" s="167">
        <v>26.9</v>
      </c>
    </row>
    <row r="157" spans="2:12" ht="15" customHeight="1" x14ac:dyDescent="0.25">
      <c r="B157" s="63" t="s">
        <v>15</v>
      </c>
      <c r="C157" s="117" t="s">
        <v>16</v>
      </c>
      <c r="D157" s="64" t="s">
        <v>203</v>
      </c>
      <c r="E157" s="135" t="str">
        <f t="shared" si="2"/>
        <v>Shampoo Tododia Pessego e Amendoa 300ml Refil</v>
      </c>
      <c r="F157" s="120" t="s">
        <v>211</v>
      </c>
      <c r="G157" s="130"/>
      <c r="H157" s="2" t="s">
        <v>168</v>
      </c>
      <c r="I157" s="33" t="s">
        <v>201</v>
      </c>
      <c r="J157" s="120" t="s">
        <v>212</v>
      </c>
      <c r="K157" s="167"/>
      <c r="L157" s="167">
        <v>26.9</v>
      </c>
    </row>
    <row r="158" spans="2:12" ht="15" customHeight="1" x14ac:dyDescent="0.25">
      <c r="B158" s="63" t="s">
        <v>15</v>
      </c>
      <c r="C158" s="117" t="s">
        <v>16</v>
      </c>
      <c r="D158" s="118" t="s">
        <v>213</v>
      </c>
      <c r="E158" s="135" t="str">
        <f t="shared" si="2"/>
        <v>Condicionador Tododia Amora e Oleo De Coco 280ml Frasco</v>
      </c>
      <c r="F158" s="120" t="s">
        <v>204</v>
      </c>
      <c r="G158" s="130"/>
      <c r="H158" s="120" t="s">
        <v>214</v>
      </c>
      <c r="I158" s="125" t="s">
        <v>33</v>
      </c>
      <c r="J158" s="120" t="s">
        <v>215</v>
      </c>
      <c r="K158" s="158"/>
      <c r="L158" s="158">
        <v>35.9</v>
      </c>
    </row>
    <row r="159" spans="2:12" ht="15" customHeight="1" x14ac:dyDescent="0.25">
      <c r="B159" s="63" t="s">
        <v>15</v>
      </c>
      <c r="C159" s="117" t="s">
        <v>16</v>
      </c>
      <c r="D159" s="118" t="s">
        <v>213</v>
      </c>
      <c r="E159" s="135" t="str">
        <f t="shared" si="2"/>
        <v>Condicionador Tododia Flor de Cereja e Abacate 280ml Frasco</v>
      </c>
      <c r="F159" s="120" t="s">
        <v>207</v>
      </c>
      <c r="G159" s="130"/>
      <c r="H159" s="120" t="s">
        <v>214</v>
      </c>
      <c r="I159" s="125" t="s">
        <v>33</v>
      </c>
      <c r="J159" s="11" t="s">
        <v>216</v>
      </c>
      <c r="K159" s="158"/>
      <c r="L159" s="158">
        <v>35.9</v>
      </c>
    </row>
    <row r="160" spans="2:12" ht="15" customHeight="1" x14ac:dyDescent="0.25">
      <c r="B160" s="63" t="s">
        <v>15</v>
      </c>
      <c r="C160" s="117" t="s">
        <v>16</v>
      </c>
      <c r="D160" s="118" t="s">
        <v>213</v>
      </c>
      <c r="E160" s="135" t="str">
        <f t="shared" si="2"/>
        <v>Condicionador Tododia Maçã Verde e Aloe Vera 280ml Frasco</v>
      </c>
      <c r="F160" s="120" t="s">
        <v>209</v>
      </c>
      <c r="G160" s="130"/>
      <c r="H160" s="120" t="s">
        <v>214</v>
      </c>
      <c r="I160" s="125" t="s">
        <v>33</v>
      </c>
      <c r="J160" s="2" t="s">
        <v>217</v>
      </c>
      <c r="K160" s="158"/>
      <c r="L160" s="158">
        <v>35.9</v>
      </c>
    </row>
    <row r="161" spans="2:12" ht="15" customHeight="1" x14ac:dyDescent="0.25">
      <c r="B161" s="63" t="s">
        <v>15</v>
      </c>
      <c r="C161" s="117" t="s">
        <v>16</v>
      </c>
      <c r="D161" s="118" t="s">
        <v>213</v>
      </c>
      <c r="E161" s="135" t="str">
        <f t="shared" si="2"/>
        <v>Condicionador Tododia Pessego e Amendoa 280ml Frasco</v>
      </c>
      <c r="F161" s="120" t="s">
        <v>211</v>
      </c>
      <c r="G161" s="130"/>
      <c r="H161" s="120" t="s">
        <v>214</v>
      </c>
      <c r="I161" s="125" t="s">
        <v>33</v>
      </c>
      <c r="J161" s="120" t="s">
        <v>218</v>
      </c>
      <c r="K161" s="158"/>
      <c r="L161" s="158">
        <v>35.9</v>
      </c>
    </row>
    <row r="162" spans="2:12" ht="15" customHeight="1" x14ac:dyDescent="0.25">
      <c r="B162" s="63" t="s">
        <v>15</v>
      </c>
      <c r="C162" s="117" t="s">
        <v>16</v>
      </c>
      <c r="D162" s="118" t="s">
        <v>213</v>
      </c>
      <c r="E162" s="135" t="str">
        <f t="shared" si="2"/>
        <v>Condicionador Tododia Amora e Oleo De Coco 280ml Refil</v>
      </c>
      <c r="F162" s="120" t="s">
        <v>204</v>
      </c>
      <c r="G162" s="130"/>
      <c r="H162" s="120" t="s">
        <v>214</v>
      </c>
      <c r="I162" s="125" t="s">
        <v>201</v>
      </c>
      <c r="J162" s="120" t="s">
        <v>215</v>
      </c>
      <c r="K162" s="158"/>
      <c r="L162" s="158">
        <v>27.9</v>
      </c>
    </row>
    <row r="163" spans="2:12" ht="15" customHeight="1" x14ac:dyDescent="0.25">
      <c r="B163" s="63" t="s">
        <v>15</v>
      </c>
      <c r="C163" s="117" t="s">
        <v>16</v>
      </c>
      <c r="D163" s="118" t="s">
        <v>213</v>
      </c>
      <c r="E163" s="135" t="str">
        <f t="shared" si="2"/>
        <v>Condicionador Tododia Flor de Cereja e Abacate 280ml Refil</v>
      </c>
      <c r="F163" s="120" t="s">
        <v>207</v>
      </c>
      <c r="G163" s="130"/>
      <c r="H163" s="120" t="s">
        <v>214</v>
      </c>
      <c r="I163" s="125" t="s">
        <v>201</v>
      </c>
      <c r="J163" s="11" t="s">
        <v>216</v>
      </c>
      <c r="K163" s="158"/>
      <c r="L163" s="158">
        <v>27.9</v>
      </c>
    </row>
    <row r="164" spans="2:12" ht="15" customHeight="1" x14ac:dyDescent="0.25">
      <c r="B164" s="63" t="s">
        <v>15</v>
      </c>
      <c r="C164" s="117" t="s">
        <v>16</v>
      </c>
      <c r="D164" s="118" t="s">
        <v>213</v>
      </c>
      <c r="E164" s="135" t="str">
        <f t="shared" si="2"/>
        <v>Condicionador Tododia Maçã Verde e Aloe Vera 280ml Refil</v>
      </c>
      <c r="F164" s="120" t="s">
        <v>209</v>
      </c>
      <c r="G164" s="130"/>
      <c r="H164" s="120" t="s">
        <v>214</v>
      </c>
      <c r="I164" s="125" t="s">
        <v>201</v>
      </c>
      <c r="J164" s="2" t="s">
        <v>217</v>
      </c>
      <c r="K164" s="158"/>
      <c r="L164" s="158">
        <v>27.9</v>
      </c>
    </row>
    <row r="165" spans="2:12" ht="15" customHeight="1" x14ac:dyDescent="0.25">
      <c r="B165" s="63" t="s">
        <v>15</v>
      </c>
      <c r="C165" s="117" t="s">
        <v>16</v>
      </c>
      <c r="D165" s="118" t="s">
        <v>213</v>
      </c>
      <c r="E165" s="135" t="str">
        <f t="shared" si="2"/>
        <v>Condicionador Tododia Pessego e Amendoa 280ml Refil</v>
      </c>
      <c r="F165" s="120" t="s">
        <v>211</v>
      </c>
      <c r="G165" s="130"/>
      <c r="H165" s="120" t="s">
        <v>214</v>
      </c>
      <c r="I165" s="125" t="s">
        <v>201</v>
      </c>
      <c r="J165" s="120" t="s">
        <v>218</v>
      </c>
      <c r="K165" s="158"/>
      <c r="L165" s="158">
        <v>27.9</v>
      </c>
    </row>
    <row r="166" spans="2:12" ht="15" customHeight="1" x14ac:dyDescent="0.25">
      <c r="B166" s="63" t="s">
        <v>15</v>
      </c>
      <c r="C166" s="117" t="s">
        <v>16</v>
      </c>
      <c r="D166" s="118" t="s">
        <v>219</v>
      </c>
      <c r="E166" s="135" t="str">
        <f t="shared" si="2"/>
        <v>Mascara Concentrada Cronograma Capilar Tododia Flor de Cereja e Abacate 250ml Frasco</v>
      </c>
      <c r="F166" s="50" t="s">
        <v>207</v>
      </c>
      <c r="G166" s="130"/>
      <c r="H166" s="123" t="s">
        <v>220</v>
      </c>
      <c r="I166" s="124" t="s">
        <v>33</v>
      </c>
      <c r="J166" s="123" t="s">
        <v>221</v>
      </c>
      <c r="K166" s="158"/>
      <c r="L166" s="158">
        <v>45.9</v>
      </c>
    </row>
    <row r="167" spans="2:12" ht="15" customHeight="1" x14ac:dyDescent="0.25">
      <c r="B167" s="63" t="s">
        <v>15</v>
      </c>
      <c r="C167" s="117" t="s">
        <v>16</v>
      </c>
      <c r="D167" s="118" t="s">
        <v>219</v>
      </c>
      <c r="E167" s="135" t="str">
        <f t="shared" si="2"/>
        <v>Mascara Concentrada Cronograma Capilar Tododia Maçã Verde e Aloe Vera 250ml Frasco</v>
      </c>
      <c r="F167" s="51" t="s">
        <v>209</v>
      </c>
      <c r="G167" s="130"/>
      <c r="H167" s="123" t="s">
        <v>220</v>
      </c>
      <c r="I167" s="124" t="s">
        <v>33</v>
      </c>
      <c r="J167" s="123" t="s">
        <v>222</v>
      </c>
      <c r="K167" s="158"/>
      <c r="L167" s="158">
        <v>45.9</v>
      </c>
    </row>
    <row r="168" spans="2:12" ht="15" customHeight="1" x14ac:dyDescent="0.25">
      <c r="B168" s="63" t="s">
        <v>15</v>
      </c>
      <c r="C168" s="117" t="s">
        <v>16</v>
      </c>
      <c r="D168" s="118" t="s">
        <v>219</v>
      </c>
      <c r="E168" s="135" t="str">
        <f t="shared" si="2"/>
        <v>Mascara Concentrada Cronograma Capilar Tododia Pessego e Amendoa 250ml Frasco</v>
      </c>
      <c r="F168" s="52" t="s">
        <v>211</v>
      </c>
      <c r="G168" s="130"/>
      <c r="H168" s="123" t="s">
        <v>220</v>
      </c>
      <c r="I168" s="124" t="s">
        <v>33</v>
      </c>
      <c r="J168" s="123" t="s">
        <v>223</v>
      </c>
      <c r="K168" s="158"/>
      <c r="L168" s="158">
        <v>45.9</v>
      </c>
    </row>
    <row r="169" spans="2:12" ht="15" customHeight="1" x14ac:dyDescent="0.25">
      <c r="B169" s="63" t="s">
        <v>15</v>
      </c>
      <c r="C169" s="117" t="s">
        <v>16</v>
      </c>
      <c r="D169" s="118" t="s">
        <v>219</v>
      </c>
      <c r="E169" s="135" t="str">
        <f t="shared" si="2"/>
        <v>Mascara Concentrada Cronograma Capilar Tododia Flor de Cereja e Abacate 250ml Refil</v>
      </c>
      <c r="F169" s="50" t="s">
        <v>207</v>
      </c>
      <c r="G169" s="130"/>
      <c r="H169" s="123" t="s">
        <v>220</v>
      </c>
      <c r="I169" s="124" t="s">
        <v>201</v>
      </c>
      <c r="J169" s="123" t="s">
        <v>221</v>
      </c>
      <c r="K169" s="168"/>
      <c r="L169" s="168">
        <v>35.9</v>
      </c>
    </row>
    <row r="170" spans="2:12" ht="15" customHeight="1" x14ac:dyDescent="0.25">
      <c r="B170" s="63" t="s">
        <v>15</v>
      </c>
      <c r="C170" s="117" t="s">
        <v>16</v>
      </c>
      <c r="D170" s="118" t="s">
        <v>219</v>
      </c>
      <c r="E170" s="135" t="str">
        <f t="shared" si="2"/>
        <v>Mascara Concentrada Cronograma Capilar Tododia Maçã Verde e Aloe Vera 250ml Refil</v>
      </c>
      <c r="F170" s="51" t="s">
        <v>209</v>
      </c>
      <c r="G170" s="130"/>
      <c r="H170" s="123" t="s">
        <v>220</v>
      </c>
      <c r="I170" s="124" t="s">
        <v>201</v>
      </c>
      <c r="J170" s="123" t="s">
        <v>222</v>
      </c>
      <c r="K170" s="168"/>
      <c r="L170" s="168">
        <v>35.9</v>
      </c>
    </row>
    <row r="171" spans="2:12" ht="15" customHeight="1" x14ac:dyDescent="0.25">
      <c r="B171" s="63" t="s">
        <v>15</v>
      </c>
      <c r="C171" s="117" t="s">
        <v>16</v>
      </c>
      <c r="D171" s="118" t="s">
        <v>219</v>
      </c>
      <c r="E171" s="135" t="str">
        <f t="shared" si="2"/>
        <v>Mascara Concentrada Cronograma Capilar Tododia Pessego e Amendoa 250ml Refil</v>
      </c>
      <c r="F171" s="52" t="s">
        <v>211</v>
      </c>
      <c r="G171" s="130"/>
      <c r="H171" s="123" t="s">
        <v>220</v>
      </c>
      <c r="I171" s="124" t="s">
        <v>201</v>
      </c>
      <c r="J171" s="123" t="s">
        <v>223</v>
      </c>
      <c r="K171" s="168"/>
      <c r="L171" s="168">
        <v>35.9</v>
      </c>
    </row>
    <row r="172" spans="2:12" ht="15" customHeight="1" x14ac:dyDescent="0.25">
      <c r="B172" s="63" t="s">
        <v>15</v>
      </c>
      <c r="C172" s="117" t="s">
        <v>16</v>
      </c>
      <c r="D172" s="118" t="s">
        <v>224</v>
      </c>
      <c r="E172" s="135" t="str">
        <f t="shared" si="2"/>
        <v>Creme para pentear Tododia Amora e Oléo Coco (Crespo) 280ml Frasco</v>
      </c>
      <c r="F172" s="135" t="s">
        <v>225</v>
      </c>
      <c r="G172" s="130"/>
      <c r="H172" s="120" t="s">
        <v>214</v>
      </c>
      <c r="I172" s="124" t="s">
        <v>33</v>
      </c>
      <c r="J172" s="123" t="s">
        <v>226</v>
      </c>
      <c r="K172" s="158"/>
      <c r="L172" s="158">
        <v>37.9</v>
      </c>
    </row>
    <row r="173" spans="2:12" ht="15" customHeight="1" x14ac:dyDescent="0.25">
      <c r="B173" s="63" t="s">
        <v>15</v>
      </c>
      <c r="C173" s="117" t="s">
        <v>16</v>
      </c>
      <c r="D173" s="118" t="s">
        <v>224</v>
      </c>
      <c r="E173" s="135" t="str">
        <f t="shared" si="2"/>
        <v>Creme para pentear Tododia Amora e Oléo Coco (Cachos) 280ml Frasco</v>
      </c>
      <c r="F173" s="135" t="s">
        <v>227</v>
      </c>
      <c r="G173" s="130"/>
      <c r="H173" s="120" t="s">
        <v>214</v>
      </c>
      <c r="I173" s="124" t="s">
        <v>33</v>
      </c>
      <c r="J173" s="123" t="s">
        <v>228</v>
      </c>
      <c r="K173" s="158"/>
      <c r="L173" s="158">
        <v>37.9</v>
      </c>
    </row>
    <row r="174" spans="2:12" ht="15" customHeight="1" x14ac:dyDescent="0.25">
      <c r="B174" s="63" t="s">
        <v>15</v>
      </c>
      <c r="C174" s="117" t="s">
        <v>16</v>
      </c>
      <c r="D174" s="118" t="s">
        <v>224</v>
      </c>
      <c r="E174" s="135" t="str">
        <f t="shared" si="2"/>
        <v>Creme para pentear Tododia Flor de Cereja e Abacate 180ml Frasco</v>
      </c>
      <c r="F174" s="53" t="s">
        <v>207</v>
      </c>
      <c r="G174" s="130"/>
      <c r="H174" s="123" t="s">
        <v>229</v>
      </c>
      <c r="I174" s="124" t="s">
        <v>33</v>
      </c>
      <c r="J174" s="120" t="s">
        <v>230</v>
      </c>
      <c r="K174" s="158"/>
      <c r="L174" s="158">
        <v>35.9</v>
      </c>
    </row>
    <row r="175" spans="2:12" ht="15" customHeight="1" x14ac:dyDescent="0.25">
      <c r="B175" s="63" t="s">
        <v>15</v>
      </c>
      <c r="C175" s="117" t="s">
        <v>16</v>
      </c>
      <c r="D175" s="118" t="s">
        <v>224</v>
      </c>
      <c r="E175" s="135" t="str">
        <f t="shared" si="2"/>
        <v>Creme para pentear Tododia Pessego e Amendoa 180ml Frasco</v>
      </c>
      <c r="F175" s="120" t="s">
        <v>211</v>
      </c>
      <c r="G175" s="130"/>
      <c r="H175" s="120" t="s">
        <v>229</v>
      </c>
      <c r="I175" s="124" t="s">
        <v>33</v>
      </c>
      <c r="J175" s="123" t="s">
        <v>231</v>
      </c>
      <c r="K175" s="158"/>
      <c r="L175" s="158">
        <v>35.9</v>
      </c>
    </row>
    <row r="176" spans="2:12" ht="15" customHeight="1" x14ac:dyDescent="0.25">
      <c r="B176" s="63" t="s">
        <v>15</v>
      </c>
      <c r="C176" s="117" t="s">
        <v>16</v>
      </c>
      <c r="D176" s="118" t="s">
        <v>224</v>
      </c>
      <c r="E176" s="135" t="str">
        <f t="shared" si="2"/>
        <v>Creme para pentear Tododia Amora e Oléo Coco (Crespo) 280ml Refil</v>
      </c>
      <c r="F176" s="135" t="s">
        <v>232</v>
      </c>
      <c r="G176" s="130"/>
      <c r="H176" s="120" t="s">
        <v>214</v>
      </c>
      <c r="I176" s="124" t="s">
        <v>201</v>
      </c>
      <c r="J176" s="123" t="s">
        <v>226</v>
      </c>
      <c r="K176" s="158"/>
      <c r="L176" s="158">
        <v>29.9</v>
      </c>
    </row>
    <row r="177" spans="2:12" ht="15" customHeight="1" x14ac:dyDescent="0.25">
      <c r="B177" s="63" t="s">
        <v>15</v>
      </c>
      <c r="C177" s="117" t="s">
        <v>16</v>
      </c>
      <c r="D177" s="118" t="s">
        <v>224</v>
      </c>
      <c r="E177" s="135" t="str">
        <f t="shared" si="2"/>
        <v>Creme para pentear Tododia Amora e Oléo Coco (Cachos) 280ml Refil</v>
      </c>
      <c r="F177" s="135" t="s">
        <v>227</v>
      </c>
      <c r="G177" s="130"/>
      <c r="H177" s="120" t="s">
        <v>214</v>
      </c>
      <c r="I177" s="124" t="s">
        <v>201</v>
      </c>
      <c r="J177" s="123" t="s">
        <v>228</v>
      </c>
      <c r="K177" s="158"/>
      <c r="L177" s="158">
        <v>29.9</v>
      </c>
    </row>
    <row r="178" spans="2:12" ht="15" customHeight="1" x14ac:dyDescent="0.25">
      <c r="B178" s="63" t="s">
        <v>15</v>
      </c>
      <c r="C178" s="117" t="s">
        <v>16</v>
      </c>
      <c r="D178" s="118" t="s">
        <v>224</v>
      </c>
      <c r="E178" s="135" t="str">
        <f t="shared" si="2"/>
        <v>Creme para pentear Tododia Flor de Cereja e Abacate 180ml Refil</v>
      </c>
      <c r="F178" s="13" t="s">
        <v>207</v>
      </c>
      <c r="G178" s="130"/>
      <c r="H178" s="123" t="s">
        <v>229</v>
      </c>
      <c r="I178" s="124" t="s">
        <v>201</v>
      </c>
      <c r="J178" s="120" t="s">
        <v>230</v>
      </c>
      <c r="K178" s="158"/>
      <c r="L178" s="158">
        <v>29.9</v>
      </c>
    </row>
    <row r="179" spans="2:12" ht="15" customHeight="1" x14ac:dyDescent="0.25">
      <c r="B179" s="63" t="s">
        <v>15</v>
      </c>
      <c r="C179" s="117" t="s">
        <v>16</v>
      </c>
      <c r="D179" s="118" t="s">
        <v>224</v>
      </c>
      <c r="E179" s="135" t="str">
        <f t="shared" si="2"/>
        <v>Creme para pentear Tododia Pessego e Amendoa 180ml Refil</v>
      </c>
      <c r="F179" s="120" t="s">
        <v>211</v>
      </c>
      <c r="G179" s="130"/>
      <c r="H179" s="123" t="s">
        <v>229</v>
      </c>
      <c r="I179" s="124" t="s">
        <v>201</v>
      </c>
      <c r="J179" s="123" t="s">
        <v>231</v>
      </c>
      <c r="K179" s="158"/>
      <c r="L179" s="158">
        <v>29.9</v>
      </c>
    </row>
    <row r="180" spans="2:12" ht="15" customHeight="1" x14ac:dyDescent="0.25">
      <c r="B180" s="63" t="s">
        <v>15</v>
      </c>
      <c r="C180" s="117" t="s">
        <v>16</v>
      </c>
      <c r="D180" s="118" t="s">
        <v>233</v>
      </c>
      <c r="E180" s="135" t="str">
        <f t="shared" si="2"/>
        <v>Spray Reativador Cachos e Crespos Tododia Amora e Oléo Coco 200ml Frasco</v>
      </c>
      <c r="F180" s="138" t="s">
        <v>234</v>
      </c>
      <c r="G180" s="130"/>
      <c r="H180" s="120" t="s">
        <v>32</v>
      </c>
      <c r="I180" s="46" t="s">
        <v>33</v>
      </c>
      <c r="J180" s="122" t="s">
        <v>235</v>
      </c>
      <c r="K180" s="158"/>
      <c r="L180" s="158">
        <v>37.9</v>
      </c>
    </row>
    <row r="181" spans="2:12" ht="15" customHeight="1" x14ac:dyDescent="0.25">
      <c r="B181" s="63" t="s">
        <v>15</v>
      </c>
      <c r="C181" s="71" t="s">
        <v>16</v>
      </c>
      <c r="D181" s="118" t="s">
        <v>236</v>
      </c>
      <c r="E181" s="135" t="str">
        <f t="shared" si="2"/>
        <v>Spray Hidratante para Cabelos Tododia Maça verde e Aloe Vera 200ml Frasco</v>
      </c>
      <c r="F181" s="138" t="s">
        <v>237</v>
      </c>
      <c r="G181" s="130"/>
      <c r="H181" s="120" t="s">
        <v>32</v>
      </c>
      <c r="I181" s="46" t="s">
        <v>33</v>
      </c>
      <c r="J181" s="122" t="s">
        <v>238</v>
      </c>
      <c r="K181" s="158"/>
      <c r="L181" s="158">
        <v>37.9</v>
      </c>
    </row>
    <row r="182" spans="2:12" ht="15" customHeight="1" x14ac:dyDescent="0.25">
      <c r="B182" s="63" t="s">
        <v>15</v>
      </c>
      <c r="C182" s="71" t="s">
        <v>16</v>
      </c>
      <c r="D182" s="118" t="s">
        <v>239</v>
      </c>
      <c r="E182" s="135" t="str">
        <f t="shared" si="2"/>
        <v>Gelatina Cachos e Crespos Tododia Amora e Oléo Coco 240g Pote</v>
      </c>
      <c r="F182" s="120" t="s">
        <v>240</v>
      </c>
      <c r="G182" s="130"/>
      <c r="H182" s="47" t="s">
        <v>241</v>
      </c>
      <c r="I182" s="48" t="s">
        <v>62</v>
      </c>
      <c r="J182" s="123" t="s">
        <v>242</v>
      </c>
      <c r="K182" s="154"/>
      <c r="L182" s="154"/>
    </row>
    <row r="183" spans="2:12" ht="15" customHeight="1" x14ac:dyDescent="0.25">
      <c r="B183" s="63" t="s">
        <v>15</v>
      </c>
      <c r="C183" s="117" t="s">
        <v>16</v>
      </c>
      <c r="D183" s="118" t="s">
        <v>243</v>
      </c>
      <c r="E183" s="135" t="str">
        <f t="shared" si="2"/>
        <v>Essencia para os Cabelos Tododia Flor De Ameixa 60ml Frasco</v>
      </c>
      <c r="F183" s="120" t="s">
        <v>244</v>
      </c>
      <c r="G183" s="130"/>
      <c r="H183" s="47" t="s">
        <v>245</v>
      </c>
      <c r="I183" s="48" t="s">
        <v>33</v>
      </c>
      <c r="J183" s="123" t="s">
        <v>246</v>
      </c>
      <c r="K183" s="158"/>
      <c r="L183" s="158">
        <v>49.9</v>
      </c>
    </row>
    <row r="184" spans="2:12" ht="15" customHeight="1" x14ac:dyDescent="0.25">
      <c r="B184" s="63" t="s">
        <v>15</v>
      </c>
      <c r="C184" s="117" t="s">
        <v>16</v>
      </c>
      <c r="D184" s="118" t="s">
        <v>243</v>
      </c>
      <c r="E184" s="135" t="str">
        <f t="shared" si="2"/>
        <v>Essencia para os Cabelos Tododia Cereja e Avelã 60ml Frasco</v>
      </c>
      <c r="F184" s="120" t="s">
        <v>114</v>
      </c>
      <c r="G184" s="130"/>
      <c r="H184" s="47" t="s">
        <v>245</v>
      </c>
      <c r="I184" s="49" t="s">
        <v>33</v>
      </c>
      <c r="J184" s="123" t="s">
        <v>246</v>
      </c>
      <c r="K184" s="158"/>
      <c r="L184" s="158">
        <v>49.9</v>
      </c>
    </row>
    <row r="185" spans="2:12" ht="15" customHeight="1" x14ac:dyDescent="0.25">
      <c r="B185" s="63" t="s">
        <v>15</v>
      </c>
      <c r="C185" s="128" t="s">
        <v>247</v>
      </c>
      <c r="D185" s="131" t="s">
        <v>248</v>
      </c>
      <c r="E185" s="135" t="str">
        <f t="shared" si="2"/>
        <v>Polpa Hidrante Ekos Açaí 75g Frasco</v>
      </c>
      <c r="F185" s="120" t="s">
        <v>249</v>
      </c>
      <c r="G185" s="130"/>
      <c r="H185" s="45" t="s">
        <v>250</v>
      </c>
      <c r="I185" s="169" t="s">
        <v>33</v>
      </c>
      <c r="J185" s="123" t="s">
        <v>251</v>
      </c>
      <c r="K185" s="158"/>
      <c r="L185" s="158">
        <v>57.9</v>
      </c>
    </row>
    <row r="186" spans="2:12" ht="15" customHeight="1" x14ac:dyDescent="0.25">
      <c r="B186" s="63" t="s">
        <v>15</v>
      </c>
      <c r="C186" s="128" t="s">
        <v>247</v>
      </c>
      <c r="D186" s="131" t="s">
        <v>248</v>
      </c>
      <c r="E186" s="135" t="str">
        <f t="shared" si="2"/>
        <v>Polpa Hidrante Ekos Andiroba 75g Frasco</v>
      </c>
      <c r="F186" s="120" t="s">
        <v>252</v>
      </c>
      <c r="G186" s="130"/>
      <c r="H186" s="45" t="s">
        <v>250</v>
      </c>
      <c r="I186" s="169" t="s">
        <v>33</v>
      </c>
      <c r="J186" s="123" t="s">
        <v>251</v>
      </c>
      <c r="K186" s="158"/>
      <c r="L186" s="158">
        <v>57.9</v>
      </c>
    </row>
    <row r="187" spans="2:12" ht="15" customHeight="1" x14ac:dyDescent="0.25">
      <c r="B187" s="63" t="s">
        <v>15</v>
      </c>
      <c r="C187" s="128" t="s">
        <v>247</v>
      </c>
      <c r="D187" s="131" t="s">
        <v>253</v>
      </c>
      <c r="E187" s="135" t="str">
        <f t="shared" si="2"/>
        <v>Polpa Hidrante para Maos Ekos Castanha 75g Frasco</v>
      </c>
      <c r="F187" s="120" t="s">
        <v>254</v>
      </c>
      <c r="G187" s="130"/>
      <c r="H187" s="45" t="s">
        <v>250</v>
      </c>
      <c r="I187" s="169" t="s">
        <v>33</v>
      </c>
      <c r="J187" s="123" t="s">
        <v>251</v>
      </c>
      <c r="K187" s="158"/>
      <c r="L187" s="158">
        <v>57.9</v>
      </c>
    </row>
    <row r="188" spans="2:12" ht="15" customHeight="1" x14ac:dyDescent="0.25">
      <c r="B188" s="63" t="s">
        <v>15</v>
      </c>
      <c r="C188" s="128" t="s">
        <v>247</v>
      </c>
      <c r="D188" s="131" t="s">
        <v>255</v>
      </c>
      <c r="E188" s="135" t="str">
        <f t="shared" si="2"/>
        <v>Polpa Hidrante para os Pes Ekos Castanha 75g Frasco</v>
      </c>
      <c r="F188" s="120" t="s">
        <v>254</v>
      </c>
      <c r="G188" s="130"/>
      <c r="H188" s="45" t="s">
        <v>250</v>
      </c>
      <c r="I188" s="169" t="s">
        <v>33</v>
      </c>
      <c r="J188" s="123" t="s">
        <v>256</v>
      </c>
      <c r="K188" s="158"/>
      <c r="L188" s="158">
        <v>57.9</v>
      </c>
    </row>
    <row r="189" spans="2:12" ht="15" customHeight="1" x14ac:dyDescent="0.25">
      <c r="B189" s="63" t="s">
        <v>15</v>
      </c>
      <c r="C189" s="128" t="s">
        <v>247</v>
      </c>
      <c r="D189" s="131" t="s">
        <v>253</v>
      </c>
      <c r="E189" s="135" t="str">
        <f t="shared" si="2"/>
        <v>Polpa Hidrante para Maos Ekos Cacau 75g Frasco</v>
      </c>
      <c r="F189" s="14" t="s">
        <v>257</v>
      </c>
      <c r="G189" s="130"/>
      <c r="H189" s="45" t="s">
        <v>250</v>
      </c>
      <c r="I189" s="169" t="s">
        <v>33</v>
      </c>
      <c r="J189" s="123" t="s">
        <v>258</v>
      </c>
      <c r="K189" s="158"/>
      <c r="L189" s="158">
        <v>57.9</v>
      </c>
    </row>
    <row r="190" spans="2:12" ht="15" customHeight="1" x14ac:dyDescent="0.25">
      <c r="B190" s="63" t="s">
        <v>15</v>
      </c>
      <c r="C190" s="128" t="s">
        <v>247</v>
      </c>
      <c r="D190" s="131" t="s">
        <v>259</v>
      </c>
      <c r="E190" s="135" t="str">
        <f t="shared" si="2"/>
        <v>Nectar Hidrante Ekos Maracujá 75g Frasco</v>
      </c>
      <c r="F190" s="120" t="s">
        <v>260</v>
      </c>
      <c r="G190" s="130"/>
      <c r="H190" s="45" t="s">
        <v>250</v>
      </c>
      <c r="I190" s="169" t="s">
        <v>33</v>
      </c>
      <c r="J190" s="123" t="s">
        <v>251</v>
      </c>
      <c r="K190" s="158"/>
      <c r="L190" s="158">
        <v>57.9</v>
      </c>
    </row>
    <row r="191" spans="2:12" ht="15" customHeight="1" x14ac:dyDescent="0.25">
      <c r="B191" s="63" t="s">
        <v>15</v>
      </c>
      <c r="C191" s="128" t="s">
        <v>247</v>
      </c>
      <c r="D191" s="131" t="s">
        <v>248</v>
      </c>
      <c r="E191" s="135" t="str">
        <f t="shared" si="2"/>
        <v>Polpa Hidrante Ekos Tukumã 75g Frasco</v>
      </c>
      <c r="F191" s="120" t="s">
        <v>261</v>
      </c>
      <c r="G191" s="130"/>
      <c r="H191" s="45" t="s">
        <v>250</v>
      </c>
      <c r="I191" s="169" t="s">
        <v>33</v>
      </c>
      <c r="J191" s="123" t="s">
        <v>251</v>
      </c>
      <c r="K191" s="158"/>
      <c r="L191" s="158">
        <v>57.9</v>
      </c>
    </row>
    <row r="192" spans="2:12" ht="15" customHeight="1" x14ac:dyDescent="0.25">
      <c r="B192" s="63" t="s">
        <v>15</v>
      </c>
      <c r="C192" s="128" t="s">
        <v>247</v>
      </c>
      <c r="D192" s="131" t="s">
        <v>262</v>
      </c>
      <c r="E192" s="135" t="str">
        <f t="shared" si="2"/>
        <v>Creme de massagem Ekos Andirobá 100g Frasco</v>
      </c>
      <c r="F192" s="120" t="s">
        <v>263</v>
      </c>
      <c r="G192" s="130"/>
      <c r="H192" s="45" t="s">
        <v>126</v>
      </c>
      <c r="I192" s="46" t="s">
        <v>33</v>
      </c>
      <c r="J192" s="120" t="s">
        <v>264</v>
      </c>
      <c r="K192" s="158"/>
      <c r="L192" s="158">
        <v>76.900000000000006</v>
      </c>
    </row>
    <row r="193" spans="2:12" ht="15" customHeight="1" x14ac:dyDescent="0.25">
      <c r="B193" s="63" t="s">
        <v>15</v>
      </c>
      <c r="C193" s="128" t="s">
        <v>247</v>
      </c>
      <c r="D193" s="118" t="s">
        <v>265</v>
      </c>
      <c r="E193" s="135" t="str">
        <f t="shared" si="2"/>
        <v>Balsamo polpa concentrada Ekos Tukumã 200g Pote</v>
      </c>
      <c r="F193" s="135" t="s">
        <v>266</v>
      </c>
      <c r="G193" s="130"/>
      <c r="H193" s="45" t="s">
        <v>67</v>
      </c>
      <c r="I193" s="31" t="s">
        <v>62</v>
      </c>
      <c r="J193" s="135" t="s">
        <v>267</v>
      </c>
      <c r="K193" s="158"/>
      <c r="L193" s="158">
        <v>97.9</v>
      </c>
    </row>
    <row r="194" spans="2:12" ht="15" customHeight="1" x14ac:dyDescent="0.25">
      <c r="B194" s="63" t="s">
        <v>15</v>
      </c>
      <c r="C194" s="128" t="s">
        <v>247</v>
      </c>
      <c r="D194" s="131" t="s">
        <v>268</v>
      </c>
      <c r="E194" s="135" t="str">
        <f t="shared" ref="E194:E257" si="3">TRIM(CONCATENATE(D194, " ", C194, " ", F194, " ", IF(G194&gt;0, G194 &amp; "x" &amp; H194, H194), " ", I194))</f>
        <v>Polpa Desodorante Hidratante Ekos Andiroba 200ml Frasco</v>
      </c>
      <c r="F194" s="120" t="s">
        <v>252</v>
      </c>
      <c r="G194" s="130"/>
      <c r="H194" s="44" t="s">
        <v>32</v>
      </c>
      <c r="I194" s="125" t="s">
        <v>33</v>
      </c>
      <c r="J194" s="120" t="s">
        <v>269</v>
      </c>
      <c r="K194" s="158"/>
      <c r="L194" s="158">
        <v>63.9</v>
      </c>
    </row>
    <row r="195" spans="2:12" ht="15" customHeight="1" x14ac:dyDescent="0.25">
      <c r="B195" s="63" t="s">
        <v>15</v>
      </c>
      <c r="C195" s="128" t="s">
        <v>247</v>
      </c>
      <c r="D195" s="131" t="s">
        <v>268</v>
      </c>
      <c r="E195" s="135" t="str">
        <f t="shared" si="3"/>
        <v>Polpa Desodorante Hidratante Ekos Açaí 200 ml Frasco</v>
      </c>
      <c r="F195" s="120" t="s">
        <v>249</v>
      </c>
      <c r="G195" s="130"/>
      <c r="H195" s="44" t="s">
        <v>270</v>
      </c>
      <c r="I195" s="125" t="s">
        <v>33</v>
      </c>
      <c r="J195" s="120" t="s">
        <v>269</v>
      </c>
      <c r="K195" s="158"/>
      <c r="L195" s="158">
        <v>63.9</v>
      </c>
    </row>
    <row r="196" spans="2:12" ht="15" customHeight="1" x14ac:dyDescent="0.25">
      <c r="B196" s="63" t="s">
        <v>15</v>
      </c>
      <c r="C196" s="128" t="s">
        <v>247</v>
      </c>
      <c r="D196" s="131" t="s">
        <v>268</v>
      </c>
      <c r="E196" s="135" t="str">
        <f t="shared" si="3"/>
        <v>Polpa Desodorante Hidratante Ekos Cacau 200 ml Frasco</v>
      </c>
      <c r="F196" s="120" t="s">
        <v>257</v>
      </c>
      <c r="G196" s="130"/>
      <c r="H196" s="44" t="s">
        <v>270</v>
      </c>
      <c r="I196" s="125" t="s">
        <v>33</v>
      </c>
      <c r="J196" s="120" t="s">
        <v>269</v>
      </c>
      <c r="K196" s="158"/>
      <c r="L196" s="158">
        <v>67.900000000000006</v>
      </c>
    </row>
    <row r="197" spans="2:12" ht="15" customHeight="1" x14ac:dyDescent="0.25">
      <c r="B197" s="63" t="s">
        <v>15</v>
      </c>
      <c r="C197" s="128" t="s">
        <v>247</v>
      </c>
      <c r="D197" s="131" t="s">
        <v>268</v>
      </c>
      <c r="E197" s="135" t="str">
        <f t="shared" si="3"/>
        <v>Polpa Desodorante Hidratante Ekos Castanha 200 ml Frasco</v>
      </c>
      <c r="F197" s="120" t="s">
        <v>254</v>
      </c>
      <c r="G197" s="130"/>
      <c r="H197" s="44" t="s">
        <v>270</v>
      </c>
      <c r="I197" s="125" t="s">
        <v>33</v>
      </c>
      <c r="J197" s="120" t="s">
        <v>269</v>
      </c>
      <c r="K197" s="158"/>
      <c r="L197" s="158">
        <v>63.9</v>
      </c>
    </row>
    <row r="198" spans="2:12" ht="15" customHeight="1" x14ac:dyDescent="0.25">
      <c r="B198" s="63" t="s">
        <v>15</v>
      </c>
      <c r="C198" s="128" t="s">
        <v>247</v>
      </c>
      <c r="D198" s="131" t="s">
        <v>268</v>
      </c>
      <c r="E198" s="135" t="str">
        <f t="shared" si="3"/>
        <v>Polpa Desodorante Hidratante Ekos Flor do Luar 200 ml Frasco</v>
      </c>
      <c r="F198" s="120" t="s">
        <v>271</v>
      </c>
      <c r="G198" s="130"/>
      <c r="H198" s="44" t="s">
        <v>270</v>
      </c>
      <c r="I198" s="125" t="s">
        <v>33</v>
      </c>
      <c r="J198" s="120" t="s">
        <v>269</v>
      </c>
      <c r="K198" s="158"/>
      <c r="L198" s="158">
        <v>63.9</v>
      </c>
    </row>
    <row r="199" spans="2:12" ht="15" customHeight="1" x14ac:dyDescent="0.25">
      <c r="B199" s="63" t="s">
        <v>15</v>
      </c>
      <c r="C199" s="128" t="s">
        <v>247</v>
      </c>
      <c r="D199" s="131" t="s">
        <v>268</v>
      </c>
      <c r="E199" s="135" t="str">
        <f t="shared" si="3"/>
        <v>Polpa Desodorante Hidratante Ekos Maracujá 200 ml Frasco</v>
      </c>
      <c r="F199" s="29" t="s">
        <v>260</v>
      </c>
      <c r="G199" s="130"/>
      <c r="H199" s="44" t="s">
        <v>270</v>
      </c>
      <c r="I199" s="125" t="s">
        <v>33</v>
      </c>
      <c r="J199" s="120" t="s">
        <v>269</v>
      </c>
      <c r="K199" s="158"/>
      <c r="L199" s="158">
        <v>63.9</v>
      </c>
    </row>
    <row r="200" spans="2:12" ht="15" customHeight="1" x14ac:dyDescent="0.25">
      <c r="B200" s="63" t="s">
        <v>15</v>
      </c>
      <c r="C200" s="128" t="s">
        <v>247</v>
      </c>
      <c r="D200" s="131" t="s">
        <v>268</v>
      </c>
      <c r="E200" s="135" t="str">
        <f t="shared" si="3"/>
        <v>Polpa Desodorante Hidratante Ekos Madeira em Flor 200 ml Frasco</v>
      </c>
      <c r="F200" s="14" t="s">
        <v>272</v>
      </c>
      <c r="G200" s="130"/>
      <c r="H200" s="44" t="s">
        <v>270</v>
      </c>
      <c r="I200" s="125" t="s">
        <v>33</v>
      </c>
      <c r="J200" s="120" t="s">
        <v>269</v>
      </c>
      <c r="K200" s="158"/>
      <c r="L200" s="158">
        <v>63.9</v>
      </c>
    </row>
    <row r="201" spans="2:12" ht="15" customHeight="1" x14ac:dyDescent="0.25">
      <c r="B201" s="63" t="s">
        <v>15</v>
      </c>
      <c r="C201" s="128" t="s">
        <v>247</v>
      </c>
      <c r="D201" s="131" t="s">
        <v>268</v>
      </c>
      <c r="E201" s="135" t="str">
        <f t="shared" si="3"/>
        <v>Polpa Desodorante Hidratante Ekos Tukumã 200 ml Frasco</v>
      </c>
      <c r="F201" s="30" t="s">
        <v>261</v>
      </c>
      <c r="G201" s="130"/>
      <c r="H201" s="44" t="s">
        <v>270</v>
      </c>
      <c r="I201" s="125" t="s">
        <v>33</v>
      </c>
      <c r="J201" s="120" t="s">
        <v>269</v>
      </c>
      <c r="K201" s="158"/>
      <c r="L201" s="158">
        <v>63.9</v>
      </c>
    </row>
    <row r="202" spans="2:12" ht="15" customHeight="1" x14ac:dyDescent="0.25">
      <c r="B202" s="63" t="s">
        <v>15</v>
      </c>
      <c r="C202" s="128" t="s">
        <v>247</v>
      </c>
      <c r="D202" s="131" t="s">
        <v>268</v>
      </c>
      <c r="E202" s="135" t="str">
        <f t="shared" si="3"/>
        <v>Polpa Desodorante Hidratante Ekos Andiroba 400ml Frasco</v>
      </c>
      <c r="F202" s="120" t="s">
        <v>273</v>
      </c>
      <c r="G202" s="130"/>
      <c r="H202" s="120" t="s">
        <v>274</v>
      </c>
      <c r="I202" s="125" t="s">
        <v>33</v>
      </c>
      <c r="J202" s="120" t="s">
        <v>269</v>
      </c>
      <c r="L202" s="123" t="s">
        <v>275</v>
      </c>
    </row>
    <row r="203" spans="2:12" ht="15" customHeight="1" x14ac:dyDescent="0.25">
      <c r="B203" s="63" t="s">
        <v>15</v>
      </c>
      <c r="C203" s="128" t="s">
        <v>247</v>
      </c>
      <c r="D203" s="131" t="s">
        <v>268</v>
      </c>
      <c r="E203" s="135" t="str">
        <f t="shared" si="3"/>
        <v>Polpa Desodorante Hidratante Ekos Açai 400ml Frasco</v>
      </c>
      <c r="F203" s="120" t="s">
        <v>276</v>
      </c>
      <c r="G203" s="130"/>
      <c r="H203" s="120" t="s">
        <v>274</v>
      </c>
      <c r="I203" s="125" t="s">
        <v>33</v>
      </c>
      <c r="J203" s="120" t="s">
        <v>269</v>
      </c>
      <c r="L203" s="123" t="s">
        <v>275</v>
      </c>
    </row>
    <row r="204" spans="2:12" ht="15" customHeight="1" x14ac:dyDescent="0.25">
      <c r="B204" s="63" t="s">
        <v>15</v>
      </c>
      <c r="C204" s="128" t="s">
        <v>247</v>
      </c>
      <c r="D204" s="131" t="s">
        <v>268</v>
      </c>
      <c r="E204" s="135" t="str">
        <f t="shared" si="3"/>
        <v>Polpa Desodorante Hidratante Ekos Cacau 400ml Frasco</v>
      </c>
      <c r="F204" s="120" t="s">
        <v>257</v>
      </c>
      <c r="G204" s="130"/>
      <c r="H204" s="120" t="s">
        <v>274</v>
      </c>
      <c r="I204" s="125" t="s">
        <v>33</v>
      </c>
      <c r="J204" s="120" t="s">
        <v>269</v>
      </c>
      <c r="L204" s="123" t="s">
        <v>275</v>
      </c>
    </row>
    <row r="205" spans="2:12" ht="15" customHeight="1" x14ac:dyDescent="0.25">
      <c r="B205" s="63" t="s">
        <v>15</v>
      </c>
      <c r="C205" s="128" t="s">
        <v>247</v>
      </c>
      <c r="D205" s="131" t="s">
        <v>268</v>
      </c>
      <c r="E205" s="135" t="str">
        <f t="shared" si="3"/>
        <v>Polpa Desodorante Hidratante Ekos Castanha 400ml Frasco</v>
      </c>
      <c r="F205" s="120" t="s">
        <v>254</v>
      </c>
      <c r="G205" s="130"/>
      <c r="H205" s="120" t="s">
        <v>274</v>
      </c>
      <c r="I205" s="125" t="s">
        <v>33</v>
      </c>
      <c r="J205" s="120" t="s">
        <v>269</v>
      </c>
      <c r="L205" s="123" t="s">
        <v>275</v>
      </c>
    </row>
    <row r="206" spans="2:12" ht="15" customHeight="1" x14ac:dyDescent="0.25">
      <c r="B206" s="63" t="s">
        <v>15</v>
      </c>
      <c r="C206" s="128" t="s">
        <v>247</v>
      </c>
      <c r="D206" s="131" t="s">
        <v>268</v>
      </c>
      <c r="E206" s="135" t="str">
        <f t="shared" si="3"/>
        <v>Polpa Desodorante Hidratante Ekos Flor de Luar 400ml Frasco</v>
      </c>
      <c r="F206" s="120" t="s">
        <v>277</v>
      </c>
      <c r="G206" s="130"/>
      <c r="H206" s="120" t="s">
        <v>274</v>
      </c>
      <c r="I206" s="125" t="s">
        <v>33</v>
      </c>
      <c r="J206" s="120" t="s">
        <v>269</v>
      </c>
      <c r="L206" s="123" t="s">
        <v>275</v>
      </c>
    </row>
    <row r="207" spans="2:12" ht="15" customHeight="1" x14ac:dyDescent="0.25">
      <c r="B207" s="63" t="s">
        <v>15</v>
      </c>
      <c r="C207" s="128" t="s">
        <v>247</v>
      </c>
      <c r="D207" s="131" t="s">
        <v>268</v>
      </c>
      <c r="E207" s="135" t="str">
        <f t="shared" si="3"/>
        <v>Polpa Desodorante Hidratante Ekos Flor de Madereira 400ml Frasco</v>
      </c>
      <c r="F207" s="120" t="s">
        <v>278</v>
      </c>
      <c r="G207" s="130"/>
      <c r="H207" s="120" t="s">
        <v>274</v>
      </c>
      <c r="I207" s="125" t="s">
        <v>33</v>
      </c>
      <c r="J207" s="120" t="s">
        <v>269</v>
      </c>
      <c r="L207" s="123" t="s">
        <v>275</v>
      </c>
    </row>
    <row r="208" spans="2:12" ht="15" customHeight="1" x14ac:dyDescent="0.25">
      <c r="B208" s="63" t="s">
        <v>15</v>
      </c>
      <c r="C208" s="128" t="s">
        <v>247</v>
      </c>
      <c r="D208" s="131" t="s">
        <v>268</v>
      </c>
      <c r="E208" s="135" t="str">
        <f t="shared" si="3"/>
        <v>Polpa Desodorante Hidratante Ekos Maracujá 400ml Frasco</v>
      </c>
      <c r="F208" s="120" t="s">
        <v>260</v>
      </c>
      <c r="G208" s="130"/>
      <c r="H208" s="120" t="s">
        <v>274</v>
      </c>
      <c r="I208" s="125" t="s">
        <v>33</v>
      </c>
      <c r="J208" s="120" t="s">
        <v>269</v>
      </c>
      <c r="L208" s="123" t="s">
        <v>275</v>
      </c>
    </row>
    <row r="209" spans="2:12" ht="15" customHeight="1" x14ac:dyDescent="0.25">
      <c r="B209" s="63" t="s">
        <v>15</v>
      </c>
      <c r="C209" s="128" t="s">
        <v>247</v>
      </c>
      <c r="D209" s="131" t="s">
        <v>268</v>
      </c>
      <c r="E209" s="135" t="str">
        <f t="shared" si="3"/>
        <v>Polpa Desodorante Hidratante Ekos Tukumã 400ml Frasco</v>
      </c>
      <c r="F209" s="120" t="s">
        <v>261</v>
      </c>
      <c r="G209" s="130"/>
      <c r="H209" s="120" t="s">
        <v>274</v>
      </c>
      <c r="I209" s="125" t="s">
        <v>33</v>
      </c>
      <c r="J209" s="120" t="s">
        <v>269</v>
      </c>
      <c r="L209" s="123" t="s">
        <v>275</v>
      </c>
    </row>
    <row r="210" spans="2:12" ht="15" customHeight="1" x14ac:dyDescent="0.25">
      <c r="B210" s="63" t="s">
        <v>15</v>
      </c>
      <c r="C210" s="128" t="s">
        <v>247</v>
      </c>
      <c r="D210" s="118" t="s">
        <v>279</v>
      </c>
      <c r="E210" s="135" t="str">
        <f t="shared" si="3"/>
        <v>Dou Esfoliante Multicamadas Ekos Maracujá 200g Pote</v>
      </c>
      <c r="F210" s="120" t="s">
        <v>260</v>
      </c>
      <c r="G210" s="130"/>
      <c r="H210" s="120" t="s">
        <v>67</v>
      </c>
      <c r="I210" s="125" t="s">
        <v>62</v>
      </c>
      <c r="J210" s="120" t="s">
        <v>280</v>
      </c>
      <c r="K210" s="158"/>
      <c r="L210" s="158">
        <v>95.9</v>
      </c>
    </row>
    <row r="211" spans="2:12" ht="15" customHeight="1" x14ac:dyDescent="0.25">
      <c r="B211" s="63" t="s">
        <v>15</v>
      </c>
      <c r="C211" s="128" t="s">
        <v>247</v>
      </c>
      <c r="D211" s="118" t="s">
        <v>281</v>
      </c>
      <c r="E211" s="135" t="str">
        <f t="shared" si="3"/>
        <v>Esfoliante Hidrata e Renovação Ekos Castanha 200g Pote</v>
      </c>
      <c r="F211" s="120" t="s">
        <v>254</v>
      </c>
      <c r="G211" s="130"/>
      <c r="H211" s="120" t="s">
        <v>67</v>
      </c>
      <c r="I211" s="125" t="s">
        <v>62</v>
      </c>
      <c r="J211" s="120" t="s">
        <v>282</v>
      </c>
      <c r="K211" s="158"/>
      <c r="L211" s="158">
        <v>95.9</v>
      </c>
    </row>
    <row r="212" spans="2:12" ht="15" customHeight="1" x14ac:dyDescent="0.25">
      <c r="B212" s="63" t="s">
        <v>15</v>
      </c>
      <c r="C212" s="128" t="s">
        <v>247</v>
      </c>
      <c r="D212" s="118" t="s">
        <v>283</v>
      </c>
      <c r="E212" s="135" t="str">
        <f t="shared" si="3"/>
        <v>Oleo Trifasico e Desodorante Ekos Açaí 200ml Frasco</v>
      </c>
      <c r="F212" s="120" t="s">
        <v>249</v>
      </c>
      <c r="G212" s="130"/>
      <c r="H212" s="120" t="s">
        <v>32</v>
      </c>
      <c r="I212" s="125" t="s">
        <v>33</v>
      </c>
      <c r="J212" s="120" t="s">
        <v>284</v>
      </c>
      <c r="K212" s="158"/>
      <c r="L212" s="158">
        <v>96.9</v>
      </c>
    </row>
    <row r="213" spans="2:12" ht="15" customHeight="1" x14ac:dyDescent="0.25">
      <c r="B213" s="63" t="s">
        <v>15</v>
      </c>
      <c r="C213" s="128" t="s">
        <v>247</v>
      </c>
      <c r="D213" s="118" t="s">
        <v>283</v>
      </c>
      <c r="E213" s="135" t="str">
        <f t="shared" si="3"/>
        <v>Oleo Trifasico e Desodorante Ekos Andiroba 200ml Frasco</v>
      </c>
      <c r="F213" s="120" t="s">
        <v>252</v>
      </c>
      <c r="G213" s="130"/>
      <c r="H213" s="120" t="s">
        <v>32</v>
      </c>
      <c r="I213" s="125" t="s">
        <v>33</v>
      </c>
      <c r="J213" s="120" t="s">
        <v>284</v>
      </c>
      <c r="K213" s="158"/>
      <c r="L213" s="158">
        <v>96.9</v>
      </c>
    </row>
    <row r="214" spans="2:12" ht="15" customHeight="1" x14ac:dyDescent="0.25">
      <c r="B214" s="63" t="s">
        <v>15</v>
      </c>
      <c r="C214" s="128" t="s">
        <v>247</v>
      </c>
      <c r="D214" s="118" t="s">
        <v>283</v>
      </c>
      <c r="E214" s="135" t="str">
        <f t="shared" si="3"/>
        <v>Oleo Trifasico e Desodorante Ekos Castanha 200ml Frasco</v>
      </c>
      <c r="F214" s="120" t="s">
        <v>285</v>
      </c>
      <c r="G214" s="130"/>
      <c r="H214" s="120" t="s">
        <v>32</v>
      </c>
      <c r="I214" s="125" t="s">
        <v>33</v>
      </c>
      <c r="J214" s="120" t="s">
        <v>284</v>
      </c>
      <c r="K214" s="158"/>
      <c r="L214" s="158">
        <v>96.9</v>
      </c>
    </row>
    <row r="215" spans="2:12" ht="15" customHeight="1" x14ac:dyDescent="0.25">
      <c r="B215" s="63" t="s">
        <v>15</v>
      </c>
      <c r="C215" s="128" t="s">
        <v>247</v>
      </c>
      <c r="D215" s="118" t="s">
        <v>283</v>
      </c>
      <c r="E215" s="135" t="str">
        <f t="shared" si="3"/>
        <v>Oleo Trifasico e Desodorante Ekos Maracujá 200ml Frasco</v>
      </c>
      <c r="F215" s="120" t="s">
        <v>260</v>
      </c>
      <c r="G215" s="130"/>
      <c r="H215" s="120" t="s">
        <v>32</v>
      </c>
      <c r="I215" s="125" t="s">
        <v>33</v>
      </c>
      <c r="J215" s="120" t="s">
        <v>284</v>
      </c>
      <c r="K215" s="158"/>
      <c r="L215" s="158">
        <v>96.9</v>
      </c>
    </row>
    <row r="216" spans="2:12" ht="15" customHeight="1" x14ac:dyDescent="0.25">
      <c r="B216" s="63" t="s">
        <v>15</v>
      </c>
      <c r="C216" s="128" t="s">
        <v>247</v>
      </c>
      <c r="D216" s="118" t="s">
        <v>283</v>
      </c>
      <c r="E216" s="135" t="str">
        <f t="shared" si="3"/>
        <v>Oleo Trifasico e Desodorante Ekos Tukumã 200ml Frasco</v>
      </c>
      <c r="F216" s="2" t="s">
        <v>261</v>
      </c>
      <c r="G216" s="130"/>
      <c r="H216" s="120" t="s">
        <v>32</v>
      </c>
      <c r="I216" s="125" t="s">
        <v>33</v>
      </c>
      <c r="J216" s="120" t="s">
        <v>284</v>
      </c>
      <c r="K216" s="158"/>
      <c r="L216" s="158">
        <v>96.9</v>
      </c>
    </row>
    <row r="217" spans="2:12" ht="15" customHeight="1" x14ac:dyDescent="0.25">
      <c r="B217" s="63" t="s">
        <v>15</v>
      </c>
      <c r="C217" s="128" t="s">
        <v>247</v>
      </c>
      <c r="D217" s="118" t="s">
        <v>283</v>
      </c>
      <c r="E217" s="135" t="str">
        <f t="shared" si="3"/>
        <v>Oleo Trifasico e Desodorante Ekos Açaí 200ml Refil</v>
      </c>
      <c r="F217" s="120" t="s">
        <v>249</v>
      </c>
      <c r="G217" s="130"/>
      <c r="H217" s="120" t="s">
        <v>32</v>
      </c>
      <c r="I217" s="125" t="s">
        <v>51</v>
      </c>
      <c r="J217" s="120" t="s">
        <v>284</v>
      </c>
      <c r="K217" s="168"/>
      <c r="L217" s="168">
        <v>77.900000000000006</v>
      </c>
    </row>
    <row r="218" spans="2:12" ht="15" customHeight="1" x14ac:dyDescent="0.25">
      <c r="B218" s="63" t="s">
        <v>15</v>
      </c>
      <c r="C218" s="128" t="s">
        <v>247</v>
      </c>
      <c r="D218" s="118" t="s">
        <v>283</v>
      </c>
      <c r="E218" s="135" t="str">
        <f t="shared" si="3"/>
        <v>Oleo Trifasico e Desodorante Ekos Andiroba 200ml Refil</v>
      </c>
      <c r="F218" s="120" t="s">
        <v>252</v>
      </c>
      <c r="G218" s="130"/>
      <c r="H218" s="120" t="s">
        <v>32</v>
      </c>
      <c r="I218" s="125" t="s">
        <v>51</v>
      </c>
      <c r="J218" s="120" t="s">
        <v>284</v>
      </c>
      <c r="K218" s="168"/>
      <c r="L218" s="168">
        <v>77.900000000000006</v>
      </c>
    </row>
    <row r="219" spans="2:12" ht="15" customHeight="1" x14ac:dyDescent="0.25">
      <c r="B219" s="63" t="s">
        <v>15</v>
      </c>
      <c r="C219" s="128" t="s">
        <v>247</v>
      </c>
      <c r="D219" s="118" t="s">
        <v>283</v>
      </c>
      <c r="E219" s="135" t="str">
        <f t="shared" si="3"/>
        <v>Oleo Trifasico e Desodorante Ekos Castanha 200ml Refil</v>
      </c>
      <c r="F219" s="120" t="s">
        <v>285</v>
      </c>
      <c r="G219" s="130"/>
      <c r="H219" s="120" t="s">
        <v>32</v>
      </c>
      <c r="I219" s="125" t="s">
        <v>51</v>
      </c>
      <c r="J219" s="120" t="s">
        <v>284</v>
      </c>
      <c r="K219" s="168"/>
      <c r="L219" s="168">
        <v>77.900000000000006</v>
      </c>
    </row>
    <row r="220" spans="2:12" ht="15" customHeight="1" x14ac:dyDescent="0.25">
      <c r="B220" s="63" t="s">
        <v>15</v>
      </c>
      <c r="C220" s="128" t="s">
        <v>247</v>
      </c>
      <c r="D220" s="118" t="s">
        <v>283</v>
      </c>
      <c r="E220" s="135" t="str">
        <f t="shared" si="3"/>
        <v>Oleo Trifasico e Desodorante Ekos Maracujá 200ml Refil</v>
      </c>
      <c r="F220" s="120" t="s">
        <v>260</v>
      </c>
      <c r="G220" s="130"/>
      <c r="H220" s="120" t="s">
        <v>32</v>
      </c>
      <c r="I220" s="125" t="s">
        <v>51</v>
      </c>
      <c r="J220" s="120" t="s">
        <v>284</v>
      </c>
      <c r="K220" s="168"/>
      <c r="L220" s="168">
        <v>77.900000000000006</v>
      </c>
    </row>
    <row r="221" spans="2:12" ht="15" customHeight="1" x14ac:dyDescent="0.25">
      <c r="B221" s="63" t="s">
        <v>15</v>
      </c>
      <c r="C221" s="72" t="s">
        <v>247</v>
      </c>
      <c r="D221" s="118" t="s">
        <v>283</v>
      </c>
      <c r="E221" s="135" t="str">
        <f t="shared" si="3"/>
        <v>Oleo Trifasico e Desodorante Ekos Tukumã 200ml Refil</v>
      </c>
      <c r="F221" s="2" t="s">
        <v>261</v>
      </c>
      <c r="G221" s="130"/>
      <c r="H221" s="120" t="s">
        <v>32</v>
      </c>
      <c r="I221" s="125" t="s">
        <v>51</v>
      </c>
      <c r="J221" s="120" t="s">
        <v>284</v>
      </c>
      <c r="K221" s="168"/>
      <c r="L221" s="168">
        <v>77.900000000000006</v>
      </c>
    </row>
    <row r="222" spans="2:12" ht="15" customHeight="1" x14ac:dyDescent="0.25">
      <c r="B222" s="63" t="s">
        <v>15</v>
      </c>
      <c r="C222" s="128" t="s">
        <v>247</v>
      </c>
      <c r="D222" s="64" t="s">
        <v>248</v>
      </c>
      <c r="E222" s="135" t="str">
        <f t="shared" si="3"/>
        <v>Polpa Hidrante Ekos Açaí 400ml Refil</v>
      </c>
      <c r="F222" s="2" t="s">
        <v>286</v>
      </c>
      <c r="G222" s="130"/>
      <c r="H222" s="11" t="s">
        <v>274</v>
      </c>
      <c r="I222" s="33" t="s">
        <v>51</v>
      </c>
      <c r="J222" s="120" t="s">
        <v>269</v>
      </c>
      <c r="K222" s="160"/>
      <c r="L222" s="160">
        <v>67.900000000000006</v>
      </c>
    </row>
    <row r="223" spans="2:12" ht="15" customHeight="1" x14ac:dyDescent="0.25">
      <c r="B223" s="63" t="s">
        <v>15</v>
      </c>
      <c r="C223" s="128" t="s">
        <v>247</v>
      </c>
      <c r="D223" s="64" t="s">
        <v>248</v>
      </c>
      <c r="E223" s="135" t="str">
        <f t="shared" si="3"/>
        <v>Polpa Hidrante Ekos Andiroba 400ml Refil</v>
      </c>
      <c r="F223" s="2" t="s">
        <v>273</v>
      </c>
      <c r="G223" s="130"/>
      <c r="H223" s="11" t="s">
        <v>274</v>
      </c>
      <c r="I223" s="33" t="s">
        <v>51</v>
      </c>
      <c r="J223" s="120" t="s">
        <v>269</v>
      </c>
      <c r="K223" s="160"/>
      <c r="L223" s="160">
        <v>67.900000000000006</v>
      </c>
    </row>
    <row r="224" spans="2:12" ht="15" customHeight="1" x14ac:dyDescent="0.25">
      <c r="B224" s="63" t="s">
        <v>15</v>
      </c>
      <c r="C224" s="128" t="s">
        <v>247</v>
      </c>
      <c r="D224" s="64" t="s">
        <v>248</v>
      </c>
      <c r="E224" s="135" t="str">
        <f t="shared" si="3"/>
        <v>Polpa Hidrante Ekos Castanha 400ml Refil</v>
      </c>
      <c r="F224" s="2" t="s">
        <v>254</v>
      </c>
      <c r="G224" s="130"/>
      <c r="H224" s="11" t="s">
        <v>274</v>
      </c>
      <c r="I224" s="33" t="s">
        <v>51</v>
      </c>
      <c r="J224" s="120" t="s">
        <v>269</v>
      </c>
      <c r="K224" s="160"/>
      <c r="L224" s="160">
        <v>67.900000000000006</v>
      </c>
    </row>
    <row r="225" spans="2:12" ht="15" customHeight="1" x14ac:dyDescent="0.25">
      <c r="B225" s="63" t="s">
        <v>15</v>
      </c>
      <c r="C225" s="128" t="s">
        <v>247</v>
      </c>
      <c r="D225" s="64" t="s">
        <v>248</v>
      </c>
      <c r="E225" s="135" t="str">
        <f t="shared" si="3"/>
        <v>Polpa Hidrante Ekos Cacau 400ml Refil</v>
      </c>
      <c r="F225" s="3" t="s">
        <v>257</v>
      </c>
      <c r="G225" s="130"/>
      <c r="H225" s="11" t="s">
        <v>274</v>
      </c>
      <c r="I225" s="33" t="s">
        <v>51</v>
      </c>
      <c r="J225" s="120" t="s">
        <v>269</v>
      </c>
      <c r="K225" s="160"/>
      <c r="L225" s="160">
        <v>67.900000000000006</v>
      </c>
    </row>
    <row r="226" spans="2:12" ht="15" customHeight="1" x14ac:dyDescent="0.25">
      <c r="B226" s="63" t="s">
        <v>15</v>
      </c>
      <c r="C226" s="128" t="s">
        <v>247</v>
      </c>
      <c r="D226" s="64" t="s">
        <v>248</v>
      </c>
      <c r="E226" s="135" t="str">
        <f t="shared" si="3"/>
        <v>Polpa Hidrante Ekos Flor do Luar 400ml Refil</v>
      </c>
      <c r="F226" s="2" t="s">
        <v>271</v>
      </c>
      <c r="G226" s="130"/>
      <c r="H226" s="11" t="s">
        <v>274</v>
      </c>
      <c r="I226" s="33" t="s">
        <v>51</v>
      </c>
      <c r="J226" s="120" t="s">
        <v>269</v>
      </c>
      <c r="K226" s="160"/>
      <c r="L226" s="160">
        <v>67.900000000000006</v>
      </c>
    </row>
    <row r="227" spans="2:12" ht="15" customHeight="1" x14ac:dyDescent="0.25">
      <c r="B227" s="63" t="s">
        <v>15</v>
      </c>
      <c r="C227" s="128" t="s">
        <v>247</v>
      </c>
      <c r="D227" s="64" t="s">
        <v>248</v>
      </c>
      <c r="E227" s="135" t="str">
        <f t="shared" si="3"/>
        <v>Polpa Hidrante Ekos Maracujá 400ml Refil</v>
      </c>
      <c r="F227" s="2" t="s">
        <v>287</v>
      </c>
      <c r="G227" s="130"/>
      <c r="H227" s="11" t="s">
        <v>274</v>
      </c>
      <c r="I227" s="33" t="s">
        <v>51</v>
      </c>
      <c r="J227" s="120" t="s">
        <v>269</v>
      </c>
      <c r="K227" s="160"/>
      <c r="L227" s="160">
        <v>67.900000000000006</v>
      </c>
    </row>
    <row r="228" spans="2:12" ht="15" customHeight="1" x14ac:dyDescent="0.25">
      <c r="B228" s="63" t="s">
        <v>15</v>
      </c>
      <c r="C228" s="128" t="s">
        <v>247</v>
      </c>
      <c r="D228" s="64" t="s">
        <v>248</v>
      </c>
      <c r="E228" s="135" t="str">
        <f t="shared" si="3"/>
        <v>Polpa Hidrante Ekos Tukumã 400ml Refil</v>
      </c>
      <c r="F228" s="2" t="s">
        <v>266</v>
      </c>
      <c r="G228" s="130"/>
      <c r="H228" s="11" t="s">
        <v>274</v>
      </c>
      <c r="I228" s="33" t="s">
        <v>51</v>
      </c>
      <c r="J228" s="120" t="s">
        <v>269</v>
      </c>
      <c r="K228" s="160"/>
      <c r="L228" s="160">
        <v>67.900000000000006</v>
      </c>
    </row>
    <row r="229" spans="2:12" ht="15" customHeight="1" x14ac:dyDescent="0.25">
      <c r="B229" s="63" t="s">
        <v>15</v>
      </c>
      <c r="C229" s="128" t="s">
        <v>247</v>
      </c>
      <c r="D229" s="67" t="s">
        <v>288</v>
      </c>
      <c r="E229" s="135" t="str">
        <f t="shared" si="3"/>
        <v>Sabonete Barra Ekos Açaí 4x100g Caixa</v>
      </c>
      <c r="F229" s="2" t="s">
        <v>249</v>
      </c>
      <c r="G229" s="130">
        <v>4</v>
      </c>
      <c r="H229" s="9" t="s">
        <v>126</v>
      </c>
      <c r="I229" s="124" t="s">
        <v>289</v>
      </c>
      <c r="J229" s="9" t="s">
        <v>290</v>
      </c>
      <c r="K229" s="170"/>
      <c r="L229" s="170">
        <v>44.4</v>
      </c>
    </row>
    <row r="230" spans="2:12" ht="15" customHeight="1" x14ac:dyDescent="0.25">
      <c r="B230" s="63" t="s">
        <v>15</v>
      </c>
      <c r="C230" s="128" t="s">
        <v>247</v>
      </c>
      <c r="D230" s="67" t="s">
        <v>288</v>
      </c>
      <c r="E230" s="135" t="str">
        <f t="shared" si="3"/>
        <v>Sabonete Barra Ekos Cacau 4x100g Caixa</v>
      </c>
      <c r="F230" s="9" t="s">
        <v>257</v>
      </c>
      <c r="G230" s="130">
        <v>4</v>
      </c>
      <c r="H230" s="9" t="s">
        <v>126</v>
      </c>
      <c r="I230" s="124" t="s">
        <v>289</v>
      </c>
      <c r="J230" s="9" t="s">
        <v>290</v>
      </c>
      <c r="K230" s="170"/>
      <c r="L230" s="170">
        <v>44.4</v>
      </c>
    </row>
    <row r="231" spans="2:12" s="10" customFormat="1" ht="15" customHeight="1" x14ac:dyDescent="0.25">
      <c r="B231" s="63" t="s">
        <v>15</v>
      </c>
      <c r="C231" s="128" t="s">
        <v>247</v>
      </c>
      <c r="D231" s="67" t="s">
        <v>288</v>
      </c>
      <c r="E231" s="135" t="str">
        <f t="shared" si="3"/>
        <v>Sabonete Barra Ekos Castanha 4x100g Caixa</v>
      </c>
      <c r="F231" s="9" t="s">
        <v>254</v>
      </c>
      <c r="G231" s="130">
        <v>4</v>
      </c>
      <c r="H231" s="9" t="s">
        <v>126</v>
      </c>
      <c r="I231" s="124" t="s">
        <v>289</v>
      </c>
      <c r="J231" s="9" t="s">
        <v>290</v>
      </c>
      <c r="K231" s="170"/>
      <c r="L231" s="170">
        <v>44.4</v>
      </c>
    </row>
    <row r="232" spans="2:12" s="10" customFormat="1" ht="15" customHeight="1" x14ac:dyDescent="0.25">
      <c r="B232" s="63" t="s">
        <v>15</v>
      </c>
      <c r="C232" s="128" t="s">
        <v>247</v>
      </c>
      <c r="D232" s="67" t="s">
        <v>288</v>
      </c>
      <c r="E232" s="135" t="str">
        <f t="shared" si="3"/>
        <v>Sabonete Barra Ekos Flor do Luar 4x100g Caixa</v>
      </c>
      <c r="F232" s="2" t="s">
        <v>271</v>
      </c>
      <c r="G232" s="130">
        <v>4</v>
      </c>
      <c r="H232" s="9" t="s">
        <v>126</v>
      </c>
      <c r="I232" s="124" t="s">
        <v>289</v>
      </c>
      <c r="J232" s="9" t="s">
        <v>290</v>
      </c>
      <c r="K232" s="170"/>
      <c r="L232" s="170">
        <v>44.4</v>
      </c>
    </row>
    <row r="233" spans="2:12" ht="15" customHeight="1" x14ac:dyDescent="0.25">
      <c r="B233" s="63" t="s">
        <v>15</v>
      </c>
      <c r="C233" s="128" t="s">
        <v>247</v>
      </c>
      <c r="D233" s="67" t="s">
        <v>288</v>
      </c>
      <c r="E233" s="135" t="str">
        <f t="shared" si="3"/>
        <v>Sabonete Barra Ekos Maracujá 4x100g Caixa</v>
      </c>
      <c r="F233" s="2" t="s">
        <v>260</v>
      </c>
      <c r="G233" s="130">
        <v>4</v>
      </c>
      <c r="H233" s="9" t="s">
        <v>126</v>
      </c>
      <c r="I233" s="124" t="s">
        <v>289</v>
      </c>
      <c r="J233" s="9" t="s">
        <v>290</v>
      </c>
      <c r="K233" s="170"/>
      <c r="L233" s="170">
        <v>44.4</v>
      </c>
    </row>
    <row r="234" spans="2:12" s="10" customFormat="1" ht="15" customHeight="1" x14ac:dyDescent="0.25">
      <c r="B234" s="63" t="s">
        <v>15</v>
      </c>
      <c r="C234" s="128" t="s">
        <v>247</v>
      </c>
      <c r="D234" s="67" t="s">
        <v>288</v>
      </c>
      <c r="E234" s="135" t="str">
        <f t="shared" si="3"/>
        <v>Sabonete Barra Ekos Tukumã 4x100g Caixa</v>
      </c>
      <c r="F234" s="2" t="s">
        <v>266</v>
      </c>
      <c r="G234" s="130">
        <v>4</v>
      </c>
      <c r="H234" s="9" t="s">
        <v>126</v>
      </c>
      <c r="I234" s="124" t="s">
        <v>289</v>
      </c>
      <c r="J234" s="9" t="s">
        <v>290</v>
      </c>
      <c r="K234" s="170"/>
      <c r="L234" s="170">
        <v>44.4</v>
      </c>
    </row>
    <row r="235" spans="2:12" ht="15" customHeight="1" x14ac:dyDescent="0.25">
      <c r="B235" s="63" t="s">
        <v>15</v>
      </c>
      <c r="C235" s="128" t="s">
        <v>247</v>
      </c>
      <c r="D235" s="67" t="s">
        <v>291</v>
      </c>
      <c r="E235" s="135" t="str">
        <f t="shared" si="3"/>
        <v>Sabonete Barra Esfoliante Ekos Sortido: castnha, andiroba,ucuuba ,maracuja. 4x100g Caixa</v>
      </c>
      <c r="F235" s="2" t="s">
        <v>292</v>
      </c>
      <c r="G235" s="130">
        <v>4</v>
      </c>
      <c r="H235" s="9" t="s">
        <v>126</v>
      </c>
      <c r="I235" s="124" t="s">
        <v>289</v>
      </c>
      <c r="J235" s="9" t="s">
        <v>290</v>
      </c>
      <c r="K235" s="170"/>
      <c r="L235" s="170">
        <v>44.4</v>
      </c>
    </row>
    <row r="236" spans="2:12" ht="15" customHeight="1" x14ac:dyDescent="0.25">
      <c r="B236" s="63" t="s">
        <v>15</v>
      </c>
      <c r="C236" s="128" t="s">
        <v>247</v>
      </c>
      <c r="D236" s="67" t="s">
        <v>293</v>
      </c>
      <c r="E236" s="135" t="str">
        <f t="shared" si="3"/>
        <v>Sabonete Barra Esfoliante Ekos Sortido: castanha, maracuja, buriti, pitanga. 4x100g Caixa</v>
      </c>
      <c r="F236" s="2" t="s">
        <v>294</v>
      </c>
      <c r="G236" s="130">
        <v>4</v>
      </c>
      <c r="H236" s="9" t="s">
        <v>126</v>
      </c>
      <c r="I236" s="124" t="s">
        <v>289</v>
      </c>
      <c r="J236" s="9" t="s">
        <v>290</v>
      </c>
      <c r="K236" s="170"/>
      <c r="L236" s="170">
        <v>44.4</v>
      </c>
    </row>
    <row r="237" spans="2:12" ht="15" customHeight="1" x14ac:dyDescent="0.25">
      <c r="B237" s="63" t="s">
        <v>15</v>
      </c>
      <c r="C237" s="128" t="s">
        <v>247</v>
      </c>
      <c r="D237" s="67" t="s">
        <v>291</v>
      </c>
      <c r="E237" s="135" t="str">
        <f t="shared" si="3"/>
        <v>Sabonete Barra Esfoliante Ekos Sortido: castanha,maracuja,açai,andiroba 4x100g Caixa</v>
      </c>
      <c r="F237" s="2" t="s">
        <v>295</v>
      </c>
      <c r="G237" s="130">
        <v>4</v>
      </c>
      <c r="H237" s="9" t="s">
        <v>126</v>
      </c>
      <c r="I237" s="124" t="s">
        <v>289</v>
      </c>
      <c r="J237" s="9" t="s">
        <v>290</v>
      </c>
      <c r="K237" s="170"/>
      <c r="L237" s="170">
        <v>44.4</v>
      </c>
    </row>
    <row r="238" spans="2:12" ht="15" customHeight="1" x14ac:dyDescent="0.25">
      <c r="B238" s="63" t="s">
        <v>15</v>
      </c>
      <c r="C238" s="128" t="s">
        <v>247</v>
      </c>
      <c r="D238" s="67" t="s">
        <v>291</v>
      </c>
      <c r="E238" s="135" t="str">
        <f t="shared" si="3"/>
        <v>Sabonete Barra Esfoliante Ekos Sortido: castanha, andiroba, açai, maracujá. 4x100g Caixa</v>
      </c>
      <c r="F238" s="2" t="s">
        <v>296</v>
      </c>
      <c r="G238" s="130">
        <v>4</v>
      </c>
      <c r="H238" s="9" t="s">
        <v>126</v>
      </c>
      <c r="I238" s="124" t="s">
        <v>289</v>
      </c>
      <c r="J238" s="9" t="s">
        <v>290</v>
      </c>
      <c r="K238" s="170"/>
      <c r="L238" s="170">
        <v>44.4</v>
      </c>
    </row>
    <row r="239" spans="2:12" ht="15" customHeight="1" x14ac:dyDescent="0.25">
      <c r="B239" s="63" t="s">
        <v>15</v>
      </c>
      <c r="C239" s="128" t="s">
        <v>247</v>
      </c>
      <c r="D239" s="64" t="s">
        <v>297</v>
      </c>
      <c r="E239" s="135" t="str">
        <f t="shared" si="3"/>
        <v>Sabonete Barra Ekos Cacau 4x100g Caixa</v>
      </c>
      <c r="F239" s="8" t="s">
        <v>257</v>
      </c>
      <c r="G239" s="130">
        <v>4</v>
      </c>
      <c r="H239" s="9" t="s">
        <v>126</v>
      </c>
      <c r="I239" s="124" t="s">
        <v>289</v>
      </c>
      <c r="J239" s="11" t="s">
        <v>298</v>
      </c>
      <c r="K239" s="2"/>
      <c r="L239" s="2" t="s">
        <v>299</v>
      </c>
    </row>
    <row r="240" spans="2:12" ht="15" customHeight="1" x14ac:dyDescent="0.25">
      <c r="B240" s="63" t="s">
        <v>15</v>
      </c>
      <c r="C240" s="128" t="s">
        <v>247</v>
      </c>
      <c r="D240" s="64" t="s">
        <v>300</v>
      </c>
      <c r="E240" s="135" t="str">
        <f t="shared" si="3"/>
        <v>Sabonete Barra mini Ekos Maracujá 6x25g Caixa</v>
      </c>
      <c r="F240" s="4" t="s">
        <v>260</v>
      </c>
      <c r="G240" s="130">
        <v>6</v>
      </c>
      <c r="H240" s="2" t="s">
        <v>301</v>
      </c>
      <c r="I240" s="124" t="s">
        <v>289</v>
      </c>
      <c r="J240" s="11" t="s">
        <v>302</v>
      </c>
      <c r="K240" s="160"/>
      <c r="L240" s="160">
        <v>55.9</v>
      </c>
    </row>
    <row r="241" spans="2:12" ht="15" customHeight="1" x14ac:dyDescent="0.25">
      <c r="B241" s="63" t="s">
        <v>15</v>
      </c>
      <c r="C241" s="128" t="s">
        <v>247</v>
      </c>
      <c r="D241" s="64" t="s">
        <v>303</v>
      </c>
      <c r="E241" s="135" t="str">
        <f t="shared" si="3"/>
        <v>Sabonete liquido para Maos Ekos Cacau 250ml Frasco</v>
      </c>
      <c r="F241" s="15" t="s">
        <v>257</v>
      </c>
      <c r="G241" s="130"/>
      <c r="H241" s="2" t="s">
        <v>220</v>
      </c>
      <c r="I241" s="31" t="s">
        <v>33</v>
      </c>
      <c r="J241" s="11" t="s">
        <v>304</v>
      </c>
      <c r="K241" s="160"/>
      <c r="L241" s="160">
        <v>65</v>
      </c>
    </row>
    <row r="242" spans="2:12" ht="15" customHeight="1" x14ac:dyDescent="0.25">
      <c r="B242" s="63" t="s">
        <v>15</v>
      </c>
      <c r="C242" s="128" t="s">
        <v>247</v>
      </c>
      <c r="D242" s="64" t="s">
        <v>303</v>
      </c>
      <c r="E242" s="135" t="str">
        <f t="shared" si="3"/>
        <v>Sabonete liquido para Maos Ekos Castanha 250ml Frasco</v>
      </c>
      <c r="F242" s="8" t="s">
        <v>254</v>
      </c>
      <c r="G242" s="130"/>
      <c r="H242" s="2" t="s">
        <v>220</v>
      </c>
      <c r="I242" s="31" t="s">
        <v>33</v>
      </c>
      <c r="J242" s="11" t="s">
        <v>304</v>
      </c>
      <c r="K242" s="160"/>
      <c r="L242" s="160">
        <v>65</v>
      </c>
    </row>
    <row r="243" spans="2:12" ht="15" customHeight="1" x14ac:dyDescent="0.25">
      <c r="B243" s="63" t="s">
        <v>15</v>
      </c>
      <c r="C243" s="128" t="s">
        <v>247</v>
      </c>
      <c r="D243" s="64" t="s">
        <v>303</v>
      </c>
      <c r="E243" s="135" t="str">
        <f t="shared" si="3"/>
        <v>Sabonete liquido para Maos Ekos Maracujá 250ml Frasco</v>
      </c>
      <c r="F243" s="4" t="s">
        <v>260</v>
      </c>
      <c r="G243" s="130"/>
      <c r="H243" s="2" t="s">
        <v>220</v>
      </c>
      <c r="I243" s="31" t="s">
        <v>33</v>
      </c>
      <c r="J243" s="11" t="s">
        <v>304</v>
      </c>
      <c r="K243" s="160"/>
      <c r="L243" s="160">
        <v>65</v>
      </c>
    </row>
    <row r="244" spans="2:12" ht="15" customHeight="1" x14ac:dyDescent="0.25">
      <c r="B244" s="63" t="s">
        <v>15</v>
      </c>
      <c r="C244" s="128" t="s">
        <v>247</v>
      </c>
      <c r="D244" s="64" t="s">
        <v>303</v>
      </c>
      <c r="E244" s="135" t="str">
        <f t="shared" si="3"/>
        <v>Sabonete liquido para Maos Ekos Pitanga 250ml Frasco</v>
      </c>
      <c r="F244" s="16" t="s">
        <v>305</v>
      </c>
      <c r="G244" s="130"/>
      <c r="H244" s="2" t="s">
        <v>220</v>
      </c>
      <c r="I244" s="31" t="s">
        <v>33</v>
      </c>
      <c r="J244" s="11" t="s">
        <v>304</v>
      </c>
      <c r="K244" s="160"/>
      <c r="L244" s="160">
        <v>65</v>
      </c>
    </row>
    <row r="245" spans="2:12" ht="15" customHeight="1" x14ac:dyDescent="0.25">
      <c r="B245" s="63" t="s">
        <v>15</v>
      </c>
      <c r="C245" s="128" t="s">
        <v>247</v>
      </c>
      <c r="D245" s="64" t="s">
        <v>303</v>
      </c>
      <c r="E245" s="135" t="str">
        <f t="shared" si="3"/>
        <v>Sabonete liquido para Maos Ekos Cacau 250ml Refil</v>
      </c>
      <c r="F245" s="15" t="s">
        <v>257</v>
      </c>
      <c r="G245" s="130"/>
      <c r="H245" s="2" t="s">
        <v>220</v>
      </c>
      <c r="I245" s="31" t="s">
        <v>51</v>
      </c>
      <c r="J245" s="11" t="s">
        <v>304</v>
      </c>
      <c r="K245" s="160"/>
      <c r="L245" s="160">
        <v>48.9</v>
      </c>
    </row>
    <row r="246" spans="2:12" ht="15" customHeight="1" x14ac:dyDescent="0.25">
      <c r="B246" s="63" t="s">
        <v>15</v>
      </c>
      <c r="C246" s="128" t="s">
        <v>247</v>
      </c>
      <c r="D246" s="64" t="s">
        <v>303</v>
      </c>
      <c r="E246" s="135" t="str">
        <f t="shared" si="3"/>
        <v>Sabonete liquido para Maos Ekos Castanha 250ml Refil</v>
      </c>
      <c r="F246" s="8" t="s">
        <v>254</v>
      </c>
      <c r="G246" s="130"/>
      <c r="H246" s="2" t="s">
        <v>220</v>
      </c>
      <c r="I246" s="31" t="s">
        <v>51</v>
      </c>
      <c r="J246" s="11" t="s">
        <v>304</v>
      </c>
      <c r="K246" s="160"/>
      <c r="L246" s="160">
        <v>48.9</v>
      </c>
    </row>
    <row r="247" spans="2:12" ht="15" customHeight="1" x14ac:dyDescent="0.25">
      <c r="B247" s="63" t="s">
        <v>15</v>
      </c>
      <c r="C247" s="128" t="s">
        <v>247</v>
      </c>
      <c r="D247" s="64" t="s">
        <v>303</v>
      </c>
      <c r="E247" s="135" t="str">
        <f t="shared" si="3"/>
        <v>Sabonete liquido para Maos Ekos Maracujá 250ml Refil</v>
      </c>
      <c r="F247" s="4" t="s">
        <v>260</v>
      </c>
      <c r="G247" s="130"/>
      <c r="H247" s="2" t="s">
        <v>220</v>
      </c>
      <c r="I247" s="31" t="s">
        <v>51</v>
      </c>
      <c r="J247" s="11" t="s">
        <v>304</v>
      </c>
      <c r="K247" s="160"/>
      <c r="L247" s="160">
        <v>48.9</v>
      </c>
    </row>
    <row r="248" spans="2:12" ht="15" customHeight="1" x14ac:dyDescent="0.25">
      <c r="B248" s="63" t="s">
        <v>15</v>
      </c>
      <c r="C248" s="128" t="s">
        <v>247</v>
      </c>
      <c r="D248" s="64" t="s">
        <v>303</v>
      </c>
      <c r="E248" s="135" t="str">
        <f t="shared" si="3"/>
        <v>Sabonete liquido para Maos Ekos Pitanga 250ml Refil</v>
      </c>
      <c r="F248" s="16" t="s">
        <v>305</v>
      </c>
      <c r="G248" s="130"/>
      <c r="H248" s="2" t="s">
        <v>220</v>
      </c>
      <c r="I248" s="31" t="s">
        <v>51</v>
      </c>
      <c r="J248" s="11" t="s">
        <v>304</v>
      </c>
      <c r="K248" s="160"/>
      <c r="L248" s="160">
        <v>48.9</v>
      </c>
    </row>
    <row r="249" spans="2:12" ht="15" customHeight="1" x14ac:dyDescent="0.25">
      <c r="B249" s="63" t="s">
        <v>15</v>
      </c>
      <c r="C249" s="128" t="s">
        <v>247</v>
      </c>
      <c r="D249" s="64" t="s">
        <v>306</v>
      </c>
      <c r="E249" s="135" t="str">
        <f t="shared" si="3"/>
        <v>Kit Ekos Viagem Encontro com a Amazônia 4xKIT KIT</v>
      </c>
      <c r="F249" s="2" t="s">
        <v>307</v>
      </c>
      <c r="G249" s="130">
        <v>4</v>
      </c>
      <c r="H249" s="22" t="s">
        <v>308</v>
      </c>
      <c r="I249" s="31" t="s">
        <v>308</v>
      </c>
      <c r="J249" s="2">
        <v>1</v>
      </c>
      <c r="K249" s="11"/>
      <c r="L249" s="11"/>
    </row>
    <row r="250" spans="2:12" ht="15" customHeight="1" x14ac:dyDescent="0.25">
      <c r="B250" s="63" t="s">
        <v>15</v>
      </c>
      <c r="C250" s="128" t="s">
        <v>247</v>
      </c>
      <c r="D250" s="64" t="s">
        <v>309</v>
      </c>
      <c r="E250" s="135" t="str">
        <f t="shared" si="3"/>
        <v>Sabonte Liquido Esfoliante Ekos Açai 185ml Frasco</v>
      </c>
      <c r="F250" s="2" t="s">
        <v>310</v>
      </c>
      <c r="G250" s="130"/>
      <c r="H250" s="2" t="s">
        <v>311</v>
      </c>
      <c r="I250" s="31" t="s">
        <v>33</v>
      </c>
      <c r="J250" s="11" t="s">
        <v>312</v>
      </c>
      <c r="K250" s="160"/>
      <c r="L250" s="160">
        <v>54.9</v>
      </c>
    </row>
    <row r="251" spans="2:12" ht="15" customHeight="1" x14ac:dyDescent="0.25">
      <c r="B251" s="63" t="s">
        <v>15</v>
      </c>
      <c r="C251" s="128" t="s">
        <v>247</v>
      </c>
      <c r="D251" s="64" t="s">
        <v>309</v>
      </c>
      <c r="E251" s="135" t="str">
        <f t="shared" si="3"/>
        <v>Sabonte Liquido Esfoliante Ekos Maracujá 185ml Frasco</v>
      </c>
      <c r="F251" s="2" t="s">
        <v>260</v>
      </c>
      <c r="G251" s="130"/>
      <c r="H251" s="11" t="s">
        <v>313</v>
      </c>
      <c r="I251" s="33" t="s">
        <v>33</v>
      </c>
      <c r="J251" s="11" t="s">
        <v>312</v>
      </c>
      <c r="K251" s="160"/>
      <c r="L251" s="160">
        <v>54.9</v>
      </c>
    </row>
    <row r="252" spans="2:12" ht="15" customHeight="1" x14ac:dyDescent="0.25">
      <c r="B252" s="63" t="s">
        <v>15</v>
      </c>
      <c r="C252" s="128" t="s">
        <v>247</v>
      </c>
      <c r="D252" s="64" t="s">
        <v>309</v>
      </c>
      <c r="E252" s="135" t="str">
        <f t="shared" si="3"/>
        <v>Sabonte Liquido Esfoliante Ekos Tukumã 185ml Frasco</v>
      </c>
      <c r="F252" s="2" t="s">
        <v>266</v>
      </c>
      <c r="G252" s="130"/>
      <c r="H252" s="2" t="s">
        <v>313</v>
      </c>
      <c r="I252" s="31" t="s">
        <v>33</v>
      </c>
      <c r="J252" s="2" t="s">
        <v>312</v>
      </c>
      <c r="K252" s="160"/>
      <c r="L252" s="160">
        <v>54.9</v>
      </c>
    </row>
    <row r="253" spans="2:12" ht="15" customHeight="1" x14ac:dyDescent="0.25">
      <c r="B253" s="63" t="s">
        <v>15</v>
      </c>
      <c r="C253" s="128" t="s">
        <v>247</v>
      </c>
      <c r="D253" s="64" t="s">
        <v>309</v>
      </c>
      <c r="E253" s="135" t="str">
        <f t="shared" si="3"/>
        <v>Sabonte Liquido Esfoliante Ekos Açai 185ml Refil</v>
      </c>
      <c r="F253" s="2" t="s">
        <v>310</v>
      </c>
      <c r="G253" s="130"/>
      <c r="H253" s="2" t="s">
        <v>313</v>
      </c>
      <c r="I253" s="33" t="s">
        <v>201</v>
      </c>
      <c r="J253" s="2" t="s">
        <v>312</v>
      </c>
      <c r="K253" s="160"/>
      <c r="L253" s="160">
        <v>39.9</v>
      </c>
    </row>
    <row r="254" spans="2:12" ht="15" customHeight="1" x14ac:dyDescent="0.25">
      <c r="B254" s="63" t="s">
        <v>15</v>
      </c>
      <c r="C254" s="128" t="s">
        <v>247</v>
      </c>
      <c r="D254" s="64" t="s">
        <v>309</v>
      </c>
      <c r="E254" s="135" t="str">
        <f t="shared" si="3"/>
        <v>Sabonte Liquido Esfoliante Ekos Maracujá 185ml Refil</v>
      </c>
      <c r="F254" s="2" t="s">
        <v>260</v>
      </c>
      <c r="G254" s="130"/>
      <c r="H254" s="2" t="s">
        <v>313</v>
      </c>
      <c r="I254" s="33" t="s">
        <v>201</v>
      </c>
      <c r="J254" s="2" t="s">
        <v>312</v>
      </c>
      <c r="K254" s="160"/>
      <c r="L254" s="160">
        <v>39.9</v>
      </c>
    </row>
    <row r="255" spans="2:12" ht="15" customHeight="1" x14ac:dyDescent="0.25">
      <c r="B255" s="63" t="s">
        <v>15</v>
      </c>
      <c r="C255" s="128" t="s">
        <v>247</v>
      </c>
      <c r="D255" s="64" t="s">
        <v>309</v>
      </c>
      <c r="E255" s="135" t="str">
        <f t="shared" si="3"/>
        <v>Sabonte Liquido Esfoliante Ekos Tukumã 185ml Refil</v>
      </c>
      <c r="F255" s="2" t="s">
        <v>266</v>
      </c>
      <c r="G255" s="130"/>
      <c r="H255" s="2" t="s">
        <v>313</v>
      </c>
      <c r="I255" s="33" t="s">
        <v>201</v>
      </c>
      <c r="J255" s="2" t="s">
        <v>312</v>
      </c>
      <c r="K255" s="160"/>
      <c r="L255" s="160">
        <v>39.9</v>
      </c>
    </row>
    <row r="256" spans="2:12" ht="15" customHeight="1" x14ac:dyDescent="0.25">
      <c r="B256" s="63" t="s">
        <v>15</v>
      </c>
      <c r="C256" s="128" t="s">
        <v>247</v>
      </c>
      <c r="D256" s="64" t="s">
        <v>314</v>
      </c>
      <c r="E256" s="135" t="str">
        <f t="shared" si="3"/>
        <v>Sabonete Liquido em Oleo Ekos Castanha 200ml Frasco</v>
      </c>
      <c r="F256" s="2" t="s">
        <v>254</v>
      </c>
      <c r="G256" s="130"/>
      <c r="H256" s="2" t="s">
        <v>32</v>
      </c>
      <c r="I256" s="31" t="s">
        <v>33</v>
      </c>
      <c r="J256" s="2" t="s">
        <v>312</v>
      </c>
      <c r="K256" s="160"/>
      <c r="L256" s="160">
        <v>74.900000000000006</v>
      </c>
    </row>
    <row r="257" spans="1:12" ht="15" customHeight="1" x14ac:dyDescent="0.25">
      <c r="B257" s="63" t="s">
        <v>15</v>
      </c>
      <c r="C257" s="128" t="s">
        <v>247</v>
      </c>
      <c r="D257" s="64" t="s">
        <v>315</v>
      </c>
      <c r="E257" s="135" t="str">
        <f t="shared" si="3"/>
        <v>Sabonete Liquido Corporal Ekos Andiroba 195ml Frasco</v>
      </c>
      <c r="F257" s="2" t="s">
        <v>252</v>
      </c>
      <c r="G257" s="130"/>
      <c r="H257" s="2" t="s">
        <v>316</v>
      </c>
      <c r="I257" s="31" t="s">
        <v>33</v>
      </c>
      <c r="J257" s="11" t="s">
        <v>317</v>
      </c>
      <c r="K257" s="160"/>
      <c r="L257" s="160">
        <v>54.9</v>
      </c>
    </row>
    <row r="258" spans="1:12" ht="15" customHeight="1" x14ac:dyDescent="0.25">
      <c r="B258" s="63" t="s">
        <v>15</v>
      </c>
      <c r="C258" s="128" t="s">
        <v>247</v>
      </c>
      <c r="D258" s="64" t="s">
        <v>315</v>
      </c>
      <c r="E258" s="135" t="str">
        <f t="shared" ref="E258:E321" si="4">TRIM(CONCATENATE(D258, " ", C258, " ", F258, " ", IF(G258&gt;0, G258 &amp; "x" &amp; H258, H258), " ", I258))</f>
        <v>Sabonete Liquido Corporal Ekos Andiroba 195ml Refil</v>
      </c>
      <c r="F258" s="2" t="s">
        <v>252</v>
      </c>
      <c r="G258" s="130"/>
      <c r="H258" s="2" t="s">
        <v>316</v>
      </c>
      <c r="I258" s="33" t="s">
        <v>201</v>
      </c>
      <c r="J258" s="11" t="s">
        <v>317</v>
      </c>
      <c r="K258" s="160"/>
      <c r="L258" s="160">
        <v>39.9</v>
      </c>
    </row>
    <row r="259" spans="1:12" ht="15" customHeight="1" x14ac:dyDescent="0.25">
      <c r="B259" s="63" t="s">
        <v>15</v>
      </c>
      <c r="C259" s="128" t="s">
        <v>247</v>
      </c>
      <c r="D259" s="65" t="s">
        <v>318</v>
      </c>
      <c r="E259" s="135" t="str">
        <f t="shared" si="4"/>
        <v>Pre Shampoo Ekos Murumuru 100g Frasco</v>
      </c>
      <c r="F259" s="2" t="s">
        <v>319</v>
      </c>
      <c r="G259" s="130"/>
      <c r="H259" s="2" t="s">
        <v>126</v>
      </c>
      <c r="I259" s="31" t="s">
        <v>33</v>
      </c>
      <c r="J259" s="11" t="s">
        <v>320</v>
      </c>
      <c r="K259" s="160"/>
      <c r="L259" s="160">
        <v>59.9</v>
      </c>
    </row>
    <row r="260" spans="1:12" ht="15" customHeight="1" x14ac:dyDescent="0.25">
      <c r="B260" s="63" t="s">
        <v>15</v>
      </c>
      <c r="C260" s="128" t="s">
        <v>247</v>
      </c>
      <c r="D260" s="64" t="s">
        <v>321</v>
      </c>
      <c r="E260" s="135" t="str">
        <f t="shared" si="4"/>
        <v>Shampoo Ekos Murumuru 300ml Frasco</v>
      </c>
      <c r="F260" s="2" t="s">
        <v>322</v>
      </c>
      <c r="G260" s="130"/>
      <c r="H260" s="2" t="s">
        <v>168</v>
      </c>
      <c r="I260" s="31" t="s">
        <v>33</v>
      </c>
      <c r="J260" s="11" t="s">
        <v>323</v>
      </c>
      <c r="K260" s="160"/>
      <c r="L260" s="160">
        <v>56.9</v>
      </c>
    </row>
    <row r="261" spans="1:12" ht="15" customHeight="1" x14ac:dyDescent="0.25">
      <c r="B261" s="63" t="s">
        <v>15</v>
      </c>
      <c r="C261" s="128" t="s">
        <v>247</v>
      </c>
      <c r="D261" s="64" t="s">
        <v>321</v>
      </c>
      <c r="E261" s="135" t="str">
        <f t="shared" si="4"/>
        <v>Shampoo Ekos Patuá 300ml Frasco</v>
      </c>
      <c r="F261" s="2" t="s">
        <v>324</v>
      </c>
      <c r="G261" s="130"/>
      <c r="H261" s="2" t="s">
        <v>168</v>
      </c>
      <c r="I261" s="31" t="s">
        <v>33</v>
      </c>
      <c r="J261" s="11" t="s">
        <v>325</v>
      </c>
      <c r="K261" s="160"/>
      <c r="L261" s="160">
        <v>56.9</v>
      </c>
    </row>
    <row r="262" spans="1:12" ht="15" customHeight="1" x14ac:dyDescent="0.25">
      <c r="B262" s="63" t="s">
        <v>15</v>
      </c>
      <c r="C262" s="128" t="s">
        <v>247</v>
      </c>
      <c r="D262" s="64" t="s">
        <v>321</v>
      </c>
      <c r="E262" s="135" t="str">
        <f t="shared" si="4"/>
        <v>Shampoo Ekos Murumuru 300ml Refil</v>
      </c>
      <c r="F262" s="2" t="s">
        <v>322</v>
      </c>
      <c r="G262" s="130"/>
      <c r="H262" s="2" t="s">
        <v>168</v>
      </c>
      <c r="I262" s="31" t="s">
        <v>201</v>
      </c>
      <c r="J262" s="11" t="s">
        <v>323</v>
      </c>
      <c r="K262" s="160"/>
      <c r="L262" s="160">
        <v>43.5</v>
      </c>
    </row>
    <row r="263" spans="1:12" ht="15" customHeight="1" x14ac:dyDescent="0.25">
      <c r="A263" t="s">
        <v>326</v>
      </c>
      <c r="B263" s="63" t="s">
        <v>15</v>
      </c>
      <c r="C263" s="128" t="s">
        <v>247</v>
      </c>
      <c r="D263" s="64" t="s">
        <v>321</v>
      </c>
      <c r="E263" s="135" t="str">
        <f t="shared" si="4"/>
        <v>Shampoo Ekos Patuá 300ml Refil</v>
      </c>
      <c r="F263" s="2" t="s">
        <v>324</v>
      </c>
      <c r="G263" s="130"/>
      <c r="H263" s="2" t="s">
        <v>168</v>
      </c>
      <c r="I263" s="31" t="s">
        <v>201</v>
      </c>
      <c r="J263" s="11" t="s">
        <v>325</v>
      </c>
      <c r="K263" s="160"/>
      <c r="L263" s="160">
        <v>43.5</v>
      </c>
    </row>
    <row r="264" spans="1:12" ht="15" customHeight="1" x14ac:dyDescent="0.25">
      <c r="B264" s="63" t="s">
        <v>15</v>
      </c>
      <c r="C264" s="128" t="s">
        <v>247</v>
      </c>
      <c r="D264" s="65" t="s">
        <v>213</v>
      </c>
      <c r="E264" s="135" t="str">
        <f t="shared" si="4"/>
        <v>Condicionador Ekos Murumuru 300ml Frasco</v>
      </c>
      <c r="F264" s="2" t="s">
        <v>322</v>
      </c>
      <c r="G264" s="130"/>
      <c r="H264" s="2" t="s">
        <v>168</v>
      </c>
      <c r="I264" s="31" t="s">
        <v>33</v>
      </c>
      <c r="J264" s="11" t="s">
        <v>323</v>
      </c>
      <c r="K264" s="160"/>
      <c r="L264" s="160">
        <v>59.9</v>
      </c>
    </row>
    <row r="265" spans="1:12" ht="15" customHeight="1" x14ac:dyDescent="0.25">
      <c r="B265" s="63" t="s">
        <v>15</v>
      </c>
      <c r="C265" s="128" t="s">
        <v>247</v>
      </c>
      <c r="D265" s="65" t="s">
        <v>213</v>
      </c>
      <c r="E265" s="135" t="str">
        <f t="shared" si="4"/>
        <v>Condicionador Ekos Patuá 300ml Frasco</v>
      </c>
      <c r="F265" s="2" t="s">
        <v>324</v>
      </c>
      <c r="G265" s="130"/>
      <c r="H265" s="2" t="s">
        <v>168</v>
      </c>
      <c r="I265" s="31" t="s">
        <v>33</v>
      </c>
      <c r="J265" s="11" t="s">
        <v>325</v>
      </c>
      <c r="K265" s="160"/>
      <c r="L265" s="160">
        <v>59.9</v>
      </c>
    </row>
    <row r="266" spans="1:12" ht="15" customHeight="1" x14ac:dyDescent="0.25">
      <c r="B266" s="63" t="s">
        <v>15</v>
      </c>
      <c r="C266" s="128" t="s">
        <v>247</v>
      </c>
      <c r="D266" s="65" t="s">
        <v>213</v>
      </c>
      <c r="E266" s="135" t="str">
        <f t="shared" si="4"/>
        <v>Condicionador Ekos Murumuru 300ml Refil</v>
      </c>
      <c r="F266" s="2" t="s">
        <v>322</v>
      </c>
      <c r="G266" s="130"/>
      <c r="H266" s="2" t="s">
        <v>168</v>
      </c>
      <c r="I266" s="31" t="s">
        <v>201</v>
      </c>
      <c r="J266" s="11" t="s">
        <v>323</v>
      </c>
      <c r="K266" s="160"/>
      <c r="L266" s="160" t="s">
        <v>327</v>
      </c>
    </row>
    <row r="267" spans="1:12" ht="15" customHeight="1" x14ac:dyDescent="0.25">
      <c r="A267" t="s">
        <v>328</v>
      </c>
      <c r="B267" s="63" t="s">
        <v>15</v>
      </c>
      <c r="C267" s="128" t="s">
        <v>247</v>
      </c>
      <c r="D267" s="65" t="s">
        <v>213</v>
      </c>
      <c r="E267" s="135" t="str">
        <f t="shared" si="4"/>
        <v>Condicionador Ekos Patuá 300ml Refil</v>
      </c>
      <c r="F267" s="2" t="s">
        <v>324</v>
      </c>
      <c r="G267" s="130"/>
      <c r="H267" s="2" t="s">
        <v>168</v>
      </c>
      <c r="I267" s="31" t="s">
        <v>201</v>
      </c>
      <c r="J267" s="11" t="s">
        <v>325</v>
      </c>
      <c r="K267" s="160"/>
      <c r="L267" s="160" t="s">
        <v>329</v>
      </c>
    </row>
    <row r="268" spans="1:12" ht="15" customHeight="1" x14ac:dyDescent="0.25">
      <c r="B268" s="63" t="s">
        <v>15</v>
      </c>
      <c r="C268" s="128" t="s">
        <v>247</v>
      </c>
      <c r="D268" s="64" t="s">
        <v>330</v>
      </c>
      <c r="E268" s="135" t="str">
        <f t="shared" si="4"/>
        <v>Mascara para cabelo Ekos Murumuru 200g Pote</v>
      </c>
      <c r="F268" s="2" t="s">
        <v>322</v>
      </c>
      <c r="G268" s="130"/>
      <c r="H268" s="2" t="s">
        <v>67</v>
      </c>
      <c r="I268" s="31" t="s">
        <v>62</v>
      </c>
      <c r="J268" s="2" t="s">
        <v>331</v>
      </c>
      <c r="K268" s="160"/>
      <c r="L268" s="160">
        <v>81.900000000000006</v>
      </c>
    </row>
    <row r="269" spans="1:12" ht="15" customHeight="1" x14ac:dyDescent="0.25">
      <c r="B269" s="63" t="s">
        <v>15</v>
      </c>
      <c r="C269" s="128" t="s">
        <v>247</v>
      </c>
      <c r="D269" s="64" t="s">
        <v>330</v>
      </c>
      <c r="E269" s="135" t="str">
        <f t="shared" si="4"/>
        <v>Mascara para cabelo Ekos Patuá 200g Pote</v>
      </c>
      <c r="F269" s="2" t="s">
        <v>324</v>
      </c>
      <c r="G269" s="130"/>
      <c r="H269" s="2" t="s">
        <v>67</v>
      </c>
      <c r="I269" s="31" t="s">
        <v>62</v>
      </c>
      <c r="J269" s="2" t="s">
        <v>332</v>
      </c>
      <c r="K269" s="160"/>
      <c r="L269" s="160">
        <v>81.900000000000006</v>
      </c>
    </row>
    <row r="270" spans="1:12" ht="15" customHeight="1" x14ac:dyDescent="0.25">
      <c r="B270" s="63" t="s">
        <v>15</v>
      </c>
      <c r="C270" s="128" t="s">
        <v>247</v>
      </c>
      <c r="D270" s="64" t="s">
        <v>333</v>
      </c>
      <c r="E270" s="135" t="str">
        <f t="shared" si="4"/>
        <v>Creme Para Pentear Ekos Murumuru 150ml Frasco</v>
      </c>
      <c r="F270" s="2" t="s">
        <v>322</v>
      </c>
      <c r="G270" s="130"/>
      <c r="H270" s="2" t="s">
        <v>334</v>
      </c>
      <c r="I270" s="31" t="s">
        <v>33</v>
      </c>
      <c r="J270" s="2" t="s">
        <v>335</v>
      </c>
      <c r="K270" s="160"/>
      <c r="L270" s="160">
        <v>59.9</v>
      </c>
    </row>
    <row r="271" spans="1:12" s="10" customFormat="1" ht="15" customHeight="1" x14ac:dyDescent="0.25">
      <c r="B271" s="63" t="s">
        <v>15</v>
      </c>
      <c r="C271" s="128" t="s">
        <v>247</v>
      </c>
      <c r="D271" s="68" t="s">
        <v>336</v>
      </c>
      <c r="E271" s="135" t="str">
        <f t="shared" si="4"/>
        <v>Oleo Finalizador Cabelo Ekos Patuá 60ml Frasco</v>
      </c>
      <c r="F271" s="9" t="s">
        <v>324</v>
      </c>
      <c r="G271" s="130"/>
      <c r="H271" s="9" t="s">
        <v>337</v>
      </c>
      <c r="I271" s="36" t="s">
        <v>33</v>
      </c>
      <c r="J271" s="9" t="s">
        <v>338</v>
      </c>
      <c r="K271" s="171"/>
      <c r="L271" s="171">
        <v>89.9</v>
      </c>
    </row>
    <row r="272" spans="1:12" ht="15" customHeight="1" x14ac:dyDescent="0.25">
      <c r="B272" s="63" t="s">
        <v>15</v>
      </c>
      <c r="C272" s="128" t="s">
        <v>247</v>
      </c>
      <c r="D272" s="64" t="s">
        <v>339</v>
      </c>
      <c r="E272" s="135" t="str">
        <f t="shared" si="4"/>
        <v>Serum Noturno Nutritivo Ekos Murumuru 30ml Frasco</v>
      </c>
      <c r="F272" s="2" t="s">
        <v>322</v>
      </c>
      <c r="G272" s="130"/>
      <c r="H272" s="2" t="s">
        <v>340</v>
      </c>
      <c r="I272" s="31" t="s">
        <v>33</v>
      </c>
      <c r="J272" s="11" t="s">
        <v>341</v>
      </c>
      <c r="K272" s="160"/>
      <c r="L272" s="160">
        <v>73.900000000000006</v>
      </c>
    </row>
    <row r="273" spans="1:12" s="10" customFormat="1" ht="15" customHeight="1" x14ac:dyDescent="0.25">
      <c r="B273" s="63" t="s">
        <v>15</v>
      </c>
      <c r="C273" s="128" t="s">
        <v>247</v>
      </c>
      <c r="D273" s="68" t="s">
        <v>342</v>
      </c>
      <c r="E273" s="135" t="str">
        <f t="shared" si="4"/>
        <v>Tonico Noturno de Crescimento Ekos Patuá 30ml Frasco</v>
      </c>
      <c r="F273" s="9" t="s">
        <v>324</v>
      </c>
      <c r="G273" s="130"/>
      <c r="H273" s="2" t="s">
        <v>340</v>
      </c>
      <c r="I273" s="31" t="s">
        <v>33</v>
      </c>
      <c r="J273" s="9" t="s">
        <v>343</v>
      </c>
      <c r="K273" s="160"/>
      <c r="L273" s="160">
        <v>73.900000000000006</v>
      </c>
    </row>
    <row r="274" spans="1:12" s="10" customFormat="1" ht="15" customHeight="1" x14ac:dyDescent="0.25">
      <c r="B274" s="63" t="s">
        <v>15</v>
      </c>
      <c r="C274" s="128" t="s">
        <v>247</v>
      </c>
      <c r="D274" s="68" t="s">
        <v>344</v>
      </c>
      <c r="E274" s="135" t="str">
        <f t="shared" si="4"/>
        <v>Colonia Ekos Frescor Açai Feminino 150ml Frasco</v>
      </c>
      <c r="F274" s="9" t="s">
        <v>345</v>
      </c>
      <c r="G274" s="130"/>
      <c r="H274" s="9" t="s">
        <v>334</v>
      </c>
      <c r="I274" s="36" t="s">
        <v>33</v>
      </c>
      <c r="J274" s="9" t="s">
        <v>346</v>
      </c>
      <c r="K274" s="171"/>
      <c r="L274" s="171">
        <v>124.9</v>
      </c>
    </row>
    <row r="275" spans="1:12" s="10" customFormat="1" ht="15" customHeight="1" x14ac:dyDescent="0.25">
      <c r="B275" s="63" t="s">
        <v>15</v>
      </c>
      <c r="C275" s="128" t="s">
        <v>247</v>
      </c>
      <c r="D275" s="68" t="s">
        <v>344</v>
      </c>
      <c r="E275" s="135" t="str">
        <f t="shared" si="4"/>
        <v>Colonia Ekos Frescor Andiroba Feminino 150ml Frasco</v>
      </c>
      <c r="F275" s="9" t="s">
        <v>347</v>
      </c>
      <c r="G275" s="130"/>
      <c r="H275" s="9" t="s">
        <v>334</v>
      </c>
      <c r="I275" s="36" t="s">
        <v>33</v>
      </c>
      <c r="J275" s="9" t="s">
        <v>346</v>
      </c>
      <c r="K275" s="171"/>
      <c r="L275" s="171">
        <v>124.9</v>
      </c>
    </row>
    <row r="276" spans="1:12" s="10" customFormat="1" ht="15" customHeight="1" x14ac:dyDescent="0.25">
      <c r="B276" s="63" t="s">
        <v>15</v>
      </c>
      <c r="C276" s="128" t="s">
        <v>247</v>
      </c>
      <c r="D276" s="68" t="s">
        <v>344</v>
      </c>
      <c r="E276" s="135" t="str">
        <f t="shared" si="4"/>
        <v>Colonia Ekos Frescor Cacau Feminino 150ml Frasco</v>
      </c>
      <c r="F276" s="9" t="s">
        <v>348</v>
      </c>
      <c r="G276" s="130"/>
      <c r="H276" s="9" t="s">
        <v>334</v>
      </c>
      <c r="I276" s="36" t="s">
        <v>33</v>
      </c>
      <c r="J276" s="9" t="s">
        <v>346</v>
      </c>
      <c r="K276" s="171"/>
      <c r="L276" s="171">
        <v>124.9</v>
      </c>
    </row>
    <row r="277" spans="1:12" s="10" customFormat="1" ht="15" customHeight="1" x14ac:dyDescent="0.25">
      <c r="B277" s="63" t="s">
        <v>15</v>
      </c>
      <c r="C277" s="128" t="s">
        <v>247</v>
      </c>
      <c r="D277" s="68" t="s">
        <v>344</v>
      </c>
      <c r="E277" s="135" t="str">
        <f t="shared" si="4"/>
        <v>Colonia Ekos Frescor Castanha Feminino 150ml Frasco</v>
      </c>
      <c r="F277" s="9" t="s">
        <v>349</v>
      </c>
      <c r="G277" s="130"/>
      <c r="H277" s="9" t="s">
        <v>334</v>
      </c>
      <c r="I277" s="36" t="s">
        <v>33</v>
      </c>
      <c r="J277" s="9" t="s">
        <v>346</v>
      </c>
      <c r="K277" s="171"/>
      <c r="L277" s="171">
        <v>124.9</v>
      </c>
    </row>
    <row r="278" spans="1:12" s="10" customFormat="1" ht="15" customHeight="1" x14ac:dyDescent="0.25">
      <c r="B278" s="63" t="s">
        <v>15</v>
      </c>
      <c r="C278" s="128" t="s">
        <v>247</v>
      </c>
      <c r="D278" s="68" t="s">
        <v>344</v>
      </c>
      <c r="E278" s="135" t="str">
        <f t="shared" si="4"/>
        <v>Colonia Ekos Frescor Flor do Luar Feminino 150ml Frasco</v>
      </c>
      <c r="F278" s="9" t="s">
        <v>350</v>
      </c>
      <c r="G278" s="130"/>
      <c r="H278" s="9" t="s">
        <v>334</v>
      </c>
      <c r="I278" s="36" t="s">
        <v>33</v>
      </c>
      <c r="J278" s="9" t="s">
        <v>346</v>
      </c>
      <c r="K278" s="171"/>
      <c r="L278" s="171">
        <v>124.9</v>
      </c>
    </row>
    <row r="279" spans="1:12" s="10" customFormat="1" ht="15" customHeight="1" x14ac:dyDescent="0.25">
      <c r="B279" s="63" t="s">
        <v>15</v>
      </c>
      <c r="C279" s="128" t="s">
        <v>247</v>
      </c>
      <c r="D279" s="68" t="s">
        <v>344</v>
      </c>
      <c r="E279" s="135" t="str">
        <f t="shared" si="4"/>
        <v>Colonia Ekos Frescor Maracuja Feminino 150ml Frasco</v>
      </c>
      <c r="F279" s="9" t="s">
        <v>351</v>
      </c>
      <c r="G279" s="130"/>
      <c r="H279" s="9" t="s">
        <v>334</v>
      </c>
      <c r="I279" s="36" t="s">
        <v>33</v>
      </c>
      <c r="J279" s="9" t="s">
        <v>346</v>
      </c>
      <c r="K279" s="171"/>
      <c r="L279" s="171">
        <v>124.9</v>
      </c>
    </row>
    <row r="280" spans="1:12" s="10" customFormat="1" ht="15" customHeight="1" x14ac:dyDescent="0.25">
      <c r="B280" s="63" t="s">
        <v>15</v>
      </c>
      <c r="C280" s="128" t="s">
        <v>247</v>
      </c>
      <c r="D280" s="68" t="s">
        <v>344</v>
      </c>
      <c r="E280" s="135" t="str">
        <f t="shared" si="4"/>
        <v>Colonia Ekos Frescor Pitanga Feminino 150ml Frasco</v>
      </c>
      <c r="F280" s="9" t="s">
        <v>352</v>
      </c>
      <c r="G280" s="130"/>
      <c r="H280" s="9" t="s">
        <v>334</v>
      </c>
      <c r="I280" s="36" t="s">
        <v>33</v>
      </c>
      <c r="J280" s="9" t="s">
        <v>346</v>
      </c>
      <c r="K280" s="171"/>
      <c r="L280" s="171">
        <v>124.9</v>
      </c>
    </row>
    <row r="281" spans="1:12" s="10" customFormat="1" ht="15" customHeight="1" x14ac:dyDescent="0.25">
      <c r="B281" s="63" t="s">
        <v>15</v>
      </c>
      <c r="C281" s="128" t="s">
        <v>247</v>
      </c>
      <c r="D281" s="68" t="s">
        <v>353</v>
      </c>
      <c r="E281" s="135" t="str">
        <f t="shared" si="4"/>
        <v>Eau De Parfum Ekos Alma 50ml Frasco</v>
      </c>
      <c r="F281" s="9" t="s">
        <v>354</v>
      </c>
      <c r="G281" s="130"/>
      <c r="H281" s="9" t="s">
        <v>355</v>
      </c>
      <c r="I281" s="36" t="s">
        <v>33</v>
      </c>
      <c r="J281" s="9" t="s">
        <v>356</v>
      </c>
      <c r="K281" s="171"/>
      <c r="L281" s="171">
        <v>375.9</v>
      </c>
    </row>
    <row r="282" spans="1:12" s="10" customFormat="1" ht="15" customHeight="1" x14ac:dyDescent="0.25">
      <c r="B282" s="63" t="s">
        <v>15</v>
      </c>
      <c r="C282" s="128" t="s">
        <v>247</v>
      </c>
      <c r="D282" s="68" t="s">
        <v>353</v>
      </c>
      <c r="E282" s="135" t="str">
        <f t="shared" si="4"/>
        <v>Eau De Parfum Ekos Pedra 50ml Frasco</v>
      </c>
      <c r="F282" s="9" t="s">
        <v>357</v>
      </c>
      <c r="G282" s="130"/>
      <c r="H282" s="9" t="s">
        <v>355</v>
      </c>
      <c r="I282" s="36" t="s">
        <v>33</v>
      </c>
      <c r="J282" s="9" t="s">
        <v>358</v>
      </c>
      <c r="K282" s="171"/>
      <c r="L282" s="171">
        <v>375.9</v>
      </c>
    </row>
    <row r="283" spans="1:12" s="10" customFormat="1" ht="15" customHeight="1" x14ac:dyDescent="0.25">
      <c r="B283" s="63" t="s">
        <v>15</v>
      </c>
      <c r="C283" s="128" t="s">
        <v>247</v>
      </c>
      <c r="D283" s="68" t="s">
        <v>353</v>
      </c>
      <c r="E283" s="135" t="str">
        <f t="shared" si="4"/>
        <v>Eau De Parfum Ekos Raiz 50ml Frasco</v>
      </c>
      <c r="F283" s="9" t="s">
        <v>359</v>
      </c>
      <c r="G283" s="130"/>
      <c r="H283" s="9" t="s">
        <v>355</v>
      </c>
      <c r="I283" s="36" t="s">
        <v>33</v>
      </c>
      <c r="J283" s="9" t="s">
        <v>360</v>
      </c>
      <c r="K283" s="171"/>
      <c r="L283" s="171">
        <v>375.9</v>
      </c>
    </row>
    <row r="284" spans="1:12" s="10" customFormat="1" ht="15" customHeight="1" x14ac:dyDescent="0.25">
      <c r="B284" s="63" t="s">
        <v>15</v>
      </c>
      <c r="C284" s="128" t="s">
        <v>247</v>
      </c>
      <c r="D284" s="68" t="s">
        <v>353</v>
      </c>
      <c r="E284" s="135" t="str">
        <f t="shared" si="4"/>
        <v>Eau De Parfum Ekos Ryo Chuva 50ml Frasco</v>
      </c>
      <c r="F284" s="9" t="s">
        <v>361</v>
      </c>
      <c r="G284" s="130"/>
      <c r="H284" s="9" t="s">
        <v>355</v>
      </c>
      <c r="I284" s="36" t="s">
        <v>33</v>
      </c>
      <c r="J284" s="9" t="s">
        <v>362</v>
      </c>
      <c r="K284" s="171"/>
      <c r="L284" s="171">
        <v>189.9</v>
      </c>
    </row>
    <row r="285" spans="1:12" s="10" customFormat="1" ht="15" customHeight="1" x14ac:dyDescent="0.25">
      <c r="B285" s="63" t="s">
        <v>15</v>
      </c>
      <c r="C285" s="128" t="s">
        <v>247</v>
      </c>
      <c r="D285" s="68" t="s">
        <v>353</v>
      </c>
      <c r="E285" s="135" t="str">
        <f t="shared" si="4"/>
        <v>Eau De Parfum Ekos Ryo Festa 50ml Frasco</v>
      </c>
      <c r="F285" s="9" t="s">
        <v>363</v>
      </c>
      <c r="G285" s="130"/>
      <c r="H285" s="9" t="s">
        <v>355</v>
      </c>
      <c r="I285" s="36" t="s">
        <v>33</v>
      </c>
      <c r="J285" s="9" t="s">
        <v>364</v>
      </c>
      <c r="K285" s="171"/>
      <c r="L285" s="171">
        <v>189.9</v>
      </c>
    </row>
    <row r="286" spans="1:12" s="10" customFormat="1" ht="15" customHeight="1" x14ac:dyDescent="0.25">
      <c r="B286" s="63" t="s">
        <v>15</v>
      </c>
      <c r="C286" s="128" t="s">
        <v>247</v>
      </c>
      <c r="D286" s="68" t="s">
        <v>353</v>
      </c>
      <c r="E286" s="135" t="str">
        <f t="shared" si="4"/>
        <v>Eau De Parfum Ekos Ryo Vivo 50ml Frasco</v>
      </c>
      <c r="F286" s="9" t="s">
        <v>365</v>
      </c>
      <c r="G286" s="130"/>
      <c r="H286" s="9" t="s">
        <v>355</v>
      </c>
      <c r="I286" s="36" t="s">
        <v>33</v>
      </c>
      <c r="J286" s="99" t="s">
        <v>366</v>
      </c>
      <c r="K286" s="171"/>
      <c r="L286" s="171">
        <v>189.9</v>
      </c>
    </row>
    <row r="287" spans="1:12" s="10" customFormat="1" ht="15" customHeight="1" x14ac:dyDescent="0.25">
      <c r="A287" t="s">
        <v>367</v>
      </c>
      <c r="B287" s="63" t="s">
        <v>15</v>
      </c>
      <c r="C287" s="73" t="s">
        <v>368</v>
      </c>
      <c r="D287" s="66" t="s">
        <v>369</v>
      </c>
      <c r="E287" s="135" t="str">
        <f t="shared" si="4"/>
        <v>Shampoo 3 em 1 Humor Humor A Dois Masculino 100ml Frasco</v>
      </c>
      <c r="F287" s="139" t="s">
        <v>370</v>
      </c>
      <c r="G287" s="130"/>
      <c r="H287" s="99" t="s">
        <v>371</v>
      </c>
      <c r="I287" s="36" t="s">
        <v>33</v>
      </c>
      <c r="J287" s="101" t="s">
        <v>372</v>
      </c>
      <c r="K287" s="170"/>
      <c r="L287" s="170">
        <v>59.04</v>
      </c>
    </row>
    <row r="288" spans="1:12" s="10" customFormat="1" ht="15" customHeight="1" x14ac:dyDescent="0.25">
      <c r="B288" s="63" t="s">
        <v>15</v>
      </c>
      <c r="C288" s="73" t="s">
        <v>368</v>
      </c>
      <c r="D288" s="64" t="s">
        <v>344</v>
      </c>
      <c r="E288" s="135" t="str">
        <f t="shared" si="4"/>
        <v>Colonia Humor A Rigor Masculino 75ml Frasco</v>
      </c>
      <c r="F288" s="127" t="s">
        <v>373</v>
      </c>
      <c r="G288" s="130"/>
      <c r="H288" s="99" t="s">
        <v>374</v>
      </c>
      <c r="I288" s="36" t="s">
        <v>33</v>
      </c>
      <c r="J288" s="9" t="s">
        <v>375</v>
      </c>
      <c r="K288" s="9"/>
      <c r="L288" s="9" t="s">
        <v>376</v>
      </c>
    </row>
    <row r="289" spans="1:12" ht="15" customHeight="1" x14ac:dyDescent="0.25">
      <c r="B289" s="63" t="s">
        <v>15</v>
      </c>
      <c r="C289" s="73" t="s">
        <v>368</v>
      </c>
      <c r="D289" s="64" t="s">
        <v>344</v>
      </c>
      <c r="E289" s="135" t="str">
        <f t="shared" si="4"/>
        <v>Colonia Humor Beijo de Humor Masculino 75ml Frasco</v>
      </c>
      <c r="F289" s="123" t="s">
        <v>377</v>
      </c>
      <c r="G289" s="130"/>
      <c r="H289" s="9" t="s">
        <v>374</v>
      </c>
      <c r="I289" s="36" t="s">
        <v>33</v>
      </c>
      <c r="J289" s="11" t="s">
        <v>378</v>
      </c>
      <c r="K289" s="9"/>
      <c r="L289" s="9" t="s">
        <v>376</v>
      </c>
    </row>
    <row r="290" spans="1:12" ht="15" customHeight="1" x14ac:dyDescent="0.25">
      <c r="B290" s="63" t="s">
        <v>15</v>
      </c>
      <c r="C290" s="73" t="s">
        <v>368</v>
      </c>
      <c r="D290" s="64" t="s">
        <v>344</v>
      </c>
      <c r="E290" s="135" t="str">
        <f t="shared" si="4"/>
        <v>Colonia Humor Conexão de Humor Masculino 75ml Frasco</v>
      </c>
      <c r="F290" s="2" t="s">
        <v>379</v>
      </c>
      <c r="G290" s="130"/>
      <c r="H290" s="9" t="s">
        <v>374</v>
      </c>
      <c r="I290" s="36" t="s">
        <v>33</v>
      </c>
      <c r="J290" s="11" t="s">
        <v>380</v>
      </c>
      <c r="K290" s="9"/>
      <c r="L290" s="9" t="s">
        <v>376</v>
      </c>
    </row>
    <row r="291" spans="1:12" ht="15" customHeight="1" x14ac:dyDescent="0.25">
      <c r="B291" s="63" t="s">
        <v>15</v>
      </c>
      <c r="C291" s="73" t="s">
        <v>368</v>
      </c>
      <c r="D291" s="64" t="s">
        <v>344</v>
      </c>
      <c r="E291" s="135" t="str">
        <f t="shared" si="4"/>
        <v>Colonia Humor On-line Masculino 75ml Frasco</v>
      </c>
      <c r="F291" s="123" t="s">
        <v>1049</v>
      </c>
      <c r="G291" s="130"/>
      <c r="H291" s="9" t="s">
        <v>374</v>
      </c>
      <c r="I291" s="36" t="s">
        <v>33</v>
      </c>
      <c r="J291" s="11" t="s">
        <v>381</v>
      </c>
      <c r="K291" s="9"/>
      <c r="L291" s="9" t="s">
        <v>376</v>
      </c>
    </row>
    <row r="292" spans="1:12" ht="15" customHeight="1" x14ac:dyDescent="0.25">
      <c r="B292" s="63" t="s">
        <v>15</v>
      </c>
      <c r="C292" s="73" t="s">
        <v>368</v>
      </c>
      <c r="D292" s="64" t="s">
        <v>344</v>
      </c>
      <c r="E292" s="135" t="str">
        <f t="shared" si="4"/>
        <v>Colonia Humor Paz e Humor Masculino 75ml Frasco</v>
      </c>
      <c r="F292" s="2" t="s">
        <v>1050</v>
      </c>
      <c r="G292" s="130"/>
      <c r="H292" s="9" t="s">
        <v>374</v>
      </c>
      <c r="I292" s="36" t="s">
        <v>33</v>
      </c>
      <c r="J292" s="123" t="s">
        <v>382</v>
      </c>
      <c r="K292" s="9"/>
      <c r="L292" s="9" t="s">
        <v>376</v>
      </c>
    </row>
    <row r="293" spans="1:12" ht="15" customHeight="1" x14ac:dyDescent="0.25">
      <c r="B293" s="63" t="s">
        <v>15</v>
      </c>
      <c r="C293" s="73" t="s">
        <v>368</v>
      </c>
      <c r="D293" s="64" t="s">
        <v>344</v>
      </c>
      <c r="E293" s="135" t="str">
        <f t="shared" si="4"/>
        <v>Colonia Humor Química de Humor Masculino 75ml Frasco</v>
      </c>
      <c r="F293" s="2" t="s">
        <v>383</v>
      </c>
      <c r="G293" s="130"/>
      <c r="H293" s="9" t="s">
        <v>374</v>
      </c>
      <c r="I293" s="36" t="s">
        <v>33</v>
      </c>
      <c r="J293" s="123" t="s">
        <v>384</v>
      </c>
      <c r="K293" s="9"/>
      <c r="L293" s="9" t="s">
        <v>376</v>
      </c>
    </row>
    <row r="294" spans="1:12" ht="15" customHeight="1" x14ac:dyDescent="0.25">
      <c r="A294" t="s">
        <v>385</v>
      </c>
      <c r="B294" s="63" t="s">
        <v>15</v>
      </c>
      <c r="C294" s="73" t="s">
        <v>368</v>
      </c>
      <c r="D294" s="64" t="s">
        <v>344</v>
      </c>
      <c r="E294" s="135" t="str">
        <f t="shared" si="4"/>
        <v>Colonia Humor A Dois Masculino 75ml Frasco</v>
      </c>
      <c r="F294" s="121" t="s">
        <v>1051</v>
      </c>
      <c r="G294" s="130"/>
      <c r="H294" s="9" t="s">
        <v>374</v>
      </c>
      <c r="I294" s="36" t="s">
        <v>33</v>
      </c>
      <c r="J294" s="123" t="s">
        <v>386</v>
      </c>
      <c r="K294" s="9"/>
      <c r="L294" s="9"/>
    </row>
    <row r="295" spans="1:12" ht="15" customHeight="1" x14ac:dyDescent="0.25">
      <c r="B295" s="63" t="s">
        <v>15</v>
      </c>
      <c r="C295" s="73" t="s">
        <v>368</v>
      </c>
      <c r="D295" s="64" t="s">
        <v>344</v>
      </c>
      <c r="E295" s="135" t="str">
        <f t="shared" si="4"/>
        <v>Colonia Humor Beijo de Humor Feminino 75ml Frasco</v>
      </c>
      <c r="F295" s="123" t="s">
        <v>387</v>
      </c>
      <c r="G295" s="130"/>
      <c r="H295" s="9" t="s">
        <v>374</v>
      </c>
      <c r="I295" s="31" t="s">
        <v>33</v>
      </c>
      <c r="J295" s="11" t="s">
        <v>388</v>
      </c>
      <c r="K295" s="9"/>
      <c r="L295" s="9" t="s">
        <v>376</v>
      </c>
    </row>
    <row r="296" spans="1:12" ht="15" customHeight="1" x14ac:dyDescent="0.25">
      <c r="B296" s="63" t="s">
        <v>15</v>
      </c>
      <c r="C296" s="73" t="s">
        <v>368</v>
      </c>
      <c r="D296" s="64" t="s">
        <v>344</v>
      </c>
      <c r="E296" s="135" t="str">
        <f t="shared" si="4"/>
        <v>Colonia Humor Festival De Humor Feminino 75ml Frasco</v>
      </c>
      <c r="F296" s="2" t="s">
        <v>389</v>
      </c>
      <c r="G296" s="130"/>
      <c r="H296" s="9" t="s">
        <v>374</v>
      </c>
      <c r="I296" s="31" t="s">
        <v>33</v>
      </c>
      <c r="J296" s="11" t="s">
        <v>390</v>
      </c>
      <c r="K296" s="9"/>
      <c r="L296" s="9" t="s">
        <v>376</v>
      </c>
    </row>
    <row r="297" spans="1:12" ht="15" customHeight="1" x14ac:dyDescent="0.25">
      <c r="B297" s="63" t="s">
        <v>15</v>
      </c>
      <c r="C297" s="73" t="s">
        <v>368</v>
      </c>
      <c r="D297" s="64" t="s">
        <v>344</v>
      </c>
      <c r="E297" s="135" t="str">
        <f t="shared" si="4"/>
        <v>Colonia Humor Proprio Feminino 75ml Frasco</v>
      </c>
      <c r="F297" s="2" t="s">
        <v>1052</v>
      </c>
      <c r="G297" s="130"/>
      <c r="H297" s="9" t="s">
        <v>374</v>
      </c>
      <c r="I297" s="31" t="s">
        <v>33</v>
      </c>
      <c r="J297" s="11" t="s">
        <v>391</v>
      </c>
      <c r="K297" s="9"/>
      <c r="L297" s="9" t="s">
        <v>376</v>
      </c>
    </row>
    <row r="298" spans="1:12" ht="15" customHeight="1" x14ac:dyDescent="0.25">
      <c r="B298" s="63" t="s">
        <v>15</v>
      </c>
      <c r="C298" s="73" t="s">
        <v>368</v>
      </c>
      <c r="D298" s="64" t="s">
        <v>344</v>
      </c>
      <c r="E298" s="135" t="str">
        <f t="shared" si="4"/>
        <v>Colonia Humor Humor On-line Feminino 75ml Frasco</v>
      </c>
      <c r="F298" s="2" t="s">
        <v>392</v>
      </c>
      <c r="G298" s="130"/>
      <c r="H298" s="9" t="s">
        <v>374</v>
      </c>
      <c r="I298" s="31" t="s">
        <v>33</v>
      </c>
      <c r="J298" s="123" t="s">
        <v>393</v>
      </c>
      <c r="K298" s="9"/>
      <c r="L298" s="9" t="s">
        <v>376</v>
      </c>
    </row>
    <row r="299" spans="1:12" ht="15" customHeight="1" x14ac:dyDescent="0.25">
      <c r="B299" s="63" t="s">
        <v>15</v>
      </c>
      <c r="C299" s="73" t="s">
        <v>368</v>
      </c>
      <c r="D299" s="64" t="s">
        <v>344</v>
      </c>
      <c r="E299" s="135" t="str">
        <f t="shared" si="4"/>
        <v>Colonia Humor Meu Primeiro Humor Feminino 75ml Frasco</v>
      </c>
      <c r="F299" s="2" t="s">
        <v>394</v>
      </c>
      <c r="G299" s="130"/>
      <c r="H299" s="9" t="s">
        <v>374</v>
      </c>
      <c r="I299" s="31" t="s">
        <v>33</v>
      </c>
      <c r="J299" s="11" t="s">
        <v>395</v>
      </c>
      <c r="K299" s="9"/>
      <c r="L299" s="9" t="s">
        <v>376</v>
      </c>
    </row>
    <row r="300" spans="1:12" ht="15" customHeight="1" x14ac:dyDescent="0.25">
      <c r="B300" s="63" t="s">
        <v>15</v>
      </c>
      <c r="C300" s="73" t="s">
        <v>368</v>
      </c>
      <c r="D300" s="64" t="s">
        <v>344</v>
      </c>
      <c r="E300" s="135" t="str">
        <f t="shared" si="4"/>
        <v>Colonia Humor Quimica de Humor Feminino 75ml Frasco</v>
      </c>
      <c r="F300" s="2" t="s">
        <v>396</v>
      </c>
      <c r="G300" s="130"/>
      <c r="H300" s="9" t="s">
        <v>374</v>
      </c>
      <c r="I300" s="31" t="s">
        <v>33</v>
      </c>
      <c r="J300" s="11" t="s">
        <v>395</v>
      </c>
      <c r="K300" s="9"/>
      <c r="L300" s="9" t="s">
        <v>376</v>
      </c>
    </row>
    <row r="301" spans="1:12" ht="15" customHeight="1" x14ac:dyDescent="0.25">
      <c r="B301" s="63" t="s">
        <v>15</v>
      </c>
      <c r="C301" s="73" t="s">
        <v>368</v>
      </c>
      <c r="D301" s="64" t="s">
        <v>344</v>
      </c>
      <c r="E301" s="135" t="str">
        <f t="shared" si="4"/>
        <v>Colonia Humor + Beijos Feminino 24ml Frasco</v>
      </c>
      <c r="F301" s="2" t="s">
        <v>1053</v>
      </c>
      <c r="G301" s="130"/>
      <c r="H301" s="9" t="s">
        <v>397</v>
      </c>
      <c r="I301" s="31" t="s">
        <v>33</v>
      </c>
      <c r="J301" s="140" t="s">
        <v>398</v>
      </c>
      <c r="K301" s="9"/>
      <c r="L301" s="9"/>
    </row>
    <row r="302" spans="1:12" ht="15" customHeight="1" x14ac:dyDescent="0.25">
      <c r="B302" s="63" t="s">
        <v>15</v>
      </c>
      <c r="C302" s="73" t="s">
        <v>368</v>
      </c>
      <c r="D302" s="64" t="s">
        <v>344</v>
      </c>
      <c r="E302" s="135" t="str">
        <f t="shared" si="4"/>
        <v>Colonia Humor Envolve Unisex 75ml Frasco</v>
      </c>
      <c r="F302" s="123" t="s">
        <v>1054</v>
      </c>
      <c r="G302" s="130"/>
      <c r="H302" s="9" t="s">
        <v>374</v>
      </c>
      <c r="I302" s="36" t="s">
        <v>33</v>
      </c>
      <c r="J302" s="11" t="s">
        <v>399</v>
      </c>
      <c r="K302" s="9"/>
      <c r="L302" s="9" t="s">
        <v>376</v>
      </c>
    </row>
    <row r="303" spans="1:12" ht="15" customHeight="1" x14ac:dyDescent="0.25">
      <c r="B303" s="63" t="s">
        <v>15</v>
      </c>
      <c r="C303" s="73" t="s">
        <v>368</v>
      </c>
      <c r="D303" s="64" t="s">
        <v>344</v>
      </c>
      <c r="E303" s="135" t="str">
        <f t="shared" si="4"/>
        <v>Colonia Humor Liberta Unisex 75 ml Frasco</v>
      </c>
      <c r="F303" s="2" t="s">
        <v>1055</v>
      </c>
      <c r="G303" s="130"/>
      <c r="H303" s="9" t="s">
        <v>400</v>
      </c>
      <c r="I303" s="36" t="s">
        <v>33</v>
      </c>
      <c r="J303" s="11" t="s">
        <v>380</v>
      </c>
      <c r="K303" s="9"/>
      <c r="L303" s="9" t="s">
        <v>376</v>
      </c>
    </row>
    <row r="304" spans="1:12" ht="15" customHeight="1" x14ac:dyDescent="0.25">
      <c r="B304" s="63" t="s">
        <v>15</v>
      </c>
      <c r="C304" s="73" t="s">
        <v>368</v>
      </c>
      <c r="D304" s="64" t="s">
        <v>344</v>
      </c>
      <c r="E304" s="135" t="str">
        <f t="shared" si="4"/>
        <v>Colonia Humor Humor Transforma Unisex 75 ml Frasco</v>
      </c>
      <c r="F304" s="2" t="s">
        <v>401</v>
      </c>
      <c r="G304" s="130"/>
      <c r="H304" s="9" t="s">
        <v>400</v>
      </c>
      <c r="I304" s="36" t="s">
        <v>33</v>
      </c>
      <c r="J304" s="11" t="s">
        <v>402</v>
      </c>
      <c r="K304" s="9"/>
      <c r="L304" s="9" t="s">
        <v>376</v>
      </c>
    </row>
    <row r="305" spans="1:12" ht="15" customHeight="1" x14ac:dyDescent="0.25">
      <c r="A305" t="s">
        <v>403</v>
      </c>
      <c r="B305" s="63" t="s">
        <v>15</v>
      </c>
      <c r="C305" s="73" t="s">
        <v>368</v>
      </c>
      <c r="D305" s="64" t="s">
        <v>404</v>
      </c>
      <c r="E305" s="135" t="str">
        <f t="shared" si="4"/>
        <v>Desodorante Corporal Humor Meu Primeiro Humor 100ml Frasco</v>
      </c>
      <c r="F305" s="2" t="s">
        <v>405</v>
      </c>
      <c r="G305" s="130"/>
      <c r="H305" s="2" t="s">
        <v>371</v>
      </c>
      <c r="I305" s="33" t="s">
        <v>33</v>
      </c>
      <c r="J305" s="11" t="s">
        <v>395</v>
      </c>
      <c r="K305" s="160"/>
      <c r="L305" s="160">
        <v>54.9</v>
      </c>
    </row>
    <row r="306" spans="1:12" ht="15" customHeight="1" x14ac:dyDescent="0.25">
      <c r="B306" s="63" t="s">
        <v>15</v>
      </c>
      <c r="C306" s="73" t="s">
        <v>368</v>
      </c>
      <c r="D306" s="64" t="s">
        <v>404</v>
      </c>
      <c r="E306" s="135" t="str">
        <f t="shared" si="4"/>
        <v>Desodorante Corporal Humor Conexão de Humor 100ml Frasco</v>
      </c>
      <c r="F306" s="2" t="s">
        <v>406</v>
      </c>
      <c r="G306" s="130"/>
      <c r="H306" s="2" t="s">
        <v>371</v>
      </c>
      <c r="I306" s="33" t="s">
        <v>33</v>
      </c>
      <c r="J306" s="11" t="s">
        <v>407</v>
      </c>
      <c r="K306" s="160"/>
      <c r="L306" s="160">
        <v>54.9</v>
      </c>
    </row>
    <row r="307" spans="1:12" ht="15" customHeight="1" x14ac:dyDescent="0.25">
      <c r="B307" s="63" t="s">
        <v>15</v>
      </c>
      <c r="C307" s="73" t="s">
        <v>368</v>
      </c>
      <c r="D307" s="64" t="s">
        <v>404</v>
      </c>
      <c r="E307" s="135" t="str">
        <f t="shared" si="4"/>
        <v>Desodorante Corporal Humor Festivel De Humor 100ml Refil</v>
      </c>
      <c r="F307" s="123" t="s">
        <v>408</v>
      </c>
      <c r="G307" s="130"/>
      <c r="H307" s="2" t="s">
        <v>371</v>
      </c>
      <c r="I307" s="31" t="s">
        <v>201</v>
      </c>
      <c r="J307" s="11" t="s">
        <v>395</v>
      </c>
      <c r="K307" s="160"/>
      <c r="L307" s="160">
        <v>54.9</v>
      </c>
    </row>
    <row r="308" spans="1:12" ht="15" customHeight="1" x14ac:dyDescent="0.25">
      <c r="B308" s="63" t="s">
        <v>15</v>
      </c>
      <c r="C308" s="73" t="s">
        <v>368</v>
      </c>
      <c r="D308" s="64" t="s">
        <v>404</v>
      </c>
      <c r="E308" s="135" t="str">
        <f t="shared" si="4"/>
        <v>Desodorante Corporal Humor Meu Primeiro Humor 100ml Refil</v>
      </c>
      <c r="F308" s="2" t="s">
        <v>405</v>
      </c>
      <c r="G308" s="130"/>
      <c r="H308" s="2" t="s">
        <v>371</v>
      </c>
      <c r="I308" s="31" t="s">
        <v>201</v>
      </c>
      <c r="J308" s="11" t="s">
        <v>395</v>
      </c>
      <c r="K308" s="160"/>
      <c r="L308" s="160">
        <v>54.9</v>
      </c>
    </row>
    <row r="309" spans="1:12" ht="15" customHeight="1" x14ac:dyDescent="0.25">
      <c r="B309" s="63" t="s">
        <v>15</v>
      </c>
      <c r="C309" s="73" t="s">
        <v>368</v>
      </c>
      <c r="D309" s="64" t="s">
        <v>409</v>
      </c>
      <c r="E309" s="135" t="str">
        <f t="shared" si="4"/>
        <v>Mousse Desodorante Humor Proprio 200g Pote</v>
      </c>
      <c r="F309" s="2" t="s">
        <v>1056</v>
      </c>
      <c r="G309" s="130"/>
      <c r="H309" s="2" t="s">
        <v>67</v>
      </c>
      <c r="I309" s="31" t="s">
        <v>62</v>
      </c>
      <c r="J309" s="11"/>
      <c r="K309" s="2"/>
      <c r="L309" s="2"/>
    </row>
    <row r="310" spans="1:12" ht="15" customHeight="1" x14ac:dyDescent="0.25">
      <c r="B310" s="63" t="s">
        <v>15</v>
      </c>
      <c r="C310" s="73" t="s">
        <v>368</v>
      </c>
      <c r="D310" s="66" t="s">
        <v>410</v>
      </c>
      <c r="E310" s="135" t="str">
        <f t="shared" si="4"/>
        <v>Body Splash Humor Meu Primeiro Humor 200ml Frasco</v>
      </c>
      <c r="F310" s="2" t="s">
        <v>405</v>
      </c>
      <c r="G310" s="130"/>
      <c r="H310" s="2" t="s">
        <v>32</v>
      </c>
      <c r="I310" s="31" t="s">
        <v>33</v>
      </c>
      <c r="J310" s="11" t="s">
        <v>346</v>
      </c>
      <c r="K310" s="160"/>
      <c r="L310" s="160">
        <v>83.9</v>
      </c>
    </row>
    <row r="311" spans="1:12" ht="15" customHeight="1" x14ac:dyDescent="0.25">
      <c r="B311" s="63" t="s">
        <v>15</v>
      </c>
      <c r="C311" s="73" t="s">
        <v>368</v>
      </c>
      <c r="D311" s="64" t="s">
        <v>181</v>
      </c>
      <c r="E311" s="135" t="str">
        <f t="shared" si="4"/>
        <v>Sabonete em Barra Humor Paz e Humor 4x90g Caixa</v>
      </c>
      <c r="F311" s="2" t="s">
        <v>411</v>
      </c>
      <c r="G311" s="130">
        <v>4</v>
      </c>
      <c r="H311" s="2" t="s">
        <v>81</v>
      </c>
      <c r="I311" s="124" t="s">
        <v>289</v>
      </c>
      <c r="J311" s="11" t="s">
        <v>412</v>
      </c>
      <c r="K311" s="160"/>
      <c r="L311" s="160">
        <v>60</v>
      </c>
    </row>
    <row r="312" spans="1:12" ht="15" customHeight="1" x14ac:dyDescent="0.25">
      <c r="A312" t="s">
        <v>413</v>
      </c>
      <c r="B312" s="63" t="s">
        <v>15</v>
      </c>
      <c r="C312" s="73" t="s">
        <v>368</v>
      </c>
      <c r="D312" s="64" t="s">
        <v>181</v>
      </c>
      <c r="E312" s="135" t="str">
        <f t="shared" si="4"/>
        <v>Sabonete em Barra Humor A Rigor 1x90g Caixa</v>
      </c>
      <c r="F312" s="2" t="s">
        <v>414</v>
      </c>
      <c r="G312" s="130">
        <v>1</v>
      </c>
      <c r="H312" s="2" t="s">
        <v>81</v>
      </c>
      <c r="I312" s="124" t="s">
        <v>289</v>
      </c>
      <c r="J312" s="11" t="s">
        <v>415</v>
      </c>
      <c r="K312" s="160"/>
      <c r="L312" s="160">
        <v>13.8</v>
      </c>
    </row>
    <row r="313" spans="1:12" ht="15" customHeight="1" x14ac:dyDescent="0.25">
      <c r="B313" s="63" t="s">
        <v>15</v>
      </c>
      <c r="C313" s="73" t="s">
        <v>368</v>
      </c>
      <c r="D313" s="64" t="s">
        <v>181</v>
      </c>
      <c r="E313" s="135" t="str">
        <f t="shared" si="4"/>
        <v>Sabonete em Barra Humor Proprio 2x90g Caixa</v>
      </c>
      <c r="F313" s="2" t="s">
        <v>1057</v>
      </c>
      <c r="G313" s="130">
        <v>2</v>
      </c>
      <c r="H313" s="2" t="s">
        <v>81</v>
      </c>
      <c r="I313" s="124" t="s">
        <v>289</v>
      </c>
      <c r="J313" s="11" t="s">
        <v>416</v>
      </c>
      <c r="K313" s="160"/>
      <c r="L313" s="160">
        <v>15</v>
      </c>
    </row>
    <row r="314" spans="1:12" ht="15" customHeight="1" x14ac:dyDescent="0.25">
      <c r="B314" s="63" t="s">
        <v>15</v>
      </c>
      <c r="C314" s="73" t="s">
        <v>368</v>
      </c>
      <c r="D314" s="64" t="s">
        <v>417</v>
      </c>
      <c r="E314" s="135" t="str">
        <f t="shared" si="4"/>
        <v>Gel luminador Hidratante e Desodorante Humor Proprio 1x200g Caixa</v>
      </c>
      <c r="F314" s="2" t="s">
        <v>1057</v>
      </c>
      <c r="G314" s="130">
        <v>1</v>
      </c>
      <c r="H314" s="2" t="s">
        <v>67</v>
      </c>
      <c r="I314" s="124" t="s">
        <v>289</v>
      </c>
      <c r="J314" s="11" t="s">
        <v>418</v>
      </c>
      <c r="K314" s="11"/>
      <c r="L314" s="11"/>
    </row>
    <row r="315" spans="1:12" ht="15" customHeight="1" x14ac:dyDescent="0.25">
      <c r="B315" s="63" t="s">
        <v>15</v>
      </c>
      <c r="C315" s="73" t="s">
        <v>368</v>
      </c>
      <c r="D315" s="64" t="s">
        <v>419</v>
      </c>
      <c r="E315" s="135" t="str">
        <f t="shared" si="4"/>
        <v>Creme Hidrantante Para Mãos Humor Proprio 40g Frasco</v>
      </c>
      <c r="F315" s="2" t="s">
        <v>1057</v>
      </c>
      <c r="G315" s="130"/>
      <c r="H315" s="2" t="s">
        <v>420</v>
      </c>
      <c r="I315" s="31" t="s">
        <v>33</v>
      </c>
      <c r="J315" s="11" t="s">
        <v>421</v>
      </c>
      <c r="K315" s="160"/>
      <c r="L315" s="160">
        <v>42.9</v>
      </c>
    </row>
    <row r="316" spans="1:12" ht="15" customHeight="1" x14ac:dyDescent="0.25">
      <c r="B316" s="63" t="s">
        <v>15</v>
      </c>
      <c r="C316" s="73" t="s">
        <v>368</v>
      </c>
      <c r="D316" s="64" t="s">
        <v>422</v>
      </c>
      <c r="E316" s="135" t="str">
        <f t="shared" si="4"/>
        <v>Geleia de Banho Humor Off-line 125g Frasco</v>
      </c>
      <c r="F316" s="2" t="s">
        <v>1058</v>
      </c>
      <c r="G316" s="130"/>
      <c r="H316" s="2" t="s">
        <v>423</v>
      </c>
      <c r="I316" s="31" t="s">
        <v>33</v>
      </c>
      <c r="J316" s="11" t="s">
        <v>424</v>
      </c>
      <c r="K316" s="160"/>
      <c r="L316" s="160">
        <v>45.9</v>
      </c>
    </row>
    <row r="317" spans="1:12" ht="15" customHeight="1" x14ac:dyDescent="0.25">
      <c r="B317" s="63" t="s">
        <v>15</v>
      </c>
      <c r="C317" s="73" t="s">
        <v>368</v>
      </c>
      <c r="D317" s="64" t="s">
        <v>425</v>
      </c>
      <c r="E317" s="135" t="str">
        <f t="shared" si="4"/>
        <v>Iogurte Desodorante e Hidratante Humor Off-line 125ml Frasco</v>
      </c>
      <c r="F317" s="2" t="s">
        <v>1058</v>
      </c>
      <c r="G317" s="130"/>
      <c r="H317" s="94" t="s">
        <v>426</v>
      </c>
      <c r="I317" s="31" t="s">
        <v>33</v>
      </c>
      <c r="J317" s="11" t="s">
        <v>427</v>
      </c>
      <c r="K317" s="160"/>
      <c r="L317" s="160">
        <v>53.9</v>
      </c>
    </row>
    <row r="318" spans="1:12" ht="15" customHeight="1" x14ac:dyDescent="0.25">
      <c r="B318" s="63" t="s">
        <v>15</v>
      </c>
      <c r="C318" s="74" t="s">
        <v>428</v>
      </c>
      <c r="D318" s="64" t="s">
        <v>429</v>
      </c>
      <c r="E318" s="135" t="str">
        <f t="shared" si="4"/>
        <v>Deo Parfum Essencial Atraí Masculino 100ml Frasco</v>
      </c>
      <c r="F318" s="2" t="s">
        <v>430</v>
      </c>
      <c r="G318" s="130"/>
      <c r="H318" s="140" t="s">
        <v>371</v>
      </c>
      <c r="I318" s="31" t="s">
        <v>33</v>
      </c>
      <c r="J318" s="11" t="s">
        <v>431</v>
      </c>
      <c r="K318" s="160"/>
      <c r="L318" s="160">
        <v>278.89999999999998</v>
      </c>
    </row>
    <row r="319" spans="1:12" ht="15" customHeight="1" x14ac:dyDescent="0.25">
      <c r="B319" s="63" t="s">
        <v>15</v>
      </c>
      <c r="C319" s="74" t="s">
        <v>428</v>
      </c>
      <c r="D319" s="64" t="s">
        <v>429</v>
      </c>
      <c r="E319" s="135" t="str">
        <f t="shared" si="4"/>
        <v>Deo Parfum Essencial Atô Masculino 100ml Frasco</v>
      </c>
      <c r="F319" s="2" t="s">
        <v>432</v>
      </c>
      <c r="G319" s="130"/>
      <c r="H319" s="140" t="s">
        <v>371</v>
      </c>
      <c r="I319" s="31" t="s">
        <v>33</v>
      </c>
      <c r="J319" s="11" t="s">
        <v>433</v>
      </c>
      <c r="K319" s="160"/>
      <c r="L319" s="160">
        <v>278.89999999999998</v>
      </c>
    </row>
    <row r="320" spans="1:12" ht="15" customHeight="1" x14ac:dyDescent="0.25">
      <c r="B320" s="63" t="s">
        <v>15</v>
      </c>
      <c r="C320" s="74" t="s">
        <v>428</v>
      </c>
      <c r="D320" s="64" t="s">
        <v>429</v>
      </c>
      <c r="E320" s="135" t="str">
        <f t="shared" si="4"/>
        <v>Deo Parfum Essencial Masculino 100ml Frasco</v>
      </c>
      <c r="F320" s="2" t="s">
        <v>434</v>
      </c>
      <c r="G320" s="130"/>
      <c r="H320" s="140" t="s">
        <v>371</v>
      </c>
      <c r="I320" s="31" t="s">
        <v>33</v>
      </c>
      <c r="J320" s="145" t="s">
        <v>435</v>
      </c>
      <c r="K320" s="160"/>
      <c r="L320" s="160">
        <v>278.89999999999998</v>
      </c>
    </row>
    <row r="321" spans="1:12" ht="15" customHeight="1" x14ac:dyDescent="0.25">
      <c r="B321" s="63" t="s">
        <v>15</v>
      </c>
      <c r="C321" s="74" t="s">
        <v>428</v>
      </c>
      <c r="D321" s="64" t="s">
        <v>429</v>
      </c>
      <c r="E321" s="135" t="str">
        <f t="shared" si="4"/>
        <v>Deo Parfum Essencial Estilo Masculino 100ml Frasco</v>
      </c>
      <c r="F321" s="2" t="s">
        <v>436</v>
      </c>
      <c r="G321" s="130"/>
      <c r="H321" s="140" t="s">
        <v>371</v>
      </c>
      <c r="I321" s="37" t="s">
        <v>33</v>
      </c>
      <c r="J321" s="23" t="s">
        <v>437</v>
      </c>
      <c r="K321" s="172"/>
      <c r="L321" s="172">
        <v>278.89999999999998</v>
      </c>
    </row>
    <row r="322" spans="1:12" ht="15" customHeight="1" x14ac:dyDescent="0.25">
      <c r="B322" s="63" t="s">
        <v>15</v>
      </c>
      <c r="C322" s="74" t="s">
        <v>428</v>
      </c>
      <c r="D322" s="64" t="s">
        <v>429</v>
      </c>
      <c r="E322" s="135" t="str">
        <f t="shared" ref="E322:E385" si="5">TRIM(CONCATENATE(D322, " ", C322, " ", F322, " ", IF(G322&gt;0, G322 &amp; "x" &amp; H322, H322), " ", I322))</f>
        <v>Deo Parfum Essencial Elixir Masculino 100ml Frasco</v>
      </c>
      <c r="F322" s="2" t="s">
        <v>438</v>
      </c>
      <c r="G322" s="130"/>
      <c r="H322" s="140" t="s">
        <v>371</v>
      </c>
      <c r="I322" s="37" t="s">
        <v>33</v>
      </c>
      <c r="J322" s="24" t="s">
        <v>439</v>
      </c>
      <c r="K322" s="172"/>
      <c r="L322" s="172">
        <v>278.89999999999998</v>
      </c>
    </row>
    <row r="323" spans="1:12" ht="15" customHeight="1" x14ac:dyDescent="0.25">
      <c r="B323" s="63" t="s">
        <v>15</v>
      </c>
      <c r="C323" s="74" t="s">
        <v>428</v>
      </c>
      <c r="D323" s="64" t="s">
        <v>429</v>
      </c>
      <c r="E323" s="135" t="str">
        <f t="shared" si="5"/>
        <v>Deo Parfum Essencial Exclusivo Masculino 100ml Frasco</v>
      </c>
      <c r="F323" s="2" t="s">
        <v>440</v>
      </c>
      <c r="G323" s="130"/>
      <c r="H323" s="140" t="s">
        <v>371</v>
      </c>
      <c r="I323" s="37" t="s">
        <v>33</v>
      </c>
      <c r="J323" s="25" t="s">
        <v>441</v>
      </c>
      <c r="K323" s="172"/>
      <c r="L323" s="172">
        <v>278.89999999999998</v>
      </c>
    </row>
    <row r="324" spans="1:12" ht="15" customHeight="1" x14ac:dyDescent="0.25">
      <c r="B324" s="63" t="s">
        <v>15</v>
      </c>
      <c r="C324" s="74" t="s">
        <v>428</v>
      </c>
      <c r="D324" s="64" t="s">
        <v>429</v>
      </c>
      <c r="E324" s="135" t="str">
        <f t="shared" si="5"/>
        <v>Deo Parfum Essencial Intenso Masculino 100ml Frasco</v>
      </c>
      <c r="F324" s="2" t="s">
        <v>442</v>
      </c>
      <c r="G324" s="130"/>
      <c r="H324" s="140" t="s">
        <v>371</v>
      </c>
      <c r="I324" s="37" t="s">
        <v>33</v>
      </c>
      <c r="J324" s="27" t="s">
        <v>443</v>
      </c>
      <c r="K324" s="172"/>
      <c r="L324" s="172">
        <v>278.89999999999998</v>
      </c>
    </row>
    <row r="325" spans="1:12" ht="15" customHeight="1" x14ac:dyDescent="0.25">
      <c r="B325" s="63" t="s">
        <v>15</v>
      </c>
      <c r="C325" s="74" t="s">
        <v>428</v>
      </c>
      <c r="D325" s="64" t="s">
        <v>429</v>
      </c>
      <c r="E325" s="135" t="str">
        <f t="shared" si="5"/>
        <v>Deo Parfum Essencial Mirra Masculino 100ml Frasco</v>
      </c>
      <c r="F325" s="2" t="s">
        <v>444</v>
      </c>
      <c r="G325" s="130"/>
      <c r="H325" s="140" t="s">
        <v>371</v>
      </c>
      <c r="I325" s="37" t="s">
        <v>33</v>
      </c>
      <c r="J325" s="25" t="s">
        <v>445</v>
      </c>
      <c r="K325" s="172"/>
      <c r="L325" s="172">
        <v>278.89999999999998</v>
      </c>
    </row>
    <row r="326" spans="1:12" ht="15" customHeight="1" x14ac:dyDescent="0.25">
      <c r="B326" s="63" t="s">
        <v>15</v>
      </c>
      <c r="C326" s="74" t="s">
        <v>428</v>
      </c>
      <c r="D326" s="64" t="s">
        <v>429</v>
      </c>
      <c r="E326" s="135" t="str">
        <f t="shared" si="5"/>
        <v>Deo Parfum Essencial Oud Masculino 100ml Frasco</v>
      </c>
      <c r="F326" s="2" t="s">
        <v>446</v>
      </c>
      <c r="G326" s="130"/>
      <c r="H326" s="140" t="s">
        <v>371</v>
      </c>
      <c r="I326" s="37" t="s">
        <v>33</v>
      </c>
      <c r="J326" s="23" t="s">
        <v>447</v>
      </c>
      <c r="K326" s="172"/>
      <c r="L326" s="172">
        <v>278.89999999999998</v>
      </c>
    </row>
    <row r="327" spans="1:12" ht="15" customHeight="1" x14ac:dyDescent="0.25">
      <c r="B327" s="63" t="s">
        <v>15</v>
      </c>
      <c r="C327" s="74" t="s">
        <v>428</v>
      </c>
      <c r="D327" s="64" t="s">
        <v>429</v>
      </c>
      <c r="E327" s="135" t="str">
        <f t="shared" si="5"/>
        <v>Deo Parfum Essencial Old Vanilla Masculino 100ml Frasco</v>
      </c>
      <c r="F327" s="2" t="s">
        <v>448</v>
      </c>
      <c r="G327" s="130"/>
      <c r="H327" s="140" t="s">
        <v>371</v>
      </c>
      <c r="I327" s="31" t="s">
        <v>33</v>
      </c>
      <c r="J327" s="26" t="s">
        <v>449</v>
      </c>
      <c r="K327" s="160"/>
      <c r="L327" s="160">
        <v>278.89999999999998</v>
      </c>
    </row>
    <row r="328" spans="1:12" ht="15" customHeight="1" x14ac:dyDescent="0.25">
      <c r="B328" s="63" t="s">
        <v>15</v>
      </c>
      <c r="C328" s="74" t="s">
        <v>428</v>
      </c>
      <c r="D328" s="64" t="s">
        <v>429</v>
      </c>
      <c r="E328" s="135" t="str">
        <f t="shared" si="5"/>
        <v>Deo Parfum Essencial Old Pimenta Masculino 100ml Frasco</v>
      </c>
      <c r="F328" s="120" t="s">
        <v>450</v>
      </c>
      <c r="G328" s="130"/>
      <c r="H328" s="140" t="s">
        <v>371</v>
      </c>
      <c r="I328" s="31" t="s">
        <v>33</v>
      </c>
      <c r="J328" s="28" t="s">
        <v>451</v>
      </c>
      <c r="K328" s="160"/>
      <c r="L328" s="160">
        <v>278.89999999999998</v>
      </c>
    </row>
    <row r="329" spans="1:12" ht="15" customHeight="1" x14ac:dyDescent="0.25">
      <c r="B329" s="63" t="s">
        <v>15</v>
      </c>
      <c r="C329" s="74" t="s">
        <v>428</v>
      </c>
      <c r="D329" s="64" t="s">
        <v>429</v>
      </c>
      <c r="E329" s="135" t="str">
        <f t="shared" si="5"/>
        <v>Deo Parfum Essencial Palo Santo Masculino 100ml Frasco</v>
      </c>
      <c r="F329" s="2" t="s">
        <v>452</v>
      </c>
      <c r="G329" s="130"/>
      <c r="H329" s="140" t="s">
        <v>371</v>
      </c>
      <c r="I329" s="31" t="s">
        <v>33</v>
      </c>
      <c r="J329" s="28" t="s">
        <v>453</v>
      </c>
      <c r="K329" s="160"/>
      <c r="L329" s="160">
        <v>278.89999999999998</v>
      </c>
    </row>
    <row r="330" spans="1:12" ht="15" customHeight="1" x14ac:dyDescent="0.25">
      <c r="B330" s="63" t="s">
        <v>15</v>
      </c>
      <c r="C330" s="74" t="s">
        <v>428</v>
      </c>
      <c r="D330" s="64" t="s">
        <v>429</v>
      </c>
      <c r="E330" s="135" t="str">
        <f t="shared" si="5"/>
        <v>Deo Parfum Essencial Supreme Masculino 100ml Frasco</v>
      </c>
      <c r="F330" s="2" t="s">
        <v>454</v>
      </c>
      <c r="G330" s="130"/>
      <c r="H330" s="140" t="s">
        <v>371</v>
      </c>
      <c r="I330" s="31" t="s">
        <v>33</v>
      </c>
      <c r="J330" s="145" t="s">
        <v>455</v>
      </c>
      <c r="K330" s="160"/>
      <c r="L330" s="160">
        <v>278.89999999999998</v>
      </c>
    </row>
    <row r="331" spans="1:12" ht="15" customHeight="1" x14ac:dyDescent="0.25">
      <c r="B331" s="63" t="s">
        <v>15</v>
      </c>
      <c r="C331" s="74" t="s">
        <v>428</v>
      </c>
      <c r="D331" s="64" t="s">
        <v>429</v>
      </c>
      <c r="E331" s="135" t="str">
        <f t="shared" si="5"/>
        <v>Deo Parfum Essencial Sentir Masculino 100ml Frasco</v>
      </c>
      <c r="F331" s="2" t="s">
        <v>456</v>
      </c>
      <c r="G331" s="130"/>
      <c r="H331" s="140" t="s">
        <v>371</v>
      </c>
      <c r="I331" s="31" t="s">
        <v>33</v>
      </c>
      <c r="J331" s="28" t="s">
        <v>457</v>
      </c>
      <c r="K331" s="160"/>
      <c r="L331" s="160">
        <v>278.89999999999998</v>
      </c>
    </row>
    <row r="332" spans="1:12" ht="15" customHeight="1" x14ac:dyDescent="0.25">
      <c r="B332" s="63" t="s">
        <v>15</v>
      </c>
      <c r="C332" s="74" t="s">
        <v>428</v>
      </c>
      <c r="D332" s="64" t="s">
        <v>429</v>
      </c>
      <c r="E332" s="135" t="str">
        <f t="shared" si="5"/>
        <v>Deo Parfum Essencial Único Masculino 100ml Frasco</v>
      </c>
      <c r="F332" s="2" t="s">
        <v>458</v>
      </c>
      <c r="G332" s="130"/>
      <c r="H332" s="140" t="s">
        <v>371</v>
      </c>
      <c r="I332" s="31" t="s">
        <v>33</v>
      </c>
      <c r="J332" s="145" t="s">
        <v>459</v>
      </c>
      <c r="K332" s="160"/>
      <c r="L332" s="160">
        <v>278.89999999999998</v>
      </c>
    </row>
    <row r="333" spans="1:12" ht="15" customHeight="1" x14ac:dyDescent="0.25">
      <c r="B333" s="63" t="s">
        <v>15</v>
      </c>
      <c r="C333" s="74" t="s">
        <v>428</v>
      </c>
      <c r="D333" s="64" t="s">
        <v>429</v>
      </c>
      <c r="E333" s="135" t="str">
        <f t="shared" si="5"/>
        <v>Deo Parfum Essencial Atraí Masculino 100ml Refil</v>
      </c>
      <c r="F333" s="2" t="s">
        <v>430</v>
      </c>
      <c r="G333" s="130"/>
      <c r="H333" s="140" t="s">
        <v>371</v>
      </c>
      <c r="I333" s="31" t="s">
        <v>201</v>
      </c>
      <c r="J333" s="11" t="s">
        <v>460</v>
      </c>
      <c r="K333" s="160"/>
      <c r="L333" s="160">
        <v>213.9</v>
      </c>
    </row>
    <row r="334" spans="1:12" ht="15" customHeight="1" x14ac:dyDescent="0.25">
      <c r="B334" s="63" t="s">
        <v>15</v>
      </c>
      <c r="C334" s="74" t="s">
        <v>428</v>
      </c>
      <c r="D334" s="64" t="s">
        <v>429</v>
      </c>
      <c r="E334" s="135" t="str">
        <f t="shared" si="5"/>
        <v>Deo Parfum Essencial Atô Masculino 100ml Refil</v>
      </c>
      <c r="F334" s="2" t="s">
        <v>432</v>
      </c>
      <c r="G334" s="130"/>
      <c r="H334" s="140" t="s">
        <v>371</v>
      </c>
      <c r="I334" s="31" t="s">
        <v>201</v>
      </c>
      <c r="J334" s="11" t="s">
        <v>433</v>
      </c>
      <c r="K334" s="160"/>
      <c r="L334" s="160">
        <v>213.9</v>
      </c>
    </row>
    <row r="335" spans="1:12" ht="15" customHeight="1" x14ac:dyDescent="0.25">
      <c r="A335" t="s">
        <v>461</v>
      </c>
      <c r="B335" s="63" t="s">
        <v>15</v>
      </c>
      <c r="C335" s="74" t="s">
        <v>428</v>
      </c>
      <c r="D335" s="64" t="s">
        <v>429</v>
      </c>
      <c r="E335" s="135" t="str">
        <f t="shared" si="5"/>
        <v>Deo Parfum Essencial Masculino 100ml Refil</v>
      </c>
      <c r="F335" s="2" t="s">
        <v>434</v>
      </c>
      <c r="G335" s="130"/>
      <c r="H335" s="140" t="s">
        <v>371</v>
      </c>
      <c r="I335" s="31" t="s">
        <v>201</v>
      </c>
      <c r="J335" s="145" t="s">
        <v>435</v>
      </c>
      <c r="K335" s="160"/>
      <c r="L335" s="160">
        <v>213.9</v>
      </c>
    </row>
    <row r="336" spans="1:12" ht="15" customHeight="1" x14ac:dyDescent="0.25">
      <c r="B336" s="63" t="s">
        <v>15</v>
      </c>
      <c r="C336" s="74" t="s">
        <v>428</v>
      </c>
      <c r="D336" s="64" t="s">
        <v>429</v>
      </c>
      <c r="E336" s="135" t="str">
        <f t="shared" si="5"/>
        <v>Deo Parfum Essencial Estilo Masculino 100ml Refil</v>
      </c>
      <c r="F336" s="2" t="s">
        <v>436</v>
      </c>
      <c r="G336" s="130"/>
      <c r="H336" s="140" t="s">
        <v>371</v>
      </c>
      <c r="I336" s="31" t="s">
        <v>201</v>
      </c>
      <c r="J336" s="23" t="s">
        <v>437</v>
      </c>
      <c r="K336" s="160"/>
      <c r="L336" s="160">
        <v>213.9</v>
      </c>
    </row>
    <row r="337" spans="1:12" ht="15" customHeight="1" x14ac:dyDescent="0.25">
      <c r="B337" s="63" t="s">
        <v>15</v>
      </c>
      <c r="C337" s="74" t="s">
        <v>428</v>
      </c>
      <c r="D337" s="64" t="s">
        <v>429</v>
      </c>
      <c r="E337" s="135" t="str">
        <f t="shared" si="5"/>
        <v>Deo Parfum Essencial Elixir Masculino 100ml Refil</v>
      </c>
      <c r="F337" s="2" t="s">
        <v>438</v>
      </c>
      <c r="G337" s="130"/>
      <c r="H337" s="140" t="s">
        <v>371</v>
      </c>
      <c r="I337" s="31" t="s">
        <v>201</v>
      </c>
      <c r="J337" s="24" t="s">
        <v>439</v>
      </c>
      <c r="K337" s="160"/>
      <c r="L337" s="160">
        <v>213.9</v>
      </c>
    </row>
    <row r="338" spans="1:12" ht="15" customHeight="1" x14ac:dyDescent="0.25">
      <c r="B338" s="63" t="s">
        <v>15</v>
      </c>
      <c r="C338" s="74" t="s">
        <v>428</v>
      </c>
      <c r="D338" s="64" t="s">
        <v>429</v>
      </c>
      <c r="E338" s="135" t="str">
        <f t="shared" si="5"/>
        <v>Deo Parfum Essencial Exclusivo Masculino 100ml Refil</v>
      </c>
      <c r="F338" s="2" t="s">
        <v>440</v>
      </c>
      <c r="G338" s="130"/>
      <c r="H338" s="140" t="s">
        <v>371</v>
      </c>
      <c r="I338" s="31" t="s">
        <v>201</v>
      </c>
      <c r="J338" s="25" t="s">
        <v>441</v>
      </c>
      <c r="K338" s="160"/>
      <c r="L338" s="160">
        <v>213.9</v>
      </c>
    </row>
    <row r="339" spans="1:12" ht="15" customHeight="1" x14ac:dyDescent="0.25">
      <c r="B339" s="63" t="s">
        <v>15</v>
      </c>
      <c r="C339" s="74" t="s">
        <v>428</v>
      </c>
      <c r="D339" s="64" t="s">
        <v>429</v>
      </c>
      <c r="E339" s="135" t="str">
        <f t="shared" si="5"/>
        <v>Deo Parfum Essencial Intenso Masculino 100ml Refil</v>
      </c>
      <c r="F339" s="2" t="s">
        <v>442</v>
      </c>
      <c r="G339" s="130"/>
      <c r="H339" s="140" t="s">
        <v>371</v>
      </c>
      <c r="I339" s="31" t="s">
        <v>201</v>
      </c>
      <c r="J339" s="27" t="s">
        <v>443</v>
      </c>
      <c r="K339" s="160"/>
      <c r="L339" s="160">
        <v>213.9</v>
      </c>
    </row>
    <row r="340" spans="1:12" ht="15" customHeight="1" x14ac:dyDescent="0.25">
      <c r="B340" s="63" t="s">
        <v>15</v>
      </c>
      <c r="C340" s="74" t="s">
        <v>428</v>
      </c>
      <c r="D340" s="64" t="s">
        <v>429</v>
      </c>
      <c r="E340" s="135" t="str">
        <f t="shared" si="5"/>
        <v>Deo Parfum Essencial Mirra Masculino 100ml Refil</v>
      </c>
      <c r="F340" s="2" t="s">
        <v>444</v>
      </c>
      <c r="G340" s="130"/>
      <c r="H340" s="140" t="s">
        <v>371</v>
      </c>
      <c r="I340" s="31" t="s">
        <v>201</v>
      </c>
      <c r="J340" s="25" t="s">
        <v>445</v>
      </c>
      <c r="K340" s="160"/>
      <c r="L340" s="160">
        <v>213.9</v>
      </c>
    </row>
    <row r="341" spans="1:12" ht="15" customHeight="1" x14ac:dyDescent="0.25">
      <c r="B341" s="63" t="s">
        <v>15</v>
      </c>
      <c r="C341" s="74" t="s">
        <v>428</v>
      </c>
      <c r="D341" s="64" t="s">
        <v>429</v>
      </c>
      <c r="E341" s="135" t="str">
        <f t="shared" si="5"/>
        <v>Deo Parfum Essencial Oud Masculino 100ml Refil</v>
      </c>
      <c r="F341" s="2" t="s">
        <v>446</v>
      </c>
      <c r="G341" s="130"/>
      <c r="H341" s="140" t="s">
        <v>371</v>
      </c>
      <c r="I341" s="31" t="s">
        <v>201</v>
      </c>
      <c r="J341" s="23" t="s">
        <v>447</v>
      </c>
      <c r="K341" s="160"/>
      <c r="L341" s="160">
        <v>213.9</v>
      </c>
    </row>
    <row r="342" spans="1:12" ht="15" customHeight="1" x14ac:dyDescent="0.25">
      <c r="B342" s="63" t="s">
        <v>15</v>
      </c>
      <c r="C342" s="74" t="s">
        <v>428</v>
      </c>
      <c r="D342" s="64" t="s">
        <v>429</v>
      </c>
      <c r="E342" s="135" t="str">
        <f t="shared" si="5"/>
        <v>Deo Parfum Essencial Old Vanilla Masculino 100ml Refil</v>
      </c>
      <c r="F342" s="2" t="s">
        <v>448</v>
      </c>
      <c r="G342" s="130"/>
      <c r="H342" s="140" t="s">
        <v>371</v>
      </c>
      <c r="I342" s="31" t="s">
        <v>201</v>
      </c>
      <c r="J342" s="26" t="s">
        <v>449</v>
      </c>
      <c r="K342" s="160"/>
      <c r="L342" s="160">
        <v>213.9</v>
      </c>
    </row>
    <row r="343" spans="1:12" ht="15" customHeight="1" x14ac:dyDescent="0.25">
      <c r="B343" s="63" t="s">
        <v>15</v>
      </c>
      <c r="C343" s="74" t="s">
        <v>428</v>
      </c>
      <c r="D343" s="64" t="s">
        <v>429</v>
      </c>
      <c r="E343" s="135" t="str">
        <f t="shared" si="5"/>
        <v>Deo Parfum Essencial Old Pimenta Masculino 100ml Refil</v>
      </c>
      <c r="F343" s="120" t="s">
        <v>450</v>
      </c>
      <c r="G343" s="130"/>
      <c r="H343" s="140" t="s">
        <v>371</v>
      </c>
      <c r="I343" s="31" t="s">
        <v>201</v>
      </c>
      <c r="J343" s="28" t="s">
        <v>451</v>
      </c>
      <c r="K343" s="160"/>
      <c r="L343" s="160">
        <v>213.9</v>
      </c>
    </row>
    <row r="344" spans="1:12" ht="15" customHeight="1" x14ac:dyDescent="0.25">
      <c r="B344" s="63" t="s">
        <v>15</v>
      </c>
      <c r="C344" s="74" t="s">
        <v>428</v>
      </c>
      <c r="D344" s="64" t="s">
        <v>429</v>
      </c>
      <c r="E344" s="135" t="str">
        <f t="shared" si="5"/>
        <v>Deo Parfum Essencial Palo Santo Masculino 100ml Refil</v>
      </c>
      <c r="F344" s="2" t="s">
        <v>452</v>
      </c>
      <c r="G344" s="130"/>
      <c r="H344" s="140" t="s">
        <v>371</v>
      </c>
      <c r="I344" s="31" t="s">
        <v>201</v>
      </c>
      <c r="J344" s="28" t="s">
        <v>453</v>
      </c>
      <c r="K344" s="160"/>
      <c r="L344" s="160">
        <v>213.9</v>
      </c>
    </row>
    <row r="345" spans="1:12" ht="15" customHeight="1" x14ac:dyDescent="0.25">
      <c r="B345" s="63" t="s">
        <v>15</v>
      </c>
      <c r="C345" s="74" t="s">
        <v>428</v>
      </c>
      <c r="D345" s="64" t="s">
        <v>429</v>
      </c>
      <c r="E345" s="135" t="str">
        <f t="shared" si="5"/>
        <v>Deo Parfum Essencial Supreme Masculino 100ml Refil</v>
      </c>
      <c r="F345" s="2" t="s">
        <v>454</v>
      </c>
      <c r="G345" s="130"/>
      <c r="H345" s="140" t="s">
        <v>371</v>
      </c>
      <c r="I345" s="31" t="s">
        <v>201</v>
      </c>
      <c r="J345" s="145" t="s">
        <v>455</v>
      </c>
      <c r="K345" s="160"/>
      <c r="L345" s="160">
        <v>213.9</v>
      </c>
    </row>
    <row r="346" spans="1:12" ht="15" customHeight="1" x14ac:dyDescent="0.25">
      <c r="B346" s="63" t="s">
        <v>15</v>
      </c>
      <c r="C346" s="74" t="s">
        <v>428</v>
      </c>
      <c r="D346" s="64" t="s">
        <v>429</v>
      </c>
      <c r="E346" s="135" t="str">
        <f t="shared" si="5"/>
        <v>Deo Parfum Essencial Sentir Masculino 100ml Refil</v>
      </c>
      <c r="F346" s="2" t="s">
        <v>456</v>
      </c>
      <c r="G346" s="130"/>
      <c r="H346" s="140" t="s">
        <v>371</v>
      </c>
      <c r="I346" s="31" t="s">
        <v>201</v>
      </c>
      <c r="J346" s="28" t="s">
        <v>457</v>
      </c>
      <c r="K346" s="160"/>
      <c r="L346" s="160">
        <v>213.9</v>
      </c>
    </row>
    <row r="347" spans="1:12" ht="15" customHeight="1" x14ac:dyDescent="0.25">
      <c r="A347" t="s">
        <v>462</v>
      </c>
      <c r="B347" s="63" t="s">
        <v>15</v>
      </c>
      <c r="C347" s="74" t="s">
        <v>428</v>
      </c>
      <c r="D347" s="64" t="s">
        <v>429</v>
      </c>
      <c r="E347" s="135" t="str">
        <f t="shared" si="5"/>
        <v>Deo Parfum Essencial Único Masculino 100ml Refil</v>
      </c>
      <c r="F347" s="2" t="s">
        <v>458</v>
      </c>
      <c r="G347" s="130"/>
      <c r="H347" s="140" t="s">
        <v>371</v>
      </c>
      <c r="I347" s="31" t="s">
        <v>201</v>
      </c>
      <c r="J347" s="145" t="s">
        <v>459</v>
      </c>
      <c r="K347" s="160"/>
      <c r="L347" s="160">
        <v>213.9</v>
      </c>
    </row>
    <row r="348" spans="1:12" ht="15" customHeight="1" x14ac:dyDescent="0.25">
      <c r="B348" s="63" t="s">
        <v>15</v>
      </c>
      <c r="C348" s="74" t="s">
        <v>428</v>
      </c>
      <c r="D348" s="64" t="s">
        <v>429</v>
      </c>
      <c r="E348" s="135" t="str">
        <f t="shared" si="5"/>
        <v>Deo Parfum Essencial Atrai Feminino 100ml Frasco</v>
      </c>
      <c r="F348" s="2" t="s">
        <v>463</v>
      </c>
      <c r="G348" s="130"/>
      <c r="H348" s="140" t="s">
        <v>371</v>
      </c>
      <c r="I348" s="31" t="s">
        <v>33</v>
      </c>
      <c r="J348" s="123" t="s">
        <v>464</v>
      </c>
      <c r="K348" s="160"/>
      <c r="L348" s="160">
        <v>279.89999999999998</v>
      </c>
    </row>
    <row r="349" spans="1:12" ht="15" customHeight="1" x14ac:dyDescent="0.25">
      <c r="B349" s="63" t="s">
        <v>15</v>
      </c>
      <c r="C349" s="74" t="s">
        <v>428</v>
      </c>
      <c r="D349" s="64" t="s">
        <v>429</v>
      </c>
      <c r="E349" s="135" t="str">
        <f t="shared" si="5"/>
        <v>Deo Parfum Essencial Atô Feminino 100ml Frasco</v>
      </c>
      <c r="F349" s="2" t="s">
        <v>465</v>
      </c>
      <c r="G349" s="130"/>
      <c r="H349" s="140" t="s">
        <v>371</v>
      </c>
      <c r="I349" s="31" t="s">
        <v>33</v>
      </c>
      <c r="J349" s="11" t="s">
        <v>466</v>
      </c>
      <c r="K349" s="160"/>
      <c r="L349" s="160">
        <v>279.89999999999998</v>
      </c>
    </row>
    <row r="350" spans="1:12" ht="15" customHeight="1" x14ac:dyDescent="0.25">
      <c r="B350" s="63" t="s">
        <v>15</v>
      </c>
      <c r="C350" s="74" t="s">
        <v>428</v>
      </c>
      <c r="D350" s="64" t="s">
        <v>429</v>
      </c>
      <c r="E350" s="135" t="str">
        <f t="shared" si="5"/>
        <v>Deo Parfum Essencial Feminino 100ml Frasco</v>
      </c>
      <c r="F350" s="2" t="s">
        <v>467</v>
      </c>
      <c r="G350" s="130"/>
      <c r="H350" s="140" t="s">
        <v>371</v>
      </c>
      <c r="I350" s="31" t="s">
        <v>33</v>
      </c>
      <c r="J350" s="11" t="s">
        <v>468</v>
      </c>
      <c r="K350" s="160"/>
      <c r="L350" s="160">
        <v>279.89999999999998</v>
      </c>
    </row>
    <row r="351" spans="1:12" ht="15" customHeight="1" x14ac:dyDescent="0.25">
      <c r="B351" s="63" t="s">
        <v>15</v>
      </c>
      <c r="C351" s="74" t="s">
        <v>428</v>
      </c>
      <c r="D351" s="64" t="s">
        <v>429</v>
      </c>
      <c r="E351" s="135" t="str">
        <f t="shared" si="5"/>
        <v>Deo Parfum Essencial Estilo Feminino 100ml Frasco</v>
      </c>
      <c r="F351" s="2" t="s">
        <v>469</v>
      </c>
      <c r="G351" s="130"/>
      <c r="H351" s="140" t="s">
        <v>371</v>
      </c>
      <c r="I351" s="31" t="s">
        <v>33</v>
      </c>
      <c r="J351" s="11" t="s">
        <v>470</v>
      </c>
      <c r="K351" s="160"/>
      <c r="L351" s="160">
        <v>279.89999999999998</v>
      </c>
    </row>
    <row r="352" spans="1:12" ht="15" customHeight="1" x14ac:dyDescent="0.25">
      <c r="B352" s="63" t="s">
        <v>15</v>
      </c>
      <c r="C352" s="74" t="s">
        <v>428</v>
      </c>
      <c r="D352" s="64" t="s">
        <v>429</v>
      </c>
      <c r="E352" s="135" t="str">
        <f t="shared" si="5"/>
        <v>Deo Parfum Essencial Elixir Feminino 100ml Frasco</v>
      </c>
      <c r="F352" s="2" t="s">
        <v>471</v>
      </c>
      <c r="G352" s="130"/>
      <c r="H352" s="140" t="s">
        <v>371</v>
      </c>
      <c r="I352" s="31" t="s">
        <v>33</v>
      </c>
      <c r="J352" s="11" t="s">
        <v>472</v>
      </c>
      <c r="K352" s="160"/>
      <c r="L352" s="160">
        <v>279.89999999999998</v>
      </c>
    </row>
    <row r="353" spans="2:12" ht="15" customHeight="1" x14ac:dyDescent="0.25">
      <c r="B353" s="63" t="s">
        <v>15</v>
      </c>
      <c r="C353" s="74" t="s">
        <v>428</v>
      </c>
      <c r="D353" s="64" t="s">
        <v>429</v>
      </c>
      <c r="E353" s="135" t="str">
        <f t="shared" si="5"/>
        <v>Deo Parfum Essencial Exclusivo Feminino 100ml Frasco</v>
      </c>
      <c r="F353" s="2" t="s">
        <v>473</v>
      </c>
      <c r="G353" s="130"/>
      <c r="H353" s="140" t="s">
        <v>371</v>
      </c>
      <c r="I353" s="31" t="s">
        <v>33</v>
      </c>
      <c r="J353" s="11" t="s">
        <v>474</v>
      </c>
      <c r="K353" s="160"/>
      <c r="L353" s="160">
        <v>279.89999999999998</v>
      </c>
    </row>
    <row r="354" spans="2:12" ht="15" customHeight="1" x14ac:dyDescent="0.25">
      <c r="B354" s="63" t="s">
        <v>15</v>
      </c>
      <c r="C354" s="74" t="s">
        <v>428</v>
      </c>
      <c r="D354" s="64" t="s">
        <v>429</v>
      </c>
      <c r="E354" s="135" t="str">
        <f t="shared" si="5"/>
        <v>Deo Parfum Essencial Exclusivo Floral Feminino 100ml Frasco</v>
      </c>
      <c r="F354" s="2" t="s">
        <v>475</v>
      </c>
      <c r="G354" s="130"/>
      <c r="H354" s="140" t="s">
        <v>371</v>
      </c>
      <c r="I354" s="31" t="s">
        <v>33</v>
      </c>
      <c r="J354" s="11" t="s">
        <v>476</v>
      </c>
      <c r="K354" s="160"/>
      <c r="L354" s="160">
        <v>279.89999999999998</v>
      </c>
    </row>
    <row r="355" spans="2:12" ht="15" customHeight="1" x14ac:dyDescent="0.25">
      <c r="B355" s="63" t="s">
        <v>15</v>
      </c>
      <c r="C355" s="74" t="s">
        <v>428</v>
      </c>
      <c r="D355" s="64" t="s">
        <v>429</v>
      </c>
      <c r="E355" s="135" t="str">
        <f t="shared" si="5"/>
        <v>Deo Parfum Essencial Mirra Feminino 100ml Frasco</v>
      </c>
      <c r="F355" s="2" t="s">
        <v>477</v>
      </c>
      <c r="G355" s="130"/>
      <c r="H355" s="140" t="s">
        <v>371</v>
      </c>
      <c r="I355" s="31" t="s">
        <v>33</v>
      </c>
      <c r="J355" s="11" t="s">
        <v>478</v>
      </c>
      <c r="K355" s="160"/>
      <c r="L355" s="160">
        <v>279.89999999999998</v>
      </c>
    </row>
    <row r="356" spans="2:12" ht="15" customHeight="1" x14ac:dyDescent="0.25">
      <c r="B356" s="63" t="s">
        <v>15</v>
      </c>
      <c r="C356" s="74" t="s">
        <v>428</v>
      </c>
      <c r="D356" s="64" t="s">
        <v>429</v>
      </c>
      <c r="E356" s="135" t="str">
        <f t="shared" si="5"/>
        <v>Deo Parfum Essencial Oud Feminino 100ml Frasco</v>
      </c>
      <c r="F356" s="2" t="s">
        <v>479</v>
      </c>
      <c r="G356" s="130"/>
      <c r="H356" s="140" t="s">
        <v>371</v>
      </c>
      <c r="I356" s="31" t="s">
        <v>33</v>
      </c>
      <c r="J356" s="11" t="s">
        <v>480</v>
      </c>
      <c r="K356" s="160"/>
      <c r="L356" s="160">
        <v>279.89999999999998</v>
      </c>
    </row>
    <row r="357" spans="2:12" ht="15" customHeight="1" x14ac:dyDescent="0.25">
      <c r="B357" s="63" t="s">
        <v>15</v>
      </c>
      <c r="C357" s="74" t="s">
        <v>428</v>
      </c>
      <c r="D357" s="64" t="s">
        <v>429</v>
      </c>
      <c r="E357" s="135" t="str">
        <f t="shared" si="5"/>
        <v>Deo Parfum Essencial Old Vanilla Feminino 100ml Frasco</v>
      </c>
      <c r="F357" s="2" t="s">
        <v>481</v>
      </c>
      <c r="G357" s="130"/>
      <c r="H357" s="140" t="s">
        <v>371</v>
      </c>
      <c r="I357" s="31" t="s">
        <v>33</v>
      </c>
      <c r="J357" s="11" t="s">
        <v>482</v>
      </c>
      <c r="K357" s="160"/>
      <c r="L357" s="160">
        <v>279.89999999999998</v>
      </c>
    </row>
    <row r="358" spans="2:12" ht="15" customHeight="1" x14ac:dyDescent="0.25">
      <c r="B358" s="63" t="s">
        <v>15</v>
      </c>
      <c r="C358" s="74" t="s">
        <v>428</v>
      </c>
      <c r="D358" s="64" t="s">
        <v>429</v>
      </c>
      <c r="E358" s="135" t="str">
        <f t="shared" si="5"/>
        <v>Deo Parfum Essencial Old Pimenta Feminino 100ml Frasco</v>
      </c>
      <c r="F358" s="120" t="s">
        <v>483</v>
      </c>
      <c r="G358" s="130"/>
      <c r="H358" s="140" t="s">
        <v>371</v>
      </c>
      <c r="I358" s="31" t="s">
        <v>33</v>
      </c>
      <c r="J358" s="11" t="s">
        <v>484</v>
      </c>
      <c r="K358" s="160"/>
      <c r="L358" s="160">
        <v>279.89999999999998</v>
      </c>
    </row>
    <row r="359" spans="2:12" ht="15" customHeight="1" x14ac:dyDescent="0.25">
      <c r="B359" s="63" t="s">
        <v>15</v>
      </c>
      <c r="C359" s="74" t="s">
        <v>428</v>
      </c>
      <c r="D359" s="64" t="s">
        <v>429</v>
      </c>
      <c r="E359" s="135" t="str">
        <f t="shared" si="5"/>
        <v>Deo Parfum Essencial Palo Santo Feminino 100ml Frasco</v>
      </c>
      <c r="F359" s="2" t="s">
        <v>485</v>
      </c>
      <c r="G359" s="130"/>
      <c r="H359" s="140" t="s">
        <v>371</v>
      </c>
      <c r="I359" s="31" t="s">
        <v>33</v>
      </c>
      <c r="J359" s="11" t="s">
        <v>486</v>
      </c>
      <c r="K359" s="160"/>
      <c r="L359" s="160">
        <v>279.89999999999998</v>
      </c>
    </row>
    <row r="360" spans="2:12" ht="15" customHeight="1" x14ac:dyDescent="0.25">
      <c r="B360" s="63" t="s">
        <v>15</v>
      </c>
      <c r="C360" s="74" t="s">
        <v>428</v>
      </c>
      <c r="D360" s="64" t="s">
        <v>429</v>
      </c>
      <c r="E360" s="135" t="str">
        <f t="shared" si="5"/>
        <v>Deo Parfum Essencial Supreme Feminino 100ml Frasco</v>
      </c>
      <c r="F360" s="123" t="s">
        <v>487</v>
      </c>
      <c r="G360" s="130"/>
      <c r="H360" s="140" t="s">
        <v>371</v>
      </c>
      <c r="I360" s="31" t="s">
        <v>33</v>
      </c>
      <c r="J360" s="11" t="s">
        <v>488</v>
      </c>
      <c r="K360" s="160"/>
      <c r="L360" s="160">
        <v>279.89999999999998</v>
      </c>
    </row>
    <row r="361" spans="2:12" ht="15" customHeight="1" x14ac:dyDescent="0.25">
      <c r="B361" s="63" t="s">
        <v>15</v>
      </c>
      <c r="C361" s="74" t="s">
        <v>428</v>
      </c>
      <c r="D361" s="64" t="s">
        <v>429</v>
      </c>
      <c r="E361" s="135" t="str">
        <f t="shared" si="5"/>
        <v>Deo Parfum Essencial Sentir Feminino 100ml Frasco</v>
      </c>
      <c r="F361" s="2" t="s">
        <v>489</v>
      </c>
      <c r="G361" s="130"/>
      <c r="H361" s="140" t="s">
        <v>371</v>
      </c>
      <c r="I361" s="31" t="s">
        <v>33</v>
      </c>
      <c r="J361" s="11" t="s">
        <v>490</v>
      </c>
      <c r="K361" s="160"/>
      <c r="L361" s="160">
        <v>279.89999999999998</v>
      </c>
    </row>
    <row r="362" spans="2:12" ht="15" customHeight="1" x14ac:dyDescent="0.25">
      <c r="B362" s="63" t="s">
        <v>15</v>
      </c>
      <c r="C362" s="74" t="s">
        <v>428</v>
      </c>
      <c r="D362" s="64" t="s">
        <v>429</v>
      </c>
      <c r="E362" s="135" t="str">
        <f t="shared" si="5"/>
        <v>Deo Parfum Essencial Único Feminino 100ml Frasco</v>
      </c>
      <c r="F362" s="2" t="s">
        <v>491</v>
      </c>
      <c r="G362" s="130"/>
      <c r="H362" s="140" t="s">
        <v>371</v>
      </c>
      <c r="I362" s="31" t="s">
        <v>33</v>
      </c>
      <c r="J362" s="11" t="s">
        <v>492</v>
      </c>
      <c r="K362" s="160"/>
      <c r="L362" s="160">
        <v>279.89999999999998</v>
      </c>
    </row>
    <row r="363" spans="2:12" ht="15" customHeight="1" x14ac:dyDescent="0.25">
      <c r="B363" s="63" t="s">
        <v>15</v>
      </c>
      <c r="C363" s="74" t="s">
        <v>428</v>
      </c>
      <c r="D363" s="64" t="s">
        <v>429</v>
      </c>
      <c r="E363" s="135" t="str">
        <f t="shared" si="5"/>
        <v>Deo Parfum Essencial Atrai Feminino 100ml Refil</v>
      </c>
      <c r="F363" s="2" t="s">
        <v>463</v>
      </c>
      <c r="G363" s="130"/>
      <c r="H363" s="140" t="s">
        <v>371</v>
      </c>
      <c r="I363" s="31" t="s">
        <v>201</v>
      </c>
      <c r="J363" s="123" t="s">
        <v>464</v>
      </c>
      <c r="K363" s="160"/>
      <c r="L363" s="160">
        <v>213.9</v>
      </c>
    </row>
    <row r="364" spans="2:12" ht="15" customHeight="1" x14ac:dyDescent="0.25">
      <c r="B364" s="63" t="s">
        <v>15</v>
      </c>
      <c r="C364" s="74" t="s">
        <v>428</v>
      </c>
      <c r="D364" s="64" t="s">
        <v>429</v>
      </c>
      <c r="E364" s="135" t="str">
        <f t="shared" si="5"/>
        <v>Deo Parfum Essencial Atô Feminino 100ml Refil</v>
      </c>
      <c r="F364" s="2" t="s">
        <v>465</v>
      </c>
      <c r="G364" s="130"/>
      <c r="H364" s="140" t="s">
        <v>371</v>
      </c>
      <c r="I364" s="31" t="s">
        <v>201</v>
      </c>
      <c r="J364" s="11" t="s">
        <v>466</v>
      </c>
      <c r="K364" s="160"/>
      <c r="L364" s="160">
        <v>213.9</v>
      </c>
    </row>
    <row r="365" spans="2:12" ht="15" customHeight="1" x14ac:dyDescent="0.25">
      <c r="B365" s="63" t="s">
        <v>15</v>
      </c>
      <c r="C365" s="74" t="s">
        <v>428</v>
      </c>
      <c r="D365" s="64" t="s">
        <v>429</v>
      </c>
      <c r="E365" s="135" t="str">
        <f t="shared" si="5"/>
        <v>Deo Parfum Essencial Feminino 100ml Refil</v>
      </c>
      <c r="F365" s="2" t="s">
        <v>467</v>
      </c>
      <c r="G365" s="130"/>
      <c r="H365" s="140" t="s">
        <v>371</v>
      </c>
      <c r="I365" s="31" t="s">
        <v>201</v>
      </c>
      <c r="J365" s="11" t="s">
        <v>468</v>
      </c>
      <c r="K365" s="160"/>
      <c r="L365" s="160">
        <v>213.9</v>
      </c>
    </row>
    <row r="366" spans="2:12" ht="15" customHeight="1" x14ac:dyDescent="0.25">
      <c r="B366" s="63" t="s">
        <v>15</v>
      </c>
      <c r="C366" s="74" t="s">
        <v>428</v>
      </c>
      <c r="D366" s="64" t="s">
        <v>429</v>
      </c>
      <c r="E366" s="135" t="str">
        <f t="shared" si="5"/>
        <v>Deo Parfum Essencial Estilo Feminino 100ml Refil</v>
      </c>
      <c r="F366" s="2" t="s">
        <v>469</v>
      </c>
      <c r="G366" s="130"/>
      <c r="H366" s="140" t="s">
        <v>371</v>
      </c>
      <c r="I366" s="31" t="s">
        <v>201</v>
      </c>
      <c r="J366" s="11" t="s">
        <v>470</v>
      </c>
      <c r="K366" s="160"/>
      <c r="L366" s="160">
        <v>213.9</v>
      </c>
    </row>
    <row r="367" spans="2:12" ht="15" customHeight="1" x14ac:dyDescent="0.25">
      <c r="B367" s="63" t="s">
        <v>15</v>
      </c>
      <c r="C367" s="74" t="s">
        <v>428</v>
      </c>
      <c r="D367" s="64" t="s">
        <v>429</v>
      </c>
      <c r="E367" s="135" t="str">
        <f t="shared" si="5"/>
        <v>Deo Parfum Essencial Elixir Feminino 100ml Refil</v>
      </c>
      <c r="F367" s="2" t="s">
        <v>471</v>
      </c>
      <c r="G367" s="130"/>
      <c r="H367" s="140" t="s">
        <v>371</v>
      </c>
      <c r="I367" s="31" t="s">
        <v>201</v>
      </c>
      <c r="J367" s="11" t="s">
        <v>472</v>
      </c>
      <c r="K367" s="160"/>
      <c r="L367" s="160">
        <v>213.9</v>
      </c>
    </row>
    <row r="368" spans="2:12" ht="15" customHeight="1" x14ac:dyDescent="0.25">
      <c r="B368" s="63" t="s">
        <v>15</v>
      </c>
      <c r="C368" s="74" t="s">
        <v>428</v>
      </c>
      <c r="D368" s="64" t="s">
        <v>429</v>
      </c>
      <c r="E368" s="135" t="str">
        <f t="shared" si="5"/>
        <v>Deo Parfum Essencial Exclusivo Feminino 100ml Refil</v>
      </c>
      <c r="F368" s="2" t="s">
        <v>473</v>
      </c>
      <c r="G368" s="130"/>
      <c r="H368" s="140" t="s">
        <v>371</v>
      </c>
      <c r="I368" s="31" t="s">
        <v>201</v>
      </c>
      <c r="J368" s="11" t="s">
        <v>474</v>
      </c>
      <c r="K368" s="160"/>
      <c r="L368" s="160">
        <v>213.9</v>
      </c>
    </row>
    <row r="369" spans="2:12" ht="15" customHeight="1" x14ac:dyDescent="0.25">
      <c r="B369" s="63" t="s">
        <v>15</v>
      </c>
      <c r="C369" s="74" t="s">
        <v>428</v>
      </c>
      <c r="D369" s="64" t="s">
        <v>429</v>
      </c>
      <c r="E369" s="135" t="str">
        <f t="shared" si="5"/>
        <v>Deo Parfum Essencial Exclusivo Floral Feminino 100ml Refil</v>
      </c>
      <c r="F369" s="2" t="s">
        <v>475</v>
      </c>
      <c r="G369" s="130"/>
      <c r="H369" s="140" t="s">
        <v>371</v>
      </c>
      <c r="I369" s="31" t="s">
        <v>201</v>
      </c>
      <c r="J369" s="11" t="s">
        <v>476</v>
      </c>
      <c r="K369" s="160"/>
      <c r="L369" s="160">
        <v>213.9</v>
      </c>
    </row>
    <row r="370" spans="2:12" ht="15" customHeight="1" x14ac:dyDescent="0.25">
      <c r="B370" s="63" t="s">
        <v>15</v>
      </c>
      <c r="C370" s="74" t="s">
        <v>428</v>
      </c>
      <c r="D370" s="64" t="s">
        <v>429</v>
      </c>
      <c r="E370" s="135" t="str">
        <f t="shared" si="5"/>
        <v>Deo Parfum Essencial Mirra Feminino 100ml Refil</v>
      </c>
      <c r="F370" s="2" t="s">
        <v>477</v>
      </c>
      <c r="G370" s="130"/>
      <c r="H370" s="140" t="s">
        <v>371</v>
      </c>
      <c r="I370" s="31" t="s">
        <v>201</v>
      </c>
      <c r="J370" s="11" t="s">
        <v>478</v>
      </c>
      <c r="K370" s="160"/>
      <c r="L370" s="160">
        <v>213.9</v>
      </c>
    </row>
    <row r="371" spans="2:12" ht="15" customHeight="1" x14ac:dyDescent="0.25">
      <c r="B371" s="63" t="s">
        <v>15</v>
      </c>
      <c r="C371" s="74" t="s">
        <v>428</v>
      </c>
      <c r="D371" s="64" t="s">
        <v>429</v>
      </c>
      <c r="E371" s="135" t="str">
        <f t="shared" si="5"/>
        <v>Deo Parfum Essencial Oud Feminino 100ml Refil</v>
      </c>
      <c r="F371" s="2" t="s">
        <v>479</v>
      </c>
      <c r="G371" s="130"/>
      <c r="H371" s="140" t="s">
        <v>371</v>
      </c>
      <c r="I371" s="31" t="s">
        <v>201</v>
      </c>
      <c r="J371" s="2" t="s">
        <v>480</v>
      </c>
      <c r="K371" s="160"/>
      <c r="L371" s="160">
        <v>213.9</v>
      </c>
    </row>
    <row r="372" spans="2:12" ht="15" customHeight="1" x14ac:dyDescent="0.25">
      <c r="B372" s="63" t="s">
        <v>15</v>
      </c>
      <c r="C372" s="74" t="s">
        <v>428</v>
      </c>
      <c r="D372" s="64" t="s">
        <v>429</v>
      </c>
      <c r="E372" s="135" t="str">
        <f t="shared" si="5"/>
        <v>Deo Parfum Essencial Old Vanilla Feminino 100ml Refil</v>
      </c>
      <c r="F372" s="2" t="s">
        <v>481</v>
      </c>
      <c r="G372" s="130"/>
      <c r="H372" s="140" t="s">
        <v>371</v>
      </c>
      <c r="I372" s="31" t="s">
        <v>201</v>
      </c>
      <c r="J372" s="11" t="s">
        <v>482</v>
      </c>
      <c r="K372" s="160"/>
      <c r="L372" s="160">
        <v>213.9</v>
      </c>
    </row>
    <row r="373" spans="2:12" ht="15" customHeight="1" x14ac:dyDescent="0.25">
      <c r="B373" s="63" t="s">
        <v>15</v>
      </c>
      <c r="C373" s="74" t="s">
        <v>428</v>
      </c>
      <c r="D373" s="64" t="s">
        <v>429</v>
      </c>
      <c r="E373" s="135" t="str">
        <f t="shared" si="5"/>
        <v>Deo Parfum Essencial Old Pimenta Feminino 100ml Refil</v>
      </c>
      <c r="F373" s="120" t="s">
        <v>483</v>
      </c>
      <c r="G373" s="130"/>
      <c r="H373" s="140" t="s">
        <v>371</v>
      </c>
      <c r="I373" s="31" t="s">
        <v>201</v>
      </c>
      <c r="J373" s="11" t="s">
        <v>484</v>
      </c>
      <c r="K373" s="160"/>
      <c r="L373" s="160">
        <v>213.9</v>
      </c>
    </row>
    <row r="374" spans="2:12" ht="15" customHeight="1" x14ac:dyDescent="0.25">
      <c r="B374" s="63" t="s">
        <v>15</v>
      </c>
      <c r="C374" s="74" t="s">
        <v>428</v>
      </c>
      <c r="D374" s="64" t="s">
        <v>429</v>
      </c>
      <c r="E374" s="135" t="str">
        <f t="shared" si="5"/>
        <v>Deo Parfum Essencial Palo Santo Feminino 100ml Refil</v>
      </c>
      <c r="F374" s="2" t="s">
        <v>485</v>
      </c>
      <c r="G374" s="130"/>
      <c r="H374" s="140" t="s">
        <v>371</v>
      </c>
      <c r="I374" s="31" t="s">
        <v>201</v>
      </c>
      <c r="J374" s="11" t="s">
        <v>486</v>
      </c>
      <c r="K374" s="160"/>
      <c r="L374" s="160">
        <v>213.9</v>
      </c>
    </row>
    <row r="375" spans="2:12" ht="15" customHeight="1" x14ac:dyDescent="0.25">
      <c r="B375" s="63" t="s">
        <v>15</v>
      </c>
      <c r="C375" s="74" t="s">
        <v>428</v>
      </c>
      <c r="D375" s="64" t="s">
        <v>429</v>
      </c>
      <c r="E375" s="135" t="str">
        <f t="shared" si="5"/>
        <v>Deo Parfum Essencial Supreme Feminino 100ml Refil</v>
      </c>
      <c r="F375" s="123" t="s">
        <v>487</v>
      </c>
      <c r="G375" s="130"/>
      <c r="H375" s="140" t="s">
        <v>371</v>
      </c>
      <c r="I375" s="31" t="s">
        <v>201</v>
      </c>
      <c r="J375" s="11" t="s">
        <v>488</v>
      </c>
      <c r="K375" s="160"/>
      <c r="L375" s="160">
        <v>213.9</v>
      </c>
    </row>
    <row r="376" spans="2:12" ht="15" customHeight="1" x14ac:dyDescent="0.25">
      <c r="B376" s="63" t="s">
        <v>15</v>
      </c>
      <c r="C376" s="74" t="s">
        <v>428</v>
      </c>
      <c r="D376" s="64" t="s">
        <v>429</v>
      </c>
      <c r="E376" s="135" t="str">
        <f t="shared" si="5"/>
        <v>Deo Parfum Essencial Sentir Feminino 100ml Refil</v>
      </c>
      <c r="F376" s="2" t="s">
        <v>489</v>
      </c>
      <c r="G376" s="130"/>
      <c r="H376" s="140" t="s">
        <v>371</v>
      </c>
      <c r="I376" s="31" t="s">
        <v>201</v>
      </c>
      <c r="J376" s="11" t="s">
        <v>490</v>
      </c>
      <c r="K376" s="160"/>
      <c r="L376" s="160">
        <v>213.9</v>
      </c>
    </row>
    <row r="377" spans="2:12" ht="15" customHeight="1" x14ac:dyDescent="0.25">
      <c r="B377" s="63" t="s">
        <v>15</v>
      </c>
      <c r="C377" s="74" t="s">
        <v>428</v>
      </c>
      <c r="D377" s="64" t="s">
        <v>429</v>
      </c>
      <c r="E377" s="135" t="str">
        <f t="shared" si="5"/>
        <v>Deo Parfum Essencial Único Feminino 100ml Refil</v>
      </c>
      <c r="F377" s="2" t="s">
        <v>491</v>
      </c>
      <c r="G377" s="130"/>
      <c r="H377" s="140" t="s">
        <v>371</v>
      </c>
      <c r="I377" s="31" t="s">
        <v>201</v>
      </c>
      <c r="J377" s="11" t="s">
        <v>492</v>
      </c>
      <c r="K377" s="160"/>
      <c r="L377" s="160">
        <v>213.9</v>
      </c>
    </row>
    <row r="378" spans="2:12" ht="15" customHeight="1" x14ac:dyDescent="0.25">
      <c r="B378" s="63" t="s">
        <v>15</v>
      </c>
      <c r="C378" s="74" t="s">
        <v>428</v>
      </c>
      <c r="D378" s="66" t="s">
        <v>493</v>
      </c>
      <c r="E378" s="135" t="str">
        <f t="shared" si="5"/>
        <v>Desodorante Coporal Essencial Feminino 100ml Frasco</v>
      </c>
      <c r="F378" s="2" t="s">
        <v>494</v>
      </c>
      <c r="G378" s="130"/>
      <c r="H378" s="140" t="s">
        <v>371</v>
      </c>
      <c r="I378" s="31" t="s">
        <v>33</v>
      </c>
      <c r="J378" s="11" t="s">
        <v>495</v>
      </c>
      <c r="K378" s="160"/>
      <c r="L378" s="160">
        <v>54.9</v>
      </c>
    </row>
    <row r="379" spans="2:12" ht="15" customHeight="1" x14ac:dyDescent="0.25">
      <c r="B379" s="63" t="s">
        <v>15</v>
      </c>
      <c r="C379" s="74" t="s">
        <v>428</v>
      </c>
      <c r="D379" s="66" t="s">
        <v>493</v>
      </c>
      <c r="E379" s="135" t="str">
        <f t="shared" si="5"/>
        <v>Desodorante Coporal Essencial Atrai Masculino 100ml Frasco</v>
      </c>
      <c r="F379" s="2" t="s">
        <v>496</v>
      </c>
      <c r="G379" s="130"/>
      <c r="H379" s="140" t="s">
        <v>371</v>
      </c>
      <c r="I379" s="31" t="s">
        <v>33</v>
      </c>
      <c r="J379" s="11" t="s">
        <v>495</v>
      </c>
      <c r="K379" s="160"/>
      <c r="L379" s="160">
        <v>54.9</v>
      </c>
    </row>
    <row r="380" spans="2:12" ht="15" customHeight="1" x14ac:dyDescent="0.25">
      <c r="B380" s="63" t="s">
        <v>15</v>
      </c>
      <c r="C380" s="74" t="s">
        <v>428</v>
      </c>
      <c r="D380" s="66" t="s">
        <v>493</v>
      </c>
      <c r="E380" s="135" t="str">
        <f t="shared" si="5"/>
        <v>Desodorante Coporal Essencial Atô Masculino 100ml Frasco</v>
      </c>
      <c r="F380" s="2" t="s">
        <v>432</v>
      </c>
      <c r="G380" s="130"/>
      <c r="H380" s="140" t="s">
        <v>371</v>
      </c>
      <c r="I380" s="31" t="s">
        <v>33</v>
      </c>
      <c r="J380" s="11" t="s">
        <v>495</v>
      </c>
      <c r="K380" s="160"/>
      <c r="L380" s="160">
        <v>54.9</v>
      </c>
    </row>
    <row r="381" spans="2:12" ht="15" customHeight="1" x14ac:dyDescent="0.25">
      <c r="B381" s="63" t="s">
        <v>15</v>
      </c>
      <c r="C381" s="74" t="s">
        <v>428</v>
      </c>
      <c r="D381" s="66" t="s">
        <v>493</v>
      </c>
      <c r="E381" s="135" t="str">
        <f t="shared" si="5"/>
        <v>Desodorante Coporal Essencial Masculino 100ml Frasco</v>
      </c>
      <c r="F381" s="2" t="s">
        <v>434</v>
      </c>
      <c r="G381" s="130"/>
      <c r="H381" s="140" t="s">
        <v>371</v>
      </c>
      <c r="I381" s="31" t="s">
        <v>33</v>
      </c>
      <c r="J381" s="11" t="s">
        <v>495</v>
      </c>
      <c r="K381" s="160"/>
      <c r="L381" s="160">
        <v>54.9</v>
      </c>
    </row>
    <row r="382" spans="2:12" ht="15" customHeight="1" x14ac:dyDescent="0.25">
      <c r="B382" s="63" t="s">
        <v>15</v>
      </c>
      <c r="C382" s="74" t="s">
        <v>428</v>
      </c>
      <c r="D382" s="66" t="s">
        <v>493</v>
      </c>
      <c r="E382" s="135" t="str">
        <f t="shared" si="5"/>
        <v>Desodorante Coporal Essencial Exclusivo Masculino 100ml Frasco</v>
      </c>
      <c r="F382" s="2" t="s">
        <v>440</v>
      </c>
      <c r="G382" s="130"/>
      <c r="H382" s="140" t="s">
        <v>371</v>
      </c>
      <c r="I382" s="31" t="s">
        <v>33</v>
      </c>
      <c r="J382" s="11" t="s">
        <v>495</v>
      </c>
      <c r="K382" s="160"/>
      <c r="L382" s="160">
        <v>54.9</v>
      </c>
    </row>
    <row r="383" spans="2:12" ht="15" customHeight="1" x14ac:dyDescent="0.25">
      <c r="B383" s="63" t="s">
        <v>15</v>
      </c>
      <c r="C383" s="74" t="s">
        <v>428</v>
      </c>
      <c r="D383" s="66" t="s">
        <v>493</v>
      </c>
      <c r="E383" s="135" t="str">
        <f t="shared" si="5"/>
        <v>Desodorante Coporal Essencial Oud Masculino 100ml Frasco</v>
      </c>
      <c r="F383" s="2" t="s">
        <v>446</v>
      </c>
      <c r="G383" s="130"/>
      <c r="H383" s="140" t="s">
        <v>371</v>
      </c>
      <c r="I383" s="31" t="s">
        <v>33</v>
      </c>
      <c r="J383" s="11" t="s">
        <v>495</v>
      </c>
      <c r="K383" s="160"/>
      <c r="L383" s="160">
        <v>54.9</v>
      </c>
    </row>
    <row r="384" spans="2:12" ht="15" customHeight="1" x14ac:dyDescent="0.25">
      <c r="B384" s="63" t="s">
        <v>15</v>
      </c>
      <c r="C384" s="74" t="s">
        <v>428</v>
      </c>
      <c r="D384" s="66" t="s">
        <v>493</v>
      </c>
      <c r="E384" s="135" t="str">
        <f t="shared" si="5"/>
        <v>Desodorante Coporal Essencial Único Masculino 100ml Frasco</v>
      </c>
      <c r="F384" s="2" t="s">
        <v>458</v>
      </c>
      <c r="G384" s="130"/>
      <c r="H384" s="140" t="s">
        <v>371</v>
      </c>
      <c r="I384" s="31" t="s">
        <v>33</v>
      </c>
      <c r="J384" s="11" t="s">
        <v>495</v>
      </c>
      <c r="K384" s="160"/>
      <c r="L384" s="160">
        <v>54.9</v>
      </c>
    </row>
    <row r="385" spans="1:12" ht="15" customHeight="1" x14ac:dyDescent="0.25">
      <c r="B385" s="63" t="s">
        <v>15</v>
      </c>
      <c r="C385" s="74" t="s">
        <v>428</v>
      </c>
      <c r="D385" s="66" t="s">
        <v>493</v>
      </c>
      <c r="E385" s="135" t="str">
        <f t="shared" si="5"/>
        <v>Desodorante Coporal Essencial Sentir Masculino 100ml Frasco</v>
      </c>
      <c r="F385" s="2" t="s">
        <v>456</v>
      </c>
      <c r="G385" s="130"/>
      <c r="H385" s="140" t="s">
        <v>371</v>
      </c>
      <c r="I385" s="31" t="s">
        <v>33</v>
      </c>
      <c r="J385" s="11" t="s">
        <v>495</v>
      </c>
      <c r="K385" s="160"/>
      <c r="L385" s="160">
        <v>54.9</v>
      </c>
    </row>
    <row r="386" spans="1:12" ht="15" customHeight="1" x14ac:dyDescent="0.25">
      <c r="B386" s="63" t="s">
        <v>15</v>
      </c>
      <c r="C386" s="74" t="s">
        <v>428</v>
      </c>
      <c r="D386" s="66" t="s">
        <v>493</v>
      </c>
      <c r="E386" s="135" t="str">
        <f t="shared" ref="E386:E449" si="6">TRIM(CONCATENATE(D386, " ", C386, " ", F386, " ", IF(G386&gt;0, G386 &amp; "x" &amp; H386, H386), " ", I386))</f>
        <v>Desodorante Coporal Essencial Atrai Masculino 100ml Refil</v>
      </c>
      <c r="F386" s="2" t="s">
        <v>496</v>
      </c>
      <c r="G386" s="130"/>
      <c r="H386" s="140" t="s">
        <v>371</v>
      </c>
      <c r="I386" s="31" t="s">
        <v>201</v>
      </c>
      <c r="J386" s="11" t="s">
        <v>495</v>
      </c>
      <c r="K386" s="160"/>
      <c r="L386" s="160">
        <v>54.9</v>
      </c>
    </row>
    <row r="387" spans="1:12" ht="15" customHeight="1" x14ac:dyDescent="0.25">
      <c r="B387" s="63" t="s">
        <v>15</v>
      </c>
      <c r="C387" s="74" t="s">
        <v>428</v>
      </c>
      <c r="D387" s="66" t="s">
        <v>493</v>
      </c>
      <c r="E387" s="135" t="str">
        <f t="shared" si="6"/>
        <v>Desodorante Coporal Essencial Atô Masculino 100ml Refil</v>
      </c>
      <c r="F387" s="2" t="s">
        <v>432</v>
      </c>
      <c r="G387" s="130"/>
      <c r="H387" s="140" t="s">
        <v>371</v>
      </c>
      <c r="I387" s="31" t="s">
        <v>201</v>
      </c>
      <c r="J387" s="11" t="s">
        <v>495</v>
      </c>
      <c r="K387" s="160"/>
      <c r="L387" s="160">
        <v>54.9</v>
      </c>
    </row>
    <row r="388" spans="1:12" ht="15" customHeight="1" x14ac:dyDescent="0.25">
      <c r="A388" t="s">
        <v>497</v>
      </c>
      <c r="B388" s="63" t="s">
        <v>15</v>
      </c>
      <c r="C388" s="74" t="s">
        <v>428</v>
      </c>
      <c r="D388" s="66" t="s">
        <v>493</v>
      </c>
      <c r="E388" s="135" t="str">
        <f t="shared" si="6"/>
        <v>Desodorante Coporal Essencial Masculino 100ml Refil</v>
      </c>
      <c r="F388" s="2" t="s">
        <v>434</v>
      </c>
      <c r="G388" s="130"/>
      <c r="H388" s="140" t="s">
        <v>371</v>
      </c>
      <c r="I388" s="31" t="s">
        <v>201</v>
      </c>
      <c r="J388" s="11" t="s">
        <v>495</v>
      </c>
      <c r="K388" s="160"/>
      <c r="L388" s="160">
        <v>54.9</v>
      </c>
    </row>
    <row r="389" spans="1:12" ht="15" customHeight="1" x14ac:dyDescent="0.25">
      <c r="B389" s="63" t="s">
        <v>15</v>
      </c>
      <c r="C389" s="74" t="s">
        <v>428</v>
      </c>
      <c r="D389" s="66" t="s">
        <v>493</v>
      </c>
      <c r="E389" s="135" t="str">
        <f t="shared" si="6"/>
        <v>Desodorante Coporal Essencial Exclusivo 100ml Refil</v>
      </c>
      <c r="F389" s="2" t="s">
        <v>498</v>
      </c>
      <c r="G389" s="130"/>
      <c r="H389" s="140" t="s">
        <v>371</v>
      </c>
      <c r="I389" s="31" t="s">
        <v>201</v>
      </c>
      <c r="J389" s="11" t="s">
        <v>495</v>
      </c>
      <c r="K389" s="160"/>
      <c r="L389" s="160">
        <v>54.9</v>
      </c>
    </row>
    <row r="390" spans="1:12" ht="15" customHeight="1" x14ac:dyDescent="0.25">
      <c r="B390" s="63" t="s">
        <v>15</v>
      </c>
      <c r="C390" s="74" t="s">
        <v>428</v>
      </c>
      <c r="D390" s="66" t="s">
        <v>493</v>
      </c>
      <c r="E390" s="135" t="str">
        <f t="shared" si="6"/>
        <v>Desodorante Coporal Essencial Oud Masculino 100ml Refil</v>
      </c>
      <c r="F390" s="2" t="s">
        <v>446</v>
      </c>
      <c r="G390" s="130"/>
      <c r="H390" s="140" t="s">
        <v>371</v>
      </c>
      <c r="I390" s="31" t="s">
        <v>201</v>
      </c>
      <c r="J390" s="11" t="s">
        <v>495</v>
      </c>
      <c r="K390" s="160"/>
      <c r="L390" s="160">
        <v>54.9</v>
      </c>
    </row>
    <row r="391" spans="1:12" ht="15" customHeight="1" x14ac:dyDescent="0.25">
      <c r="B391" s="63" t="s">
        <v>15</v>
      </c>
      <c r="C391" s="74" t="s">
        <v>428</v>
      </c>
      <c r="D391" s="66" t="s">
        <v>493</v>
      </c>
      <c r="E391" s="135" t="str">
        <f t="shared" si="6"/>
        <v>Desodorante Coporal Essencial Único Masculino 100ml Refil</v>
      </c>
      <c r="F391" s="2" t="s">
        <v>458</v>
      </c>
      <c r="G391" s="130"/>
      <c r="H391" s="140" t="s">
        <v>371</v>
      </c>
      <c r="I391" s="31" t="s">
        <v>201</v>
      </c>
      <c r="J391" s="11" t="s">
        <v>495</v>
      </c>
      <c r="K391" s="160"/>
      <c r="L391" s="160">
        <v>54.9</v>
      </c>
    </row>
    <row r="392" spans="1:12" ht="15" customHeight="1" x14ac:dyDescent="0.25">
      <c r="B392" s="63" t="s">
        <v>15</v>
      </c>
      <c r="C392" s="74" t="s">
        <v>428</v>
      </c>
      <c r="D392" s="66" t="s">
        <v>493</v>
      </c>
      <c r="E392" s="135" t="str">
        <f t="shared" si="6"/>
        <v>Desodorante Coporal Essencial Sentir Masculino 100ml Refil</v>
      </c>
      <c r="F392" s="2" t="s">
        <v>456</v>
      </c>
      <c r="G392" s="130"/>
      <c r="H392" s="140" t="s">
        <v>371</v>
      </c>
      <c r="I392" s="31" t="s">
        <v>201</v>
      </c>
      <c r="J392" s="11" t="s">
        <v>495</v>
      </c>
      <c r="K392" s="160"/>
      <c r="L392" s="160">
        <v>54.9</v>
      </c>
    </row>
    <row r="393" spans="1:12" ht="15" customHeight="1" x14ac:dyDescent="0.25">
      <c r="B393" s="63" t="s">
        <v>15</v>
      </c>
      <c r="C393" s="74" t="s">
        <v>428</v>
      </c>
      <c r="D393" s="66" t="s">
        <v>493</v>
      </c>
      <c r="E393" s="135" t="str">
        <f t="shared" si="6"/>
        <v>Desodorante Coporal Essencial Atrai Feminino 100ml Frasco</v>
      </c>
      <c r="F393" s="2" t="s">
        <v>463</v>
      </c>
      <c r="G393" s="130"/>
      <c r="H393" s="140" t="s">
        <v>371</v>
      </c>
      <c r="I393" s="31" t="s">
        <v>33</v>
      </c>
      <c r="J393" s="11" t="s">
        <v>495</v>
      </c>
      <c r="K393" s="160"/>
      <c r="L393" s="160">
        <v>54.9</v>
      </c>
    </row>
    <row r="394" spans="1:12" ht="15" customHeight="1" x14ac:dyDescent="0.25">
      <c r="B394" s="63" t="s">
        <v>15</v>
      </c>
      <c r="C394" s="74" t="s">
        <v>428</v>
      </c>
      <c r="D394" s="66" t="s">
        <v>493</v>
      </c>
      <c r="E394" s="135" t="str">
        <f t="shared" si="6"/>
        <v>Desodorante Coporal Essencial Feminino 100ml Frasco</v>
      </c>
      <c r="F394" s="2" t="s">
        <v>467</v>
      </c>
      <c r="G394" s="130"/>
      <c r="H394" s="140" t="s">
        <v>371</v>
      </c>
      <c r="I394" s="31" t="s">
        <v>33</v>
      </c>
      <c r="J394" s="11" t="s">
        <v>495</v>
      </c>
      <c r="K394" s="160"/>
      <c r="L394" s="160">
        <v>54.9</v>
      </c>
    </row>
    <row r="395" spans="1:12" ht="15" customHeight="1" x14ac:dyDescent="0.25">
      <c r="B395" s="63" t="s">
        <v>15</v>
      </c>
      <c r="C395" s="74" t="s">
        <v>428</v>
      </c>
      <c r="D395" s="66" t="s">
        <v>493</v>
      </c>
      <c r="E395" s="135" t="str">
        <f t="shared" si="6"/>
        <v>Desodorante Coporal Essencial Exclusivo Feminino 100ml Frasco</v>
      </c>
      <c r="F395" s="2" t="s">
        <v>473</v>
      </c>
      <c r="G395" s="130"/>
      <c r="H395" s="140" t="s">
        <v>371</v>
      </c>
      <c r="I395" s="31" t="s">
        <v>33</v>
      </c>
      <c r="J395" s="11" t="s">
        <v>495</v>
      </c>
      <c r="K395" s="160"/>
      <c r="L395" s="160">
        <v>54.9</v>
      </c>
    </row>
    <row r="396" spans="1:12" ht="15" customHeight="1" x14ac:dyDescent="0.25">
      <c r="B396" s="63" t="s">
        <v>15</v>
      </c>
      <c r="C396" s="74" t="s">
        <v>428</v>
      </c>
      <c r="D396" s="66" t="s">
        <v>493</v>
      </c>
      <c r="E396" s="135" t="str">
        <f t="shared" si="6"/>
        <v>Desodorante Coporal Essencial Atrai Feminino 100ml Refil</v>
      </c>
      <c r="F396" s="2" t="s">
        <v>463</v>
      </c>
      <c r="G396" s="130"/>
      <c r="H396" s="140" t="s">
        <v>371</v>
      </c>
      <c r="I396" s="31" t="s">
        <v>201</v>
      </c>
      <c r="J396" s="11" t="s">
        <v>495</v>
      </c>
      <c r="K396" s="160"/>
      <c r="L396" s="160">
        <v>54.9</v>
      </c>
    </row>
    <row r="397" spans="1:12" ht="15" customHeight="1" x14ac:dyDescent="0.25">
      <c r="B397" s="63" t="s">
        <v>15</v>
      </c>
      <c r="C397" s="74" t="s">
        <v>428</v>
      </c>
      <c r="D397" s="66" t="s">
        <v>493</v>
      </c>
      <c r="E397" s="135" t="str">
        <f t="shared" si="6"/>
        <v>Desodorante Coporal Essencial Feminino 100ml Refil</v>
      </c>
      <c r="F397" s="2" t="s">
        <v>467</v>
      </c>
      <c r="G397" s="130"/>
      <c r="H397" s="140" t="s">
        <v>371</v>
      </c>
      <c r="I397" s="31" t="s">
        <v>201</v>
      </c>
      <c r="J397" s="11" t="s">
        <v>495</v>
      </c>
      <c r="K397" s="160"/>
      <c r="L397" s="160">
        <v>54.9</v>
      </c>
    </row>
    <row r="398" spans="1:12" ht="15" customHeight="1" x14ac:dyDescent="0.25">
      <c r="B398" s="63" t="s">
        <v>15</v>
      </c>
      <c r="C398" s="74" t="s">
        <v>428</v>
      </c>
      <c r="D398" s="66" t="s">
        <v>493</v>
      </c>
      <c r="E398" s="135" t="str">
        <f t="shared" si="6"/>
        <v>Desodorante Coporal Essencial Exclusivo Feminino 100ml Refil</v>
      </c>
      <c r="F398" s="2" t="s">
        <v>473</v>
      </c>
      <c r="G398" s="130"/>
      <c r="H398" s="140" t="s">
        <v>371</v>
      </c>
      <c r="I398" s="31" t="s">
        <v>201</v>
      </c>
      <c r="J398" s="11" t="s">
        <v>495</v>
      </c>
      <c r="K398" s="160"/>
      <c r="L398" s="160">
        <v>54.9</v>
      </c>
    </row>
    <row r="399" spans="1:12" ht="15" customHeight="1" x14ac:dyDescent="0.25">
      <c r="B399" s="63" t="s">
        <v>15</v>
      </c>
      <c r="C399" s="74" t="s">
        <v>428</v>
      </c>
      <c r="D399" s="64" t="s">
        <v>499</v>
      </c>
      <c r="E399" s="135" t="str">
        <f t="shared" si="6"/>
        <v>Hidratante Desodorante Perfumado Essencial Essencial 200g Pote</v>
      </c>
      <c r="F399" s="2" t="s">
        <v>428</v>
      </c>
      <c r="G399" s="130"/>
      <c r="H399" s="2" t="s">
        <v>67</v>
      </c>
      <c r="I399" s="31" t="s">
        <v>62</v>
      </c>
      <c r="J399" s="11" t="s">
        <v>500</v>
      </c>
      <c r="K399" s="160"/>
      <c r="L399" s="160">
        <v>129.9</v>
      </c>
    </row>
    <row r="400" spans="1:12" ht="15" customHeight="1" x14ac:dyDescent="0.25">
      <c r="B400" s="63" t="s">
        <v>15</v>
      </c>
      <c r="C400" s="74" t="s">
        <v>428</v>
      </c>
      <c r="D400" s="64" t="s">
        <v>499</v>
      </c>
      <c r="E400" s="135" t="str">
        <f t="shared" si="6"/>
        <v>Hidratante Desodorante Perfumado Essencial Essencial Exclusivo 200g Pote</v>
      </c>
      <c r="F400" s="2" t="s">
        <v>501</v>
      </c>
      <c r="G400" s="130"/>
      <c r="H400" s="2" t="s">
        <v>67</v>
      </c>
      <c r="I400" s="31" t="s">
        <v>62</v>
      </c>
      <c r="J400" s="11" t="s">
        <v>500</v>
      </c>
      <c r="K400" s="160"/>
      <c r="L400" s="160">
        <v>129.9</v>
      </c>
    </row>
    <row r="401" spans="1:12" ht="15" customHeight="1" x14ac:dyDescent="0.25">
      <c r="B401" s="63" t="s">
        <v>15</v>
      </c>
      <c r="C401" s="74" t="s">
        <v>428</v>
      </c>
      <c r="D401" s="64" t="s">
        <v>499</v>
      </c>
      <c r="E401" s="135" t="str">
        <f t="shared" si="6"/>
        <v>Hidratante Desodorante Perfumado Essencial Essencial Oud 200g Pote</v>
      </c>
      <c r="F401" s="2" t="s">
        <v>502</v>
      </c>
      <c r="G401" s="130"/>
      <c r="H401" s="2" t="s">
        <v>67</v>
      </c>
      <c r="I401" s="31" t="s">
        <v>62</v>
      </c>
      <c r="J401" s="11" t="s">
        <v>500</v>
      </c>
      <c r="K401" s="160"/>
      <c r="L401" s="160">
        <v>129.9</v>
      </c>
    </row>
    <row r="402" spans="1:12" ht="15" customHeight="1" x14ac:dyDescent="0.25">
      <c r="B402" s="63" t="s">
        <v>15</v>
      </c>
      <c r="C402" s="74" t="s">
        <v>428</v>
      </c>
      <c r="D402" s="64" t="s">
        <v>499</v>
      </c>
      <c r="E402" s="135" t="str">
        <f t="shared" si="6"/>
        <v>Hidratante Desodorante Perfumado Essencial Essencial Supreme 200g Pote</v>
      </c>
      <c r="F402" s="123" t="s">
        <v>503</v>
      </c>
      <c r="G402" s="130"/>
      <c r="H402" s="2" t="s">
        <v>67</v>
      </c>
      <c r="I402" s="31" t="s">
        <v>62</v>
      </c>
      <c r="J402" s="11" t="s">
        <v>500</v>
      </c>
      <c r="K402" s="160"/>
      <c r="L402" s="160">
        <v>129.9</v>
      </c>
    </row>
    <row r="403" spans="1:12" ht="15" customHeight="1" x14ac:dyDescent="0.25">
      <c r="B403" s="63" t="s">
        <v>15</v>
      </c>
      <c r="C403" s="74" t="s">
        <v>428</v>
      </c>
      <c r="D403" s="64" t="s">
        <v>499</v>
      </c>
      <c r="E403" s="135" t="str">
        <f t="shared" si="6"/>
        <v>Hidratante Desodorante Perfumado Essencial Essencial 200g Refil</v>
      </c>
      <c r="F403" s="2" t="s">
        <v>428</v>
      </c>
      <c r="G403" s="130"/>
      <c r="H403" s="2" t="s">
        <v>67</v>
      </c>
      <c r="I403" s="31" t="s">
        <v>201</v>
      </c>
      <c r="J403" s="11" t="s">
        <v>500</v>
      </c>
      <c r="K403" s="160"/>
      <c r="L403" s="160">
        <v>95.9</v>
      </c>
    </row>
    <row r="404" spans="1:12" ht="15" customHeight="1" x14ac:dyDescent="0.25">
      <c r="B404" s="63" t="s">
        <v>15</v>
      </c>
      <c r="C404" s="74" t="s">
        <v>428</v>
      </c>
      <c r="D404" s="64" t="s">
        <v>499</v>
      </c>
      <c r="E404" s="135" t="str">
        <f t="shared" si="6"/>
        <v>Hidratante Desodorante Perfumado Essencial Essencial Exclusivo 200g Refil</v>
      </c>
      <c r="F404" s="2" t="s">
        <v>501</v>
      </c>
      <c r="G404" s="130"/>
      <c r="H404" s="2" t="s">
        <v>67</v>
      </c>
      <c r="I404" s="31" t="s">
        <v>201</v>
      </c>
      <c r="J404" s="11" t="s">
        <v>500</v>
      </c>
      <c r="K404" s="160"/>
      <c r="L404" s="160">
        <v>95.9</v>
      </c>
    </row>
    <row r="405" spans="1:12" ht="15" customHeight="1" x14ac:dyDescent="0.25">
      <c r="B405" s="63" t="s">
        <v>15</v>
      </c>
      <c r="C405" s="74" t="s">
        <v>428</v>
      </c>
      <c r="D405" s="64" t="s">
        <v>499</v>
      </c>
      <c r="E405" s="135" t="str">
        <f t="shared" si="6"/>
        <v>Hidratante Desodorante Perfumado Essencial Essencial Oud 200g Refil</v>
      </c>
      <c r="F405" s="2" t="s">
        <v>502</v>
      </c>
      <c r="G405" s="130"/>
      <c r="H405" s="2" t="s">
        <v>67</v>
      </c>
      <c r="I405" s="31" t="s">
        <v>201</v>
      </c>
      <c r="J405" s="11" t="s">
        <v>500</v>
      </c>
      <c r="K405" s="160"/>
      <c r="L405" s="160">
        <v>95.9</v>
      </c>
    </row>
    <row r="406" spans="1:12" ht="15" customHeight="1" x14ac:dyDescent="0.25">
      <c r="B406" s="63" t="s">
        <v>15</v>
      </c>
      <c r="C406" s="74" t="s">
        <v>428</v>
      </c>
      <c r="D406" s="64" t="s">
        <v>499</v>
      </c>
      <c r="E406" s="135" t="str">
        <f t="shared" si="6"/>
        <v>Hidratante Desodorante Perfumado Essencial Essencial Supreme 200g Refil</v>
      </c>
      <c r="F406" s="123" t="s">
        <v>503</v>
      </c>
      <c r="G406" s="130"/>
      <c r="H406" s="2" t="s">
        <v>67</v>
      </c>
      <c r="I406" s="31" t="s">
        <v>201</v>
      </c>
      <c r="J406" s="11" t="s">
        <v>500</v>
      </c>
      <c r="K406" s="160"/>
      <c r="L406" s="160">
        <v>95.9</v>
      </c>
    </row>
    <row r="407" spans="1:12" ht="15" customHeight="1" x14ac:dyDescent="0.25">
      <c r="B407" s="63" t="s">
        <v>15</v>
      </c>
      <c r="C407" s="74" t="s">
        <v>428</v>
      </c>
      <c r="D407" s="64" t="s">
        <v>499</v>
      </c>
      <c r="E407" s="135" t="str">
        <f t="shared" si="6"/>
        <v>Hidratante Desodorante Perfumado Essencial Essencial 100ml Frasco</v>
      </c>
      <c r="F407" s="2" t="s">
        <v>428</v>
      </c>
      <c r="G407" s="130"/>
      <c r="H407" s="2" t="s">
        <v>371</v>
      </c>
      <c r="I407" s="31" t="s">
        <v>33</v>
      </c>
      <c r="J407" s="11" t="s">
        <v>504</v>
      </c>
      <c r="K407" s="160"/>
      <c r="L407" s="160">
        <v>39.9</v>
      </c>
    </row>
    <row r="408" spans="1:12" ht="15" customHeight="1" x14ac:dyDescent="0.25">
      <c r="B408" s="63" t="s">
        <v>15</v>
      </c>
      <c r="C408" s="74" t="s">
        <v>428</v>
      </c>
      <c r="D408" s="64" t="s">
        <v>499</v>
      </c>
      <c r="E408" s="135" t="str">
        <f t="shared" si="6"/>
        <v>Hidratante Desodorante Perfumado Essencial Essencial Exclusivo 100ml Frasco</v>
      </c>
      <c r="F408" s="2" t="s">
        <v>501</v>
      </c>
      <c r="G408" s="130"/>
      <c r="H408" s="2" t="s">
        <v>371</v>
      </c>
      <c r="I408" s="31" t="s">
        <v>33</v>
      </c>
      <c r="J408" s="11" t="s">
        <v>504</v>
      </c>
      <c r="K408" s="160"/>
      <c r="L408" s="160" t="s">
        <v>505</v>
      </c>
    </row>
    <row r="409" spans="1:12" ht="15" customHeight="1" x14ac:dyDescent="0.25">
      <c r="B409" s="63" t="s">
        <v>15</v>
      </c>
      <c r="C409" s="74" t="s">
        <v>428</v>
      </c>
      <c r="D409" s="64" t="s">
        <v>499</v>
      </c>
      <c r="E409" s="135" t="str">
        <f t="shared" si="6"/>
        <v>Hidratante Desodorante Perfumado Essencial Essencial Oud 100ml Frasco</v>
      </c>
      <c r="F409" s="2" t="s">
        <v>502</v>
      </c>
      <c r="G409" s="130"/>
      <c r="H409" s="2" t="s">
        <v>371</v>
      </c>
      <c r="I409" s="31" t="s">
        <v>33</v>
      </c>
      <c r="J409" s="11" t="s">
        <v>504</v>
      </c>
      <c r="K409" s="160"/>
      <c r="L409" s="160">
        <v>39.9</v>
      </c>
    </row>
    <row r="410" spans="1:12" s="10" customFormat="1" ht="15" customHeight="1" x14ac:dyDescent="0.25">
      <c r="A410" t="s">
        <v>506</v>
      </c>
      <c r="B410" s="63" t="s">
        <v>15</v>
      </c>
      <c r="C410" s="74" t="s">
        <v>428</v>
      </c>
      <c r="D410" s="133" t="s">
        <v>507</v>
      </c>
      <c r="E410" s="135" t="str">
        <f t="shared" si="6"/>
        <v>Creme de Barbear Essencial Essencial 75g Frasco</v>
      </c>
      <c r="F410" s="2" t="s">
        <v>428</v>
      </c>
      <c r="G410" s="130"/>
      <c r="H410" s="9" t="s">
        <v>508</v>
      </c>
      <c r="I410" s="36" t="s">
        <v>33</v>
      </c>
      <c r="J410" s="2" t="s">
        <v>509</v>
      </c>
      <c r="K410" s="20"/>
      <c r="L410" s="20" t="s">
        <v>510</v>
      </c>
    </row>
    <row r="411" spans="1:12" x14ac:dyDescent="0.25">
      <c r="B411" s="63" t="s">
        <v>15</v>
      </c>
      <c r="C411" s="74" t="s">
        <v>428</v>
      </c>
      <c r="D411" s="66" t="s">
        <v>511</v>
      </c>
      <c r="E411" s="135" t="str">
        <f t="shared" si="6"/>
        <v>Balm Pos Barba Essencial Essencial 75ml Frasco</v>
      </c>
      <c r="F411" s="2" t="s">
        <v>428</v>
      </c>
      <c r="G411" s="130"/>
      <c r="H411" s="140" t="s">
        <v>512</v>
      </c>
      <c r="I411" s="31" t="s">
        <v>33</v>
      </c>
      <c r="J411" s="150" t="s">
        <v>513</v>
      </c>
      <c r="K411" s="11"/>
      <c r="L411" s="11" t="s">
        <v>514</v>
      </c>
    </row>
    <row r="412" spans="1:12" ht="15" customHeight="1" x14ac:dyDescent="0.25">
      <c r="B412" s="63" t="s">
        <v>15</v>
      </c>
      <c r="C412" s="74" t="s">
        <v>428</v>
      </c>
      <c r="D412" s="64" t="s">
        <v>321</v>
      </c>
      <c r="E412" s="135" t="str">
        <f t="shared" si="6"/>
        <v>Shampoo Essencial Essencial oud 110ml Frasco</v>
      </c>
      <c r="F412" s="2" t="s">
        <v>515</v>
      </c>
      <c r="G412" s="130"/>
      <c r="H412" s="2" t="s">
        <v>516</v>
      </c>
      <c r="I412" s="31" t="s">
        <v>33</v>
      </c>
      <c r="J412" s="151" t="s">
        <v>517</v>
      </c>
      <c r="K412" s="160"/>
      <c r="L412" s="160">
        <v>56.9</v>
      </c>
    </row>
    <row r="413" spans="1:12" ht="15" customHeight="1" x14ac:dyDescent="0.25">
      <c r="B413" s="63" t="s">
        <v>15</v>
      </c>
      <c r="C413" s="74" t="s">
        <v>428</v>
      </c>
      <c r="D413" s="64" t="s">
        <v>518</v>
      </c>
      <c r="E413" s="135" t="str">
        <f t="shared" si="6"/>
        <v>Shower Gel Corporal Essencial Essencial 100g Frasco</v>
      </c>
      <c r="F413" s="2" t="s">
        <v>428</v>
      </c>
      <c r="G413" s="130"/>
      <c r="H413" s="2" t="s">
        <v>519</v>
      </c>
      <c r="I413" s="31" t="s">
        <v>33</v>
      </c>
      <c r="J413" s="153" t="s">
        <v>520</v>
      </c>
      <c r="K413" s="160"/>
      <c r="L413" s="160">
        <v>42.9</v>
      </c>
    </row>
    <row r="414" spans="1:12" ht="15" customHeight="1" x14ac:dyDescent="0.25">
      <c r="B414" s="63" t="s">
        <v>15</v>
      </c>
      <c r="C414" s="74" t="s">
        <v>428</v>
      </c>
      <c r="D414" s="64" t="s">
        <v>167</v>
      </c>
      <c r="E414" s="135" t="str">
        <f t="shared" si="6"/>
        <v>Sabonete Liquido em Gel Essencial Essencial Exclusivo Floral 100g Frasco</v>
      </c>
      <c r="F414" s="2" t="s">
        <v>521</v>
      </c>
      <c r="G414" s="130"/>
      <c r="H414" s="2" t="s">
        <v>519</v>
      </c>
      <c r="I414" s="31" t="s">
        <v>33</v>
      </c>
      <c r="J414" s="11" t="s">
        <v>522</v>
      </c>
      <c r="K414" s="160"/>
      <c r="L414" s="160">
        <v>39.9</v>
      </c>
    </row>
    <row r="415" spans="1:12" ht="15" customHeight="1" x14ac:dyDescent="0.25">
      <c r="B415" s="63" t="s">
        <v>15</v>
      </c>
      <c r="C415" s="74" t="s">
        <v>428</v>
      </c>
      <c r="D415" s="64" t="s">
        <v>167</v>
      </c>
      <c r="E415" s="135" t="str">
        <f t="shared" si="6"/>
        <v>Sabonete Liquido em Gel Essencial Essencial Oud 100g Frasco</v>
      </c>
      <c r="F415" s="2" t="s">
        <v>502</v>
      </c>
      <c r="G415" s="130"/>
      <c r="H415" s="2" t="s">
        <v>519</v>
      </c>
      <c r="I415" s="31" t="s">
        <v>33</v>
      </c>
      <c r="J415" s="11" t="s">
        <v>522</v>
      </c>
      <c r="K415" s="160"/>
      <c r="L415" s="160">
        <v>39.9</v>
      </c>
    </row>
    <row r="416" spans="1:12" ht="15" customHeight="1" x14ac:dyDescent="0.25">
      <c r="B416" s="63" t="s">
        <v>15</v>
      </c>
      <c r="C416" s="74" t="s">
        <v>428</v>
      </c>
      <c r="D416" s="64" t="s">
        <v>523</v>
      </c>
      <c r="E416" s="135" t="str">
        <f t="shared" si="6"/>
        <v>Sabonete em barra Essencial Masculino 2x100g Caixa</v>
      </c>
      <c r="F416" s="2" t="s">
        <v>524</v>
      </c>
      <c r="G416" s="130">
        <v>2</v>
      </c>
      <c r="H416" s="2" t="s">
        <v>519</v>
      </c>
      <c r="I416" s="31" t="s">
        <v>525</v>
      </c>
      <c r="J416" s="2" t="s">
        <v>526</v>
      </c>
      <c r="K416" s="160"/>
      <c r="L416" s="160">
        <v>42.9</v>
      </c>
    </row>
    <row r="417" spans="1:12" s="10" customFormat="1" ht="15" customHeight="1" x14ac:dyDescent="0.25">
      <c r="B417" s="63" t="s">
        <v>15</v>
      </c>
      <c r="C417" s="74" t="s">
        <v>428</v>
      </c>
      <c r="D417" s="64" t="s">
        <v>523</v>
      </c>
      <c r="E417" s="135" t="str">
        <f t="shared" si="6"/>
        <v>Sabonete em barra Essencial Atô 1x100g Caixa</v>
      </c>
      <c r="F417" s="9" t="s">
        <v>527</v>
      </c>
      <c r="G417" s="130">
        <v>1</v>
      </c>
      <c r="H417" s="2" t="s">
        <v>519</v>
      </c>
      <c r="I417" s="31" t="s">
        <v>525</v>
      </c>
      <c r="J417" s="2" t="s">
        <v>526</v>
      </c>
      <c r="K417" s="171"/>
      <c r="L417" s="171">
        <v>19.899999999999999</v>
      </c>
    </row>
    <row r="418" spans="1:12" ht="15" customHeight="1" x14ac:dyDescent="0.25">
      <c r="B418" s="63" t="s">
        <v>15</v>
      </c>
      <c r="C418" s="74" t="s">
        <v>428</v>
      </c>
      <c r="D418" s="64" t="s">
        <v>523</v>
      </c>
      <c r="E418" s="135" t="str">
        <f t="shared" si="6"/>
        <v>Sabonete em barra Essencial Supreme 1x100g Caixa</v>
      </c>
      <c r="F418" s="2" t="s">
        <v>528</v>
      </c>
      <c r="G418" s="130">
        <v>1</v>
      </c>
      <c r="H418" s="2" t="s">
        <v>519</v>
      </c>
      <c r="I418" s="31" t="s">
        <v>525</v>
      </c>
      <c r="J418" s="2" t="s">
        <v>526</v>
      </c>
      <c r="K418" s="171"/>
      <c r="L418" s="171">
        <v>19.899999999999999</v>
      </c>
    </row>
    <row r="419" spans="1:12" s="10" customFormat="1" ht="15" customHeight="1" x14ac:dyDescent="0.25">
      <c r="B419" s="63" t="s">
        <v>15</v>
      </c>
      <c r="C419" s="75" t="s">
        <v>529</v>
      </c>
      <c r="D419" s="66" t="s">
        <v>344</v>
      </c>
      <c r="E419" s="135" t="str">
        <f t="shared" si="6"/>
        <v>Colonia Luna Feminino 25ml Miniatura</v>
      </c>
      <c r="F419" s="103" t="s">
        <v>467</v>
      </c>
      <c r="G419" s="130"/>
      <c r="H419" s="9" t="s">
        <v>530</v>
      </c>
      <c r="I419" s="36" t="s">
        <v>531</v>
      </c>
      <c r="J419" s="123" t="s">
        <v>532</v>
      </c>
      <c r="K419" s="20"/>
      <c r="L419" s="20" t="s">
        <v>533</v>
      </c>
    </row>
    <row r="420" spans="1:12" s="10" customFormat="1" ht="15" customHeight="1" x14ac:dyDescent="0.25">
      <c r="B420" s="63" t="s">
        <v>15</v>
      </c>
      <c r="C420" s="75" t="s">
        <v>529</v>
      </c>
      <c r="D420" s="66" t="s">
        <v>344</v>
      </c>
      <c r="E420" s="135" t="str">
        <f t="shared" si="6"/>
        <v>Colonia Luna Girl Infantil 25ml Miniatura</v>
      </c>
      <c r="F420" s="101" t="s">
        <v>534</v>
      </c>
      <c r="G420" s="130"/>
      <c r="H420" s="9" t="s">
        <v>530</v>
      </c>
      <c r="I420" s="36" t="s">
        <v>531</v>
      </c>
      <c r="J420" s="126" t="s">
        <v>535</v>
      </c>
      <c r="K420" s="20"/>
      <c r="L420" s="20" t="s">
        <v>533</v>
      </c>
    </row>
    <row r="421" spans="1:12" ht="15" customHeight="1" x14ac:dyDescent="0.25">
      <c r="A421" t="s">
        <v>536</v>
      </c>
      <c r="B421" s="63" t="s">
        <v>15</v>
      </c>
      <c r="C421" s="75" t="s">
        <v>529</v>
      </c>
      <c r="D421" s="66" t="s">
        <v>344</v>
      </c>
      <c r="E421" s="135" t="str">
        <f t="shared" si="6"/>
        <v>Colonia Luna Absoluta Feminino 75ml Frasco</v>
      </c>
      <c r="F421" s="102" t="s">
        <v>537</v>
      </c>
      <c r="G421" s="130"/>
      <c r="H421" s="2" t="s">
        <v>512</v>
      </c>
      <c r="I421" s="31" t="s">
        <v>33</v>
      </c>
      <c r="J421" s="148" t="s">
        <v>538</v>
      </c>
      <c r="K421" s="160"/>
      <c r="L421" s="160">
        <v>189.9</v>
      </c>
    </row>
    <row r="422" spans="1:12" ht="15" customHeight="1" x14ac:dyDescent="0.25">
      <c r="B422" s="63" t="s">
        <v>15</v>
      </c>
      <c r="C422" s="75" t="s">
        <v>529</v>
      </c>
      <c r="D422" s="66" t="s">
        <v>344</v>
      </c>
      <c r="E422" s="135" t="str">
        <f t="shared" si="6"/>
        <v>Colonia Luna Confiante Feminino 75ml Frasco</v>
      </c>
      <c r="F422" s="94" t="s">
        <v>539</v>
      </c>
      <c r="G422" s="130"/>
      <c r="H422" s="2" t="s">
        <v>512</v>
      </c>
      <c r="I422" s="31" t="s">
        <v>33</v>
      </c>
      <c r="J422" s="11" t="s">
        <v>540</v>
      </c>
      <c r="K422" s="160"/>
      <c r="L422" s="160">
        <v>189.9</v>
      </c>
    </row>
    <row r="423" spans="1:12" ht="15" customHeight="1" x14ac:dyDescent="0.25">
      <c r="B423" s="63" t="s">
        <v>15</v>
      </c>
      <c r="C423" s="75" t="s">
        <v>529</v>
      </c>
      <c r="D423" s="66" t="s">
        <v>344</v>
      </c>
      <c r="E423" s="135" t="str">
        <f t="shared" si="6"/>
        <v>Colonia Luna Coragem Feminino 75ml Frasco</v>
      </c>
      <c r="F423" s="94" t="s">
        <v>541</v>
      </c>
      <c r="G423" s="130"/>
      <c r="H423" s="2" t="s">
        <v>512</v>
      </c>
      <c r="I423" s="31" t="s">
        <v>33</v>
      </c>
      <c r="J423" s="11" t="s">
        <v>542</v>
      </c>
      <c r="K423" s="160"/>
      <c r="L423" s="160">
        <v>189.9</v>
      </c>
    </row>
    <row r="424" spans="1:12" ht="15" customHeight="1" x14ac:dyDescent="0.25">
      <c r="B424" s="63" t="s">
        <v>15</v>
      </c>
      <c r="C424" s="75" t="s">
        <v>529</v>
      </c>
      <c r="D424" s="66" t="s">
        <v>344</v>
      </c>
      <c r="E424" s="135" t="str">
        <f t="shared" si="6"/>
        <v>Colonia Luna Divina Feminino 75ml Frasco</v>
      </c>
      <c r="F424" s="122" t="s">
        <v>543</v>
      </c>
      <c r="G424" s="130"/>
      <c r="H424" s="2" t="s">
        <v>512</v>
      </c>
      <c r="I424" s="31" t="s">
        <v>33</v>
      </c>
      <c r="J424" s="11" t="s">
        <v>544</v>
      </c>
      <c r="K424" s="160"/>
      <c r="L424" s="160">
        <v>189.9</v>
      </c>
    </row>
    <row r="425" spans="1:12" ht="15" customHeight="1" x14ac:dyDescent="0.25">
      <c r="B425" s="63" t="s">
        <v>15</v>
      </c>
      <c r="C425" s="75" t="s">
        <v>529</v>
      </c>
      <c r="D425" s="66" t="s">
        <v>344</v>
      </c>
      <c r="E425" s="135" t="str">
        <f t="shared" si="6"/>
        <v>Colonia Luna Fascinante Feminino 75ml Frasco</v>
      </c>
      <c r="F425" s="94" t="s">
        <v>545</v>
      </c>
      <c r="G425" s="130"/>
      <c r="H425" s="2" t="s">
        <v>512</v>
      </c>
      <c r="I425" s="31" t="s">
        <v>33</v>
      </c>
      <c r="J425" s="11" t="s">
        <v>546</v>
      </c>
      <c r="K425" s="160"/>
      <c r="L425" s="160">
        <v>189.9</v>
      </c>
    </row>
    <row r="426" spans="1:12" ht="15" customHeight="1" x14ac:dyDescent="0.25">
      <c r="B426" s="63" t="s">
        <v>15</v>
      </c>
      <c r="C426" s="75" t="s">
        <v>529</v>
      </c>
      <c r="D426" s="66" t="s">
        <v>344</v>
      </c>
      <c r="E426" s="135" t="str">
        <f t="shared" si="6"/>
        <v>Colonia Luna Força Feminino 75ml Frasco</v>
      </c>
      <c r="F426" s="122" t="s">
        <v>547</v>
      </c>
      <c r="G426" s="130"/>
      <c r="H426" s="2" t="s">
        <v>512</v>
      </c>
      <c r="I426" s="31" t="s">
        <v>33</v>
      </c>
      <c r="J426" s="123" t="s">
        <v>548</v>
      </c>
      <c r="K426" s="160"/>
      <c r="L426" s="160">
        <v>189.9</v>
      </c>
    </row>
    <row r="427" spans="1:12" ht="15" customHeight="1" x14ac:dyDescent="0.25">
      <c r="B427" s="63" t="s">
        <v>15</v>
      </c>
      <c r="C427" s="75" t="s">
        <v>529</v>
      </c>
      <c r="D427" s="66" t="s">
        <v>344</v>
      </c>
      <c r="E427" s="135" t="str">
        <f t="shared" si="6"/>
        <v>Colonia Luna Feminino 75ml Frasco</v>
      </c>
      <c r="F427" s="122" t="s">
        <v>467</v>
      </c>
      <c r="G427" s="130"/>
      <c r="H427" s="2" t="s">
        <v>512</v>
      </c>
      <c r="I427" s="31" t="s">
        <v>33</v>
      </c>
      <c r="J427" s="123" t="s">
        <v>532</v>
      </c>
      <c r="K427" s="160"/>
      <c r="L427" s="160">
        <v>189.9</v>
      </c>
    </row>
    <row r="428" spans="1:12" ht="15" customHeight="1" x14ac:dyDescent="0.25">
      <c r="B428" s="63" t="s">
        <v>15</v>
      </c>
      <c r="C428" s="75" t="s">
        <v>529</v>
      </c>
      <c r="D428" s="66" t="s">
        <v>344</v>
      </c>
      <c r="E428" s="135" t="str">
        <f t="shared" si="6"/>
        <v>Colonia Luna Liberdade Feminino 75ml Frasco</v>
      </c>
      <c r="F428" s="94" t="s">
        <v>549</v>
      </c>
      <c r="G428" s="130"/>
      <c r="H428" s="2" t="s">
        <v>512</v>
      </c>
      <c r="I428" s="31" t="s">
        <v>33</v>
      </c>
      <c r="J428" s="136" t="s">
        <v>550</v>
      </c>
      <c r="K428" s="160"/>
      <c r="L428" s="160">
        <v>189.9</v>
      </c>
    </row>
    <row r="429" spans="1:12" ht="15" customHeight="1" x14ac:dyDescent="0.25">
      <c r="B429" s="63" t="s">
        <v>15</v>
      </c>
      <c r="C429" s="75" t="s">
        <v>529</v>
      </c>
      <c r="D429" s="66" t="s">
        <v>344</v>
      </c>
      <c r="E429" s="135" t="str">
        <f t="shared" si="6"/>
        <v>Colonia Luna Marcante Feminino 75ml Frasco</v>
      </c>
      <c r="F429" s="94" t="s">
        <v>551</v>
      </c>
      <c r="G429" s="130"/>
      <c r="H429" s="2" t="s">
        <v>512</v>
      </c>
      <c r="I429" s="31" t="s">
        <v>33</v>
      </c>
      <c r="J429" s="11" t="s">
        <v>552</v>
      </c>
      <c r="K429" s="160"/>
      <c r="L429" s="160">
        <v>189.9</v>
      </c>
    </row>
    <row r="430" spans="1:12" ht="15" customHeight="1" x14ac:dyDescent="0.25">
      <c r="B430" s="63" t="s">
        <v>15</v>
      </c>
      <c r="C430" s="75" t="s">
        <v>529</v>
      </c>
      <c r="D430" s="66" t="s">
        <v>344</v>
      </c>
      <c r="E430" s="135" t="str">
        <f t="shared" si="6"/>
        <v>Colonia Luna Ousadia Feminino 75ml Frasco</v>
      </c>
      <c r="F430" s="94" t="s">
        <v>553</v>
      </c>
      <c r="G430" s="130"/>
      <c r="H430" s="2" t="s">
        <v>512</v>
      </c>
      <c r="I430" s="31" t="s">
        <v>33</v>
      </c>
      <c r="J430" s="136" t="s">
        <v>554</v>
      </c>
      <c r="K430" s="160"/>
      <c r="L430" s="160">
        <v>189.9</v>
      </c>
    </row>
    <row r="431" spans="1:12" ht="15" customHeight="1" x14ac:dyDescent="0.25">
      <c r="B431" s="63" t="s">
        <v>15</v>
      </c>
      <c r="C431" s="75" t="s">
        <v>529</v>
      </c>
      <c r="D431" s="66" t="s">
        <v>344</v>
      </c>
      <c r="E431" s="135" t="str">
        <f t="shared" si="6"/>
        <v>Colonia Luna Radiante Feminino 75ml Frasco</v>
      </c>
      <c r="F431" s="94" t="s">
        <v>555</v>
      </c>
      <c r="G431" s="130"/>
      <c r="H431" s="2" t="s">
        <v>512</v>
      </c>
      <c r="I431" s="31" t="s">
        <v>33</v>
      </c>
      <c r="J431" s="11" t="s">
        <v>556</v>
      </c>
      <c r="K431" s="160"/>
      <c r="L431" s="160">
        <v>189.9</v>
      </c>
    </row>
    <row r="432" spans="1:12" ht="15" customHeight="1" x14ac:dyDescent="0.25">
      <c r="B432" s="63" t="s">
        <v>15</v>
      </c>
      <c r="C432" s="75" t="s">
        <v>529</v>
      </c>
      <c r="D432" s="66" t="s">
        <v>344</v>
      </c>
      <c r="E432" s="135" t="str">
        <f t="shared" si="6"/>
        <v>Colonia Luna Rosé Feminino 75ml Frasco</v>
      </c>
      <c r="F432" s="94" t="s">
        <v>557</v>
      </c>
      <c r="G432" s="130"/>
      <c r="H432" s="2" t="s">
        <v>512</v>
      </c>
      <c r="I432" s="31" t="s">
        <v>33</v>
      </c>
      <c r="J432" s="11" t="s">
        <v>558</v>
      </c>
      <c r="K432" s="160"/>
      <c r="L432" s="160">
        <v>189.9</v>
      </c>
    </row>
    <row r="433" spans="1:12" ht="15" customHeight="1" x14ac:dyDescent="0.25">
      <c r="B433" s="63" t="s">
        <v>15</v>
      </c>
      <c r="C433" s="75" t="s">
        <v>529</v>
      </c>
      <c r="D433" s="64" t="s">
        <v>429</v>
      </c>
      <c r="E433" s="135" t="str">
        <f t="shared" si="6"/>
        <v>Deo Parfum Luna Ilumina 50ml Frasco</v>
      </c>
      <c r="F433" s="2" t="s">
        <v>559</v>
      </c>
      <c r="G433" s="130"/>
      <c r="H433" s="2" t="s">
        <v>355</v>
      </c>
      <c r="I433" s="31" t="s">
        <v>33</v>
      </c>
      <c r="J433" s="11" t="s">
        <v>560</v>
      </c>
      <c r="K433" s="160"/>
      <c r="L433" s="160">
        <v>218.9</v>
      </c>
    </row>
    <row r="434" spans="1:12" ht="15" customHeight="1" x14ac:dyDescent="0.25">
      <c r="B434" s="63" t="s">
        <v>15</v>
      </c>
      <c r="C434" s="75" t="s">
        <v>529</v>
      </c>
      <c r="D434" s="64" t="s">
        <v>429</v>
      </c>
      <c r="E434" s="135" t="str">
        <f t="shared" si="6"/>
        <v>Deo Parfum Luna Intenso 50ml Frasco</v>
      </c>
      <c r="F434" s="2" t="s">
        <v>561</v>
      </c>
      <c r="G434" s="130"/>
      <c r="H434" s="2" t="s">
        <v>355</v>
      </c>
      <c r="I434" s="31" t="s">
        <v>33</v>
      </c>
      <c r="J434" s="11" t="s">
        <v>562</v>
      </c>
      <c r="K434" s="160"/>
      <c r="L434" s="160">
        <v>218.9</v>
      </c>
    </row>
    <row r="435" spans="1:12" s="10" customFormat="1" ht="15" customHeight="1" x14ac:dyDescent="0.25">
      <c r="B435" s="63" t="s">
        <v>15</v>
      </c>
      <c r="C435" s="75" t="s">
        <v>529</v>
      </c>
      <c r="D435" s="64" t="s">
        <v>499</v>
      </c>
      <c r="E435" s="135" t="str">
        <f t="shared" si="6"/>
        <v>Hidratante Desodorante Perfumado Luna Intenso 200g Pote</v>
      </c>
      <c r="F435" s="9" t="s">
        <v>561</v>
      </c>
      <c r="G435" s="130"/>
      <c r="H435" s="9" t="s">
        <v>67</v>
      </c>
      <c r="I435" s="36" t="s">
        <v>62</v>
      </c>
      <c r="J435" s="11" t="s">
        <v>504</v>
      </c>
      <c r="K435" s="171"/>
      <c r="L435" s="171">
        <v>120.9</v>
      </c>
    </row>
    <row r="436" spans="1:12" s="10" customFormat="1" ht="15" customHeight="1" x14ac:dyDescent="0.25">
      <c r="B436" s="63" t="s">
        <v>15</v>
      </c>
      <c r="C436" s="75" t="s">
        <v>529</v>
      </c>
      <c r="D436" s="64" t="s">
        <v>499</v>
      </c>
      <c r="E436" s="135" t="str">
        <f t="shared" si="6"/>
        <v>Hidratante Desodorante Perfumado Luna Intenso 200g Refil</v>
      </c>
      <c r="F436" s="9" t="s">
        <v>561</v>
      </c>
      <c r="G436" s="130"/>
      <c r="H436" s="9" t="s">
        <v>67</v>
      </c>
      <c r="I436" s="36" t="s">
        <v>201</v>
      </c>
      <c r="J436" s="11" t="s">
        <v>504</v>
      </c>
      <c r="K436" s="171"/>
      <c r="L436" s="171">
        <v>89.9</v>
      </c>
    </row>
    <row r="437" spans="1:12" s="10" customFormat="1" ht="15" customHeight="1" x14ac:dyDescent="0.25">
      <c r="B437" s="63" t="s">
        <v>15</v>
      </c>
      <c r="C437" s="75" t="s">
        <v>529</v>
      </c>
      <c r="D437" s="64" t="s">
        <v>499</v>
      </c>
      <c r="E437" s="135" t="str">
        <f t="shared" si="6"/>
        <v>Hidratante Desodorante Perfumado Luna Absoluta 300ml Frasco</v>
      </c>
      <c r="F437" s="2" t="s">
        <v>563</v>
      </c>
      <c r="G437" s="130"/>
      <c r="H437" s="9" t="s">
        <v>168</v>
      </c>
      <c r="I437" s="36" t="s">
        <v>33</v>
      </c>
      <c r="J437" s="11" t="s">
        <v>500</v>
      </c>
      <c r="K437" s="171"/>
      <c r="L437" s="171">
        <v>87.9</v>
      </c>
    </row>
    <row r="438" spans="1:12" s="10" customFormat="1" ht="15" customHeight="1" x14ac:dyDescent="0.25">
      <c r="B438" s="63" t="s">
        <v>15</v>
      </c>
      <c r="C438" s="75" t="s">
        <v>529</v>
      </c>
      <c r="D438" s="64" t="s">
        <v>499</v>
      </c>
      <c r="E438" s="135" t="str">
        <f t="shared" si="6"/>
        <v>Hidratante Desodorante Perfumado Luna Confiante 300ml Frasco</v>
      </c>
      <c r="F438" s="2" t="s">
        <v>564</v>
      </c>
      <c r="G438" s="130"/>
      <c r="H438" s="9" t="s">
        <v>168</v>
      </c>
      <c r="I438" s="36" t="s">
        <v>33</v>
      </c>
      <c r="J438" s="11" t="s">
        <v>500</v>
      </c>
      <c r="K438" s="171"/>
      <c r="L438" s="171">
        <v>87.9</v>
      </c>
    </row>
    <row r="439" spans="1:12" s="10" customFormat="1" ht="15" customHeight="1" x14ac:dyDescent="0.25">
      <c r="B439" s="63" t="s">
        <v>15</v>
      </c>
      <c r="C439" s="75" t="s">
        <v>529</v>
      </c>
      <c r="D439" s="64" t="s">
        <v>499</v>
      </c>
      <c r="E439" s="135" t="str">
        <f t="shared" si="6"/>
        <v>Hidratante Desodorante Perfumado Luna Coragem 300ml Frasco</v>
      </c>
      <c r="F439" s="2" t="s">
        <v>565</v>
      </c>
      <c r="G439" s="130"/>
      <c r="H439" s="9" t="s">
        <v>168</v>
      </c>
      <c r="I439" s="36" t="s">
        <v>33</v>
      </c>
      <c r="J439" s="11" t="s">
        <v>500</v>
      </c>
      <c r="K439" s="171"/>
      <c r="L439" s="171">
        <v>87.9</v>
      </c>
    </row>
    <row r="440" spans="1:12" s="10" customFormat="1" ht="15" customHeight="1" x14ac:dyDescent="0.25">
      <c r="B440" s="63" t="s">
        <v>15</v>
      </c>
      <c r="C440" s="75" t="s">
        <v>529</v>
      </c>
      <c r="D440" s="64" t="s">
        <v>499</v>
      </c>
      <c r="E440" s="135" t="str">
        <f t="shared" si="6"/>
        <v>Hidratante Desodorante Perfumado Luna Feminino 300ml Frasco</v>
      </c>
      <c r="F440" s="123" t="s">
        <v>467</v>
      </c>
      <c r="G440" s="130"/>
      <c r="H440" s="9" t="s">
        <v>168</v>
      </c>
      <c r="I440" s="36" t="s">
        <v>33</v>
      </c>
      <c r="J440" s="11" t="s">
        <v>500</v>
      </c>
      <c r="K440" s="171"/>
      <c r="L440" s="171">
        <v>87.9</v>
      </c>
    </row>
    <row r="441" spans="1:12" s="10" customFormat="1" ht="15" customHeight="1" x14ac:dyDescent="0.25">
      <c r="B441" s="63" t="s">
        <v>15</v>
      </c>
      <c r="C441" s="75" t="s">
        <v>529</v>
      </c>
      <c r="D441" s="64" t="s">
        <v>499</v>
      </c>
      <c r="E441" s="135" t="str">
        <f t="shared" si="6"/>
        <v>Hidratante Desodorante Perfumado Luna Liberdade 300ml Frasco</v>
      </c>
      <c r="F441" s="2" t="s">
        <v>566</v>
      </c>
      <c r="G441" s="130"/>
      <c r="H441" s="9" t="s">
        <v>168</v>
      </c>
      <c r="I441" s="36" t="s">
        <v>33</v>
      </c>
      <c r="J441" s="11" t="s">
        <v>500</v>
      </c>
      <c r="K441" s="171"/>
      <c r="L441" s="171">
        <v>87.9</v>
      </c>
    </row>
    <row r="442" spans="1:12" s="10" customFormat="1" ht="15" customHeight="1" x14ac:dyDescent="0.25">
      <c r="B442" s="63" t="s">
        <v>15</v>
      </c>
      <c r="C442" s="75" t="s">
        <v>529</v>
      </c>
      <c r="D442" s="64" t="s">
        <v>499</v>
      </c>
      <c r="E442" s="135" t="str">
        <f t="shared" si="6"/>
        <v>Hidratante Desodorante Perfumado Luna Ousadia 300ml Frasco</v>
      </c>
      <c r="F442" s="2" t="s">
        <v>567</v>
      </c>
      <c r="G442" s="130"/>
      <c r="H442" s="9" t="s">
        <v>168</v>
      </c>
      <c r="I442" s="36" t="s">
        <v>33</v>
      </c>
      <c r="J442" s="11" t="s">
        <v>500</v>
      </c>
      <c r="K442" s="171"/>
      <c r="L442" s="171">
        <v>87.9</v>
      </c>
    </row>
    <row r="443" spans="1:12" s="10" customFormat="1" ht="15" customHeight="1" x14ac:dyDescent="0.25">
      <c r="B443" s="63" t="s">
        <v>15</v>
      </c>
      <c r="C443" s="75" t="s">
        <v>529</v>
      </c>
      <c r="D443" s="64" t="s">
        <v>499</v>
      </c>
      <c r="E443" s="135" t="str">
        <f t="shared" si="6"/>
        <v>Hidratante Desodorante Perfumado Luna Radiante 300ml Frasco</v>
      </c>
      <c r="F443" s="2" t="s">
        <v>568</v>
      </c>
      <c r="G443" s="130"/>
      <c r="H443" s="9" t="s">
        <v>168</v>
      </c>
      <c r="I443" s="36" t="s">
        <v>33</v>
      </c>
      <c r="J443" s="11" t="s">
        <v>500</v>
      </c>
      <c r="K443" s="171"/>
      <c r="L443" s="171">
        <v>87.9</v>
      </c>
    </row>
    <row r="444" spans="1:12" s="10" customFormat="1" ht="15" customHeight="1" x14ac:dyDescent="0.25">
      <c r="B444" s="63" t="s">
        <v>15</v>
      </c>
      <c r="C444" s="75" t="s">
        <v>529</v>
      </c>
      <c r="D444" s="64" t="s">
        <v>499</v>
      </c>
      <c r="E444" s="135" t="str">
        <f t="shared" si="6"/>
        <v>Hidratante Desodorante Perfumado Luna Ousadia 300ml Frasco</v>
      </c>
      <c r="F444" s="2" t="s">
        <v>567</v>
      </c>
      <c r="G444" s="130"/>
      <c r="H444" s="9" t="s">
        <v>168</v>
      </c>
      <c r="I444" s="36" t="s">
        <v>33</v>
      </c>
      <c r="J444" s="11" t="s">
        <v>500</v>
      </c>
      <c r="K444" s="171"/>
      <c r="L444" s="171">
        <v>87.9</v>
      </c>
    </row>
    <row r="445" spans="1:12" ht="15" customHeight="1" x14ac:dyDescent="0.25">
      <c r="B445" s="63" t="s">
        <v>15</v>
      </c>
      <c r="C445" s="75" t="s">
        <v>529</v>
      </c>
      <c r="D445" s="64" t="s">
        <v>499</v>
      </c>
      <c r="E445" s="135" t="str">
        <f t="shared" si="6"/>
        <v>Hidratante Desodorante Perfumado Luna Absoluta 300ml Refil</v>
      </c>
      <c r="F445" s="2" t="s">
        <v>563</v>
      </c>
      <c r="G445" s="130"/>
      <c r="H445" s="9" t="s">
        <v>168</v>
      </c>
      <c r="I445" s="31" t="s">
        <v>201</v>
      </c>
      <c r="J445" s="11" t="s">
        <v>500</v>
      </c>
      <c r="K445" s="160"/>
      <c r="L445" s="160">
        <v>59.9</v>
      </c>
    </row>
    <row r="446" spans="1:12" ht="15" customHeight="1" x14ac:dyDescent="0.25">
      <c r="A446" t="s">
        <v>569</v>
      </c>
      <c r="B446" s="63" t="s">
        <v>15</v>
      </c>
      <c r="C446" s="75" t="s">
        <v>529</v>
      </c>
      <c r="D446" s="64" t="s">
        <v>499</v>
      </c>
      <c r="E446" s="135" t="str">
        <f t="shared" si="6"/>
        <v>Hidratante Desodorante Perfumado Luna Confiante 300ml Refil</v>
      </c>
      <c r="F446" s="2" t="s">
        <v>564</v>
      </c>
      <c r="G446" s="130"/>
      <c r="H446" s="9" t="s">
        <v>168</v>
      </c>
      <c r="I446" s="31" t="s">
        <v>201</v>
      </c>
      <c r="J446" s="11" t="s">
        <v>500</v>
      </c>
      <c r="K446" s="160"/>
      <c r="L446" s="160">
        <v>59.9</v>
      </c>
    </row>
    <row r="447" spans="1:12" ht="15" customHeight="1" x14ac:dyDescent="0.25">
      <c r="B447" s="63" t="s">
        <v>15</v>
      </c>
      <c r="C447" s="75" t="s">
        <v>529</v>
      </c>
      <c r="D447" s="64" t="s">
        <v>499</v>
      </c>
      <c r="E447" s="135" t="str">
        <f t="shared" si="6"/>
        <v>Hidratante Desodorante Perfumado Luna Coragem 300ml Refil</v>
      </c>
      <c r="F447" s="2" t="s">
        <v>565</v>
      </c>
      <c r="G447" s="130"/>
      <c r="H447" s="9" t="s">
        <v>168</v>
      </c>
      <c r="I447" s="31" t="s">
        <v>201</v>
      </c>
      <c r="J447" s="11" t="s">
        <v>500</v>
      </c>
      <c r="K447" s="160"/>
      <c r="L447" s="160">
        <v>59.9</v>
      </c>
    </row>
    <row r="448" spans="1:12" ht="15" customHeight="1" x14ac:dyDescent="0.25">
      <c r="B448" s="63" t="s">
        <v>15</v>
      </c>
      <c r="C448" s="75" t="s">
        <v>529</v>
      </c>
      <c r="D448" s="64" t="s">
        <v>499</v>
      </c>
      <c r="E448" s="135" t="str">
        <f t="shared" si="6"/>
        <v>Hidratante Desodorante Perfumado Luna Feminino 300ml Refil</v>
      </c>
      <c r="F448" s="123" t="s">
        <v>467</v>
      </c>
      <c r="G448" s="130"/>
      <c r="H448" s="9" t="s">
        <v>168</v>
      </c>
      <c r="I448" s="31" t="s">
        <v>201</v>
      </c>
      <c r="J448" s="11" t="s">
        <v>500</v>
      </c>
      <c r="K448" s="160"/>
      <c r="L448" s="160">
        <v>59.9</v>
      </c>
    </row>
    <row r="449" spans="2:12" ht="15" customHeight="1" x14ac:dyDescent="0.25">
      <c r="B449" s="63" t="s">
        <v>15</v>
      </c>
      <c r="C449" s="75" t="s">
        <v>529</v>
      </c>
      <c r="D449" s="64" t="s">
        <v>499</v>
      </c>
      <c r="E449" s="135" t="str">
        <f t="shared" si="6"/>
        <v>Hidratante Desodorante Perfumado Luna Liberdade 300ml Refil</v>
      </c>
      <c r="F449" s="2" t="s">
        <v>566</v>
      </c>
      <c r="G449" s="130"/>
      <c r="H449" s="9" t="s">
        <v>168</v>
      </c>
      <c r="I449" s="31" t="s">
        <v>201</v>
      </c>
      <c r="J449" s="11" t="s">
        <v>500</v>
      </c>
      <c r="K449" s="160"/>
      <c r="L449" s="160">
        <v>59.9</v>
      </c>
    </row>
    <row r="450" spans="2:12" ht="15" customHeight="1" x14ac:dyDescent="0.25">
      <c r="B450" s="63" t="s">
        <v>15</v>
      </c>
      <c r="C450" s="75" t="s">
        <v>529</v>
      </c>
      <c r="D450" s="64" t="s">
        <v>499</v>
      </c>
      <c r="E450" s="135" t="str">
        <f t="shared" ref="E450:E513" si="7">TRIM(CONCATENATE(D450, " ", C450, " ", F450, " ", IF(G450&gt;0, G450 &amp; "x" &amp; H450, H450), " ", I450))</f>
        <v>Hidratante Desodorante Perfumado Luna Ousadia 300ml Refil</v>
      </c>
      <c r="F450" s="2" t="s">
        <v>567</v>
      </c>
      <c r="G450" s="130"/>
      <c r="H450" s="9" t="s">
        <v>168</v>
      </c>
      <c r="I450" s="31" t="s">
        <v>201</v>
      </c>
      <c r="J450" s="11" t="s">
        <v>500</v>
      </c>
      <c r="K450" s="160"/>
      <c r="L450" s="160">
        <v>59.9</v>
      </c>
    </row>
    <row r="451" spans="2:12" ht="15" customHeight="1" x14ac:dyDescent="0.25">
      <c r="B451" s="63" t="s">
        <v>15</v>
      </c>
      <c r="C451" s="75" t="s">
        <v>529</v>
      </c>
      <c r="D451" s="64" t="s">
        <v>499</v>
      </c>
      <c r="E451" s="135" t="str">
        <f t="shared" si="7"/>
        <v>Hidratante Desodorante Perfumado Luna Radiante 300ml Refil</v>
      </c>
      <c r="F451" s="2" t="s">
        <v>568</v>
      </c>
      <c r="G451" s="130"/>
      <c r="H451" s="9" t="s">
        <v>168</v>
      </c>
      <c r="I451" s="31" t="s">
        <v>201</v>
      </c>
      <c r="J451" s="11" t="s">
        <v>500</v>
      </c>
      <c r="K451" s="160"/>
      <c r="L451" s="160">
        <v>59.9</v>
      </c>
    </row>
    <row r="452" spans="2:12" ht="15" customHeight="1" x14ac:dyDescent="0.25">
      <c r="B452" s="63" t="s">
        <v>15</v>
      </c>
      <c r="C452" s="75" t="s">
        <v>529</v>
      </c>
      <c r="D452" s="64" t="s">
        <v>499</v>
      </c>
      <c r="E452" s="135" t="str">
        <f t="shared" si="7"/>
        <v>Hidratante Desodorante Perfumado Luna Ousadia 300ml Refil</v>
      </c>
      <c r="F452" s="2" t="s">
        <v>567</v>
      </c>
      <c r="G452" s="130"/>
      <c r="H452" s="9" t="s">
        <v>168</v>
      </c>
      <c r="I452" s="31" t="s">
        <v>201</v>
      </c>
      <c r="J452" s="11" t="s">
        <v>500</v>
      </c>
      <c r="K452" s="160"/>
      <c r="L452" s="160">
        <v>59.9</v>
      </c>
    </row>
    <row r="453" spans="2:12" ht="15" customHeight="1" x14ac:dyDescent="0.25">
      <c r="B453" s="63" t="s">
        <v>15</v>
      </c>
      <c r="C453" s="75" t="s">
        <v>529</v>
      </c>
      <c r="D453" s="64" t="s">
        <v>570</v>
      </c>
      <c r="E453" s="135" t="str">
        <f t="shared" si="7"/>
        <v>Oleo Corporal Desodorante Perfumado Luna Confiante 150ml Frasco</v>
      </c>
      <c r="F453" s="2" t="s">
        <v>564</v>
      </c>
      <c r="G453" s="130"/>
      <c r="H453" s="2" t="s">
        <v>334</v>
      </c>
      <c r="I453" s="31" t="s">
        <v>33</v>
      </c>
      <c r="J453" s="11" t="s">
        <v>500</v>
      </c>
      <c r="K453" s="160"/>
      <c r="L453" s="160">
        <v>87.9</v>
      </c>
    </row>
    <row r="454" spans="2:12" ht="15" customHeight="1" x14ac:dyDescent="0.25">
      <c r="B454" s="63" t="s">
        <v>15</v>
      </c>
      <c r="C454" s="75" t="s">
        <v>529</v>
      </c>
      <c r="D454" s="66" t="s">
        <v>404</v>
      </c>
      <c r="E454" s="135" t="str">
        <f t="shared" si="7"/>
        <v>Desodorante Corporal Luna Absoluta 100ml Spray</v>
      </c>
      <c r="F454" s="2" t="s">
        <v>563</v>
      </c>
      <c r="G454" s="130"/>
      <c r="H454" s="2" t="s">
        <v>371</v>
      </c>
      <c r="I454" s="90" t="s">
        <v>571</v>
      </c>
      <c r="J454" s="11" t="s">
        <v>495</v>
      </c>
      <c r="K454" s="160"/>
      <c r="L454" s="160">
        <v>54.9</v>
      </c>
    </row>
    <row r="455" spans="2:12" ht="15" customHeight="1" x14ac:dyDescent="0.25">
      <c r="B455" s="63" t="s">
        <v>15</v>
      </c>
      <c r="C455" s="75" t="s">
        <v>529</v>
      </c>
      <c r="D455" s="66" t="s">
        <v>404</v>
      </c>
      <c r="E455" s="135" t="str">
        <f t="shared" si="7"/>
        <v>Desodorante Corporal Luna Feminino 100ml Spray</v>
      </c>
      <c r="F455" s="123" t="s">
        <v>467</v>
      </c>
      <c r="G455" s="130"/>
      <c r="H455" s="2" t="s">
        <v>371</v>
      </c>
      <c r="I455" s="90" t="s">
        <v>571</v>
      </c>
      <c r="J455" s="11" t="s">
        <v>495</v>
      </c>
      <c r="K455" s="160"/>
      <c r="L455" s="160">
        <v>54.9</v>
      </c>
    </row>
    <row r="456" spans="2:12" ht="15" customHeight="1" x14ac:dyDescent="0.25">
      <c r="B456" s="63" t="s">
        <v>15</v>
      </c>
      <c r="C456" s="75" t="s">
        <v>529</v>
      </c>
      <c r="D456" s="66" t="s">
        <v>404</v>
      </c>
      <c r="E456" s="135" t="str">
        <f t="shared" si="7"/>
        <v>Desodorante Corporal Luna Absoluta 100ml Refil</v>
      </c>
      <c r="F456" s="2" t="s">
        <v>563</v>
      </c>
      <c r="G456" s="130"/>
      <c r="H456" s="2" t="s">
        <v>371</v>
      </c>
      <c r="I456" s="31" t="s">
        <v>201</v>
      </c>
      <c r="J456" s="11" t="s">
        <v>495</v>
      </c>
      <c r="K456" s="160"/>
      <c r="L456" s="160">
        <v>41.9</v>
      </c>
    </row>
    <row r="457" spans="2:12" ht="15" customHeight="1" x14ac:dyDescent="0.25">
      <c r="B457" s="63" t="s">
        <v>15</v>
      </c>
      <c r="C457" s="75" t="s">
        <v>529</v>
      </c>
      <c r="D457" s="66" t="s">
        <v>404</v>
      </c>
      <c r="E457" s="135" t="str">
        <f t="shared" si="7"/>
        <v>Desodorante Corporal Luna Feminino 100ml Refil</v>
      </c>
      <c r="F457" s="123" t="s">
        <v>467</v>
      </c>
      <c r="G457" s="130"/>
      <c r="H457" s="2" t="s">
        <v>371</v>
      </c>
      <c r="I457" s="31" t="s">
        <v>201</v>
      </c>
      <c r="J457" s="11" t="s">
        <v>495</v>
      </c>
      <c r="K457" s="160"/>
      <c r="L457" s="160">
        <v>41.9</v>
      </c>
    </row>
    <row r="458" spans="2:12" ht="15" customHeight="1" x14ac:dyDescent="0.25">
      <c r="B458" s="63" t="s">
        <v>15</v>
      </c>
      <c r="C458" s="75" t="s">
        <v>529</v>
      </c>
      <c r="D458" s="64" t="s">
        <v>572</v>
      </c>
      <c r="E458" s="135" t="str">
        <f t="shared" si="7"/>
        <v>Desodorante Roll-on Luna Feminino 75ml Frasco</v>
      </c>
      <c r="F458" s="123" t="s">
        <v>467</v>
      </c>
      <c r="G458" s="130"/>
      <c r="H458" s="2" t="s">
        <v>573</v>
      </c>
      <c r="I458" s="31" t="s">
        <v>33</v>
      </c>
      <c r="J458" s="11" t="s">
        <v>495</v>
      </c>
      <c r="K458" s="160"/>
      <c r="L458" s="160">
        <v>26.9</v>
      </c>
    </row>
    <row r="459" spans="2:12" ht="15" customHeight="1" x14ac:dyDescent="0.25">
      <c r="B459" s="63" t="s">
        <v>15</v>
      </c>
      <c r="C459" s="75" t="s">
        <v>529</v>
      </c>
      <c r="D459" s="64" t="s">
        <v>574</v>
      </c>
      <c r="E459" s="135" t="str">
        <f t="shared" si="7"/>
        <v>Essencia Para Cabelos Luna Divina 30ml Frasco</v>
      </c>
      <c r="F459" s="123" t="s">
        <v>575</v>
      </c>
      <c r="G459" s="130"/>
      <c r="H459" s="123" t="s">
        <v>340</v>
      </c>
      <c r="I459" s="31" t="s">
        <v>33</v>
      </c>
      <c r="J459" s="123" t="s">
        <v>246</v>
      </c>
      <c r="K459" s="166"/>
      <c r="L459" s="166">
        <v>85.9</v>
      </c>
    </row>
    <row r="460" spans="2:12" ht="15" customHeight="1" x14ac:dyDescent="0.25">
      <c r="B460" s="63" t="s">
        <v>15</v>
      </c>
      <c r="C460" s="75" t="s">
        <v>529</v>
      </c>
      <c r="D460" s="64" t="s">
        <v>574</v>
      </c>
      <c r="E460" s="135" t="str">
        <f t="shared" si="7"/>
        <v>Essencia Para Cabelos Luna Feminino 30ml Frasco</v>
      </c>
      <c r="F460" s="2" t="s">
        <v>467</v>
      </c>
      <c r="G460" s="130"/>
      <c r="H460" s="123" t="s">
        <v>340</v>
      </c>
      <c r="I460" s="31" t="s">
        <v>33</v>
      </c>
      <c r="J460" s="123" t="s">
        <v>246</v>
      </c>
      <c r="K460" s="160"/>
      <c r="L460" s="160">
        <v>77.900000000000006</v>
      </c>
    </row>
    <row r="461" spans="2:12" ht="15" customHeight="1" x14ac:dyDescent="0.25">
      <c r="B461" s="63" t="s">
        <v>15</v>
      </c>
      <c r="C461" s="75" t="s">
        <v>529</v>
      </c>
      <c r="D461" s="64" t="s">
        <v>184</v>
      </c>
      <c r="E461" s="135" t="str">
        <f t="shared" si="7"/>
        <v>Body Splash Luna Fascinante 200ml Frasco</v>
      </c>
      <c r="F461" s="2" t="s">
        <v>576</v>
      </c>
      <c r="G461" s="130"/>
      <c r="H461" s="2" t="s">
        <v>32</v>
      </c>
      <c r="I461" s="31" t="s">
        <v>33</v>
      </c>
      <c r="J461" s="11" t="s">
        <v>577</v>
      </c>
      <c r="K461" s="160"/>
      <c r="L461" s="160">
        <v>83.9</v>
      </c>
    </row>
    <row r="462" spans="2:12" ht="15" customHeight="1" x14ac:dyDescent="0.25">
      <c r="B462" s="63" t="s">
        <v>15</v>
      </c>
      <c r="C462" s="75" t="s">
        <v>529</v>
      </c>
      <c r="D462" s="64" t="s">
        <v>184</v>
      </c>
      <c r="E462" s="135" t="str">
        <f t="shared" si="7"/>
        <v>Body Splash Luna Feminino 200ml Frasco</v>
      </c>
      <c r="F462" s="2" t="s">
        <v>467</v>
      </c>
      <c r="G462" s="130"/>
      <c r="H462" s="2" t="s">
        <v>32</v>
      </c>
      <c r="I462" s="31" t="s">
        <v>33</v>
      </c>
      <c r="J462" s="11" t="s">
        <v>577</v>
      </c>
      <c r="K462" s="160"/>
      <c r="L462" s="160">
        <v>83.9</v>
      </c>
    </row>
    <row r="463" spans="2:12" ht="15" customHeight="1" x14ac:dyDescent="0.25">
      <c r="B463" s="63" t="s">
        <v>15</v>
      </c>
      <c r="C463" s="75" t="s">
        <v>529</v>
      </c>
      <c r="D463" s="64" t="s">
        <v>184</v>
      </c>
      <c r="E463" s="135" t="str">
        <f t="shared" si="7"/>
        <v>Body Splash Luna Radiante 200ml Frasco</v>
      </c>
      <c r="F463" s="123" t="s">
        <v>568</v>
      </c>
      <c r="G463" s="130"/>
      <c r="H463" s="2" t="s">
        <v>32</v>
      </c>
      <c r="I463" s="31" t="s">
        <v>33</v>
      </c>
      <c r="J463" s="11" t="s">
        <v>577</v>
      </c>
      <c r="K463" s="160"/>
      <c r="L463" s="160">
        <v>83.9</v>
      </c>
    </row>
    <row r="464" spans="2:12" ht="15" customHeight="1" x14ac:dyDescent="0.25">
      <c r="B464" s="63" t="s">
        <v>15</v>
      </c>
      <c r="C464" s="75" t="s">
        <v>529</v>
      </c>
      <c r="D464" s="68" t="s">
        <v>578</v>
      </c>
      <c r="E464" s="135" t="str">
        <f t="shared" si="7"/>
        <v>Hidrante Desodorante Perfumado Iluminador Luna Feminio 150ml Frasco</v>
      </c>
      <c r="F464" s="2" t="s">
        <v>579</v>
      </c>
      <c r="G464" s="130"/>
      <c r="H464" s="2" t="s">
        <v>334</v>
      </c>
      <c r="I464" s="31" t="s">
        <v>33</v>
      </c>
      <c r="J464" s="11" t="s">
        <v>580</v>
      </c>
      <c r="K464" s="160"/>
      <c r="L464" s="160">
        <v>40.200000000000003</v>
      </c>
    </row>
    <row r="465" spans="2:12" ht="15" customHeight="1" x14ac:dyDescent="0.25">
      <c r="B465" s="63" t="s">
        <v>15</v>
      </c>
      <c r="C465" s="75" t="s">
        <v>529</v>
      </c>
      <c r="D465" s="68" t="s">
        <v>578</v>
      </c>
      <c r="E465" s="135" t="str">
        <f t="shared" si="7"/>
        <v>Hidrante Desodorante Perfumado Iluminador Luna Girl Infantil 150ml Frasco</v>
      </c>
      <c r="F465" s="120" t="s">
        <v>534</v>
      </c>
      <c r="G465" s="130"/>
      <c r="H465" s="2" t="s">
        <v>334</v>
      </c>
      <c r="I465" s="31" t="s">
        <v>33</v>
      </c>
      <c r="J465" s="11" t="s">
        <v>580</v>
      </c>
      <c r="K465" s="160"/>
      <c r="L465" s="160" t="s">
        <v>581</v>
      </c>
    </row>
    <row r="466" spans="2:12" ht="15" customHeight="1" x14ac:dyDescent="0.25">
      <c r="B466" s="63" t="s">
        <v>15</v>
      </c>
      <c r="C466" s="75" t="s">
        <v>529</v>
      </c>
      <c r="D466" s="68" t="s">
        <v>578</v>
      </c>
      <c r="E466" s="135" t="str">
        <f t="shared" si="7"/>
        <v>Hidrante Desodorante Perfumado Iluminador Luna Radiante 100g Frasco</v>
      </c>
      <c r="F466" s="123" t="s">
        <v>568</v>
      </c>
      <c r="G466" s="130"/>
      <c r="H466" s="123" t="s">
        <v>126</v>
      </c>
      <c r="I466" s="31" t="s">
        <v>33</v>
      </c>
      <c r="J466" s="11" t="s">
        <v>580</v>
      </c>
      <c r="K466" s="173"/>
      <c r="L466" s="173" t="s">
        <v>582</v>
      </c>
    </row>
    <row r="467" spans="2:12" ht="15" customHeight="1" x14ac:dyDescent="0.25">
      <c r="B467" s="63" t="s">
        <v>15</v>
      </c>
      <c r="C467" s="75" t="s">
        <v>529</v>
      </c>
      <c r="D467" s="64" t="s">
        <v>499</v>
      </c>
      <c r="E467" s="135" t="str">
        <f t="shared" si="7"/>
        <v>Hidratante Desodorante Perfumado Luna Feminino 40g Frasco</v>
      </c>
      <c r="F467" s="2" t="s">
        <v>467</v>
      </c>
      <c r="G467" s="130"/>
      <c r="H467" s="2" t="s">
        <v>583</v>
      </c>
      <c r="I467" s="31" t="s">
        <v>33</v>
      </c>
      <c r="J467" s="11" t="s">
        <v>500</v>
      </c>
      <c r="K467" s="160"/>
      <c r="L467" s="160">
        <v>42.9</v>
      </c>
    </row>
    <row r="468" spans="2:12" ht="15" customHeight="1" x14ac:dyDescent="0.25">
      <c r="B468" s="63" t="s">
        <v>15</v>
      </c>
      <c r="C468" s="75" t="s">
        <v>529</v>
      </c>
      <c r="D468" s="64" t="s">
        <v>499</v>
      </c>
      <c r="E468" s="135" t="str">
        <f t="shared" si="7"/>
        <v>Hidratante Desodorante Perfumado Luna Divina 80ml Frasco</v>
      </c>
      <c r="F468" s="123" t="s">
        <v>575</v>
      </c>
      <c r="G468" s="130"/>
      <c r="H468" s="2" t="s">
        <v>584</v>
      </c>
      <c r="I468" s="31" t="s">
        <v>33</v>
      </c>
      <c r="J468" s="11" t="s">
        <v>500</v>
      </c>
      <c r="K468" s="173"/>
      <c r="L468" s="173" t="s">
        <v>582</v>
      </c>
    </row>
    <row r="469" spans="2:12" ht="15" customHeight="1" x14ac:dyDescent="0.25">
      <c r="B469" s="63" t="s">
        <v>15</v>
      </c>
      <c r="C469" s="75" t="s">
        <v>529</v>
      </c>
      <c r="D469" s="64" t="s">
        <v>499</v>
      </c>
      <c r="E469" s="135" t="str">
        <f t="shared" si="7"/>
        <v>Hidratante Desodorante Perfumado Luna Força 80ml Frasco</v>
      </c>
      <c r="F469" s="123" t="s">
        <v>585</v>
      </c>
      <c r="G469" s="130"/>
      <c r="H469" s="2" t="s">
        <v>584</v>
      </c>
      <c r="I469" s="31" t="s">
        <v>33</v>
      </c>
      <c r="J469" s="11" t="s">
        <v>500</v>
      </c>
      <c r="K469" s="11"/>
      <c r="L469" s="11"/>
    </row>
    <row r="470" spans="2:12" ht="15" customHeight="1" x14ac:dyDescent="0.25">
      <c r="B470" s="63" t="s">
        <v>15</v>
      </c>
      <c r="C470" s="75" t="s">
        <v>529</v>
      </c>
      <c r="D470" s="64" t="s">
        <v>499</v>
      </c>
      <c r="E470" s="135" t="str">
        <f t="shared" si="7"/>
        <v>Hidratante Desodorante Perfumado Luna Fascinante 80ml Frasco</v>
      </c>
      <c r="F470" s="2" t="s">
        <v>576</v>
      </c>
      <c r="G470" s="130"/>
      <c r="H470" s="2" t="s">
        <v>584</v>
      </c>
      <c r="I470" s="31" t="s">
        <v>33</v>
      </c>
      <c r="J470" s="11" t="s">
        <v>500</v>
      </c>
      <c r="K470" s="11"/>
      <c r="L470" s="11"/>
    </row>
    <row r="471" spans="2:12" ht="15" customHeight="1" x14ac:dyDescent="0.25">
      <c r="B471" s="63" t="s">
        <v>15</v>
      </c>
      <c r="C471" s="75" t="s">
        <v>529</v>
      </c>
      <c r="D471" s="64" t="s">
        <v>499</v>
      </c>
      <c r="E471" s="135" t="str">
        <f t="shared" si="7"/>
        <v>Hidratante Desodorante Perfumado Luna Feminino 80ml Frasco</v>
      </c>
      <c r="F471" s="2" t="s">
        <v>467</v>
      </c>
      <c r="G471" s="130"/>
      <c r="H471" s="2" t="s">
        <v>584</v>
      </c>
      <c r="I471" s="31" t="s">
        <v>33</v>
      </c>
      <c r="J471" s="11" t="s">
        <v>500</v>
      </c>
      <c r="K471" s="160"/>
      <c r="L471" s="160">
        <v>42.9</v>
      </c>
    </row>
    <row r="472" spans="2:12" ht="15" customHeight="1" x14ac:dyDescent="0.25">
      <c r="B472" s="63" t="s">
        <v>15</v>
      </c>
      <c r="C472" s="75" t="s">
        <v>529</v>
      </c>
      <c r="D472" s="64" t="s">
        <v>499</v>
      </c>
      <c r="E472" s="135" t="str">
        <f t="shared" si="7"/>
        <v>Hidratante Desodorante Perfumado Luna Rosé 80ml Frasco</v>
      </c>
      <c r="F472" s="2" t="s">
        <v>586</v>
      </c>
      <c r="G472" s="130"/>
      <c r="H472" s="2" t="s">
        <v>584</v>
      </c>
      <c r="I472" s="31" t="s">
        <v>33</v>
      </c>
      <c r="J472" s="11" t="s">
        <v>500</v>
      </c>
      <c r="K472" s="11"/>
      <c r="L472" s="11"/>
    </row>
    <row r="473" spans="2:12" ht="15" customHeight="1" x14ac:dyDescent="0.25">
      <c r="B473" s="63" t="s">
        <v>15</v>
      </c>
      <c r="C473" s="76" t="s">
        <v>587</v>
      </c>
      <c r="D473" s="98" t="s">
        <v>344</v>
      </c>
      <c r="E473" s="135" t="str">
        <f t="shared" si="7"/>
        <v>Colonia Kaiak Masculino 25ml Miniatura</v>
      </c>
      <c r="F473" s="2" t="s">
        <v>434</v>
      </c>
      <c r="G473" s="130"/>
      <c r="H473" s="2" t="s">
        <v>530</v>
      </c>
      <c r="I473" s="31" t="s">
        <v>531</v>
      </c>
      <c r="J473" s="11" t="s">
        <v>588</v>
      </c>
      <c r="K473" s="173"/>
      <c r="L473" s="173" t="s">
        <v>589</v>
      </c>
    </row>
    <row r="474" spans="2:12" ht="15" customHeight="1" x14ac:dyDescent="0.25">
      <c r="B474" s="63" t="s">
        <v>15</v>
      </c>
      <c r="C474" s="76" t="s">
        <v>587</v>
      </c>
      <c r="D474" s="98" t="s">
        <v>344</v>
      </c>
      <c r="E474" s="135" t="str">
        <f t="shared" si="7"/>
        <v>Colonia Kaiak Aero Masculino 100ml Frasco</v>
      </c>
      <c r="F474" s="94" t="s">
        <v>590</v>
      </c>
      <c r="G474" s="130"/>
      <c r="H474" s="2" t="s">
        <v>135</v>
      </c>
      <c r="I474" s="31" t="s">
        <v>33</v>
      </c>
      <c r="J474" s="11" t="s">
        <v>591</v>
      </c>
      <c r="K474" s="173"/>
      <c r="L474" s="173" t="s">
        <v>589</v>
      </c>
    </row>
    <row r="475" spans="2:12" ht="15" customHeight="1" x14ac:dyDescent="0.25">
      <c r="B475" s="63" t="s">
        <v>15</v>
      </c>
      <c r="C475" s="76" t="s">
        <v>587</v>
      </c>
      <c r="D475" s="98" t="s">
        <v>344</v>
      </c>
      <c r="E475" s="135" t="str">
        <f t="shared" si="7"/>
        <v>Colonia Kaiak Aventura Masculino 100ml Frasco</v>
      </c>
      <c r="F475" s="94" t="s">
        <v>592</v>
      </c>
      <c r="G475" s="130"/>
      <c r="H475" s="2" t="s">
        <v>135</v>
      </c>
      <c r="I475" s="31" t="s">
        <v>33</v>
      </c>
      <c r="J475" s="11" t="s">
        <v>593</v>
      </c>
      <c r="K475" s="173"/>
      <c r="L475" s="173" t="s">
        <v>589</v>
      </c>
    </row>
    <row r="476" spans="2:12" ht="15" customHeight="1" x14ac:dyDescent="0.25">
      <c r="B476" s="63" t="s">
        <v>15</v>
      </c>
      <c r="C476" s="76" t="s">
        <v>587</v>
      </c>
      <c r="D476" s="98" t="s">
        <v>344</v>
      </c>
      <c r="E476" s="135" t="str">
        <f t="shared" si="7"/>
        <v>Colonia Kaiak Aventura Intensa Masculino 100ml Frasco</v>
      </c>
      <c r="F476" s="94" t="s">
        <v>594</v>
      </c>
      <c r="G476" s="130"/>
      <c r="H476" s="2" t="s">
        <v>135</v>
      </c>
      <c r="I476" s="31" t="s">
        <v>33</v>
      </c>
      <c r="J476" s="11" t="s">
        <v>595</v>
      </c>
      <c r="K476" s="173"/>
      <c r="L476" s="173" t="s">
        <v>589</v>
      </c>
    </row>
    <row r="477" spans="2:12" ht="15" customHeight="1" x14ac:dyDescent="0.25">
      <c r="B477" s="63" t="s">
        <v>15</v>
      </c>
      <c r="C477" s="76" t="s">
        <v>587</v>
      </c>
      <c r="D477" s="98" t="s">
        <v>344</v>
      </c>
      <c r="E477" s="135" t="str">
        <f t="shared" si="7"/>
        <v>Colonia Kaiak Masculino 100ml Frasco</v>
      </c>
      <c r="F477" s="94" t="s">
        <v>434</v>
      </c>
      <c r="G477" s="130"/>
      <c r="H477" s="2" t="s">
        <v>135</v>
      </c>
      <c r="I477" s="31" t="s">
        <v>33</v>
      </c>
      <c r="J477" s="11" t="s">
        <v>588</v>
      </c>
      <c r="K477" s="173"/>
      <c r="L477" s="173" t="s">
        <v>589</v>
      </c>
    </row>
    <row r="478" spans="2:12" ht="15" customHeight="1" x14ac:dyDescent="0.25">
      <c r="B478" s="63" t="s">
        <v>15</v>
      </c>
      <c r="C478" s="76" t="s">
        <v>587</v>
      </c>
      <c r="D478" s="98" t="s">
        <v>344</v>
      </c>
      <c r="E478" s="135" t="str">
        <f t="shared" si="7"/>
        <v>Colonia Kaiak Oceano Masculino 100ml Frasco</v>
      </c>
      <c r="F478" s="94" t="s">
        <v>596</v>
      </c>
      <c r="G478" s="130"/>
      <c r="H478" s="2" t="s">
        <v>135</v>
      </c>
      <c r="I478" s="31" t="s">
        <v>33</v>
      </c>
      <c r="J478" s="11" t="s">
        <v>597</v>
      </c>
      <c r="K478" s="173"/>
      <c r="L478" s="173" t="s">
        <v>589</v>
      </c>
    </row>
    <row r="479" spans="2:12" ht="15" customHeight="1" x14ac:dyDescent="0.25">
      <c r="B479" s="63" t="s">
        <v>15</v>
      </c>
      <c r="C479" s="76" t="s">
        <v>587</v>
      </c>
      <c r="D479" s="98" t="s">
        <v>344</v>
      </c>
      <c r="E479" s="135" t="str">
        <f t="shared" si="7"/>
        <v>Colonia Kaiak O2 Masculino 100ml Frasco</v>
      </c>
      <c r="F479" s="94" t="s">
        <v>598</v>
      </c>
      <c r="G479" s="130"/>
      <c r="H479" s="2" t="s">
        <v>135</v>
      </c>
      <c r="I479" s="31" t="s">
        <v>33</v>
      </c>
      <c r="J479" s="11" t="s">
        <v>599</v>
      </c>
      <c r="K479" s="173"/>
      <c r="L479" s="173" t="s">
        <v>589</v>
      </c>
    </row>
    <row r="480" spans="2:12" ht="15" customHeight="1" x14ac:dyDescent="0.25">
      <c r="B480" s="63" t="s">
        <v>15</v>
      </c>
      <c r="C480" s="76" t="s">
        <v>587</v>
      </c>
      <c r="D480" s="98" t="s">
        <v>344</v>
      </c>
      <c r="E480" s="135" t="str">
        <f t="shared" si="7"/>
        <v>Colonia Kaiak Pulso Masculino 100ml Frasco</v>
      </c>
      <c r="F480" s="94" t="s">
        <v>600</v>
      </c>
      <c r="G480" s="130"/>
      <c r="H480" s="2" t="s">
        <v>135</v>
      </c>
      <c r="I480" s="31" t="s">
        <v>33</v>
      </c>
      <c r="J480" s="11" t="s">
        <v>601</v>
      </c>
      <c r="K480" s="173"/>
      <c r="L480" s="173" t="s">
        <v>589</v>
      </c>
    </row>
    <row r="481" spans="2:12" ht="15" customHeight="1" x14ac:dyDescent="0.25">
      <c r="B481" s="63" t="s">
        <v>15</v>
      </c>
      <c r="C481" s="76" t="s">
        <v>587</v>
      </c>
      <c r="D481" s="98" t="s">
        <v>344</v>
      </c>
      <c r="E481" s="135" t="str">
        <f t="shared" si="7"/>
        <v>Colonia Kaiak Sonar Masculino 100ml Frasco</v>
      </c>
      <c r="F481" s="94" t="s">
        <v>602</v>
      </c>
      <c r="G481" s="130"/>
      <c r="H481" s="2" t="s">
        <v>135</v>
      </c>
      <c r="I481" s="31" t="s">
        <v>33</v>
      </c>
      <c r="J481" s="11" t="s">
        <v>603</v>
      </c>
      <c r="K481" s="173"/>
      <c r="L481" s="173" t="s">
        <v>589</v>
      </c>
    </row>
    <row r="482" spans="2:12" ht="15" customHeight="1" x14ac:dyDescent="0.25">
      <c r="B482" s="63" t="s">
        <v>15</v>
      </c>
      <c r="C482" s="76" t="s">
        <v>587</v>
      </c>
      <c r="D482" s="98" t="s">
        <v>344</v>
      </c>
      <c r="E482" s="135" t="str">
        <f t="shared" si="7"/>
        <v>Colonia Kaiak Uber Masculino 100ml Frasco</v>
      </c>
      <c r="F482" s="94" t="s">
        <v>604</v>
      </c>
      <c r="G482" s="130"/>
      <c r="H482" s="2" t="s">
        <v>135</v>
      </c>
      <c r="I482" s="31" t="s">
        <v>33</v>
      </c>
      <c r="J482" s="11" t="s">
        <v>605</v>
      </c>
      <c r="K482" s="173"/>
      <c r="L482" s="173" t="s">
        <v>589</v>
      </c>
    </row>
    <row r="483" spans="2:12" ht="15" customHeight="1" x14ac:dyDescent="0.25">
      <c r="B483" s="63" t="s">
        <v>15</v>
      </c>
      <c r="C483" s="76" t="s">
        <v>587</v>
      </c>
      <c r="D483" s="98" t="s">
        <v>344</v>
      </c>
      <c r="E483" s="135" t="str">
        <f t="shared" si="7"/>
        <v>Colonia Kaiak Ultra Masculino 100ml Frasco</v>
      </c>
      <c r="F483" s="94" t="s">
        <v>606</v>
      </c>
      <c r="G483" s="130"/>
      <c r="H483" s="2" t="s">
        <v>135</v>
      </c>
      <c r="I483" s="31" t="s">
        <v>33</v>
      </c>
      <c r="J483" s="11" t="s">
        <v>607</v>
      </c>
      <c r="K483" s="173"/>
      <c r="L483" s="173" t="s">
        <v>589</v>
      </c>
    </row>
    <row r="484" spans="2:12" ht="15" customHeight="1" x14ac:dyDescent="0.25">
      <c r="B484" s="63" t="s">
        <v>15</v>
      </c>
      <c r="C484" s="76" t="s">
        <v>587</v>
      </c>
      <c r="D484" s="98" t="s">
        <v>344</v>
      </c>
      <c r="E484" s="135" t="str">
        <f t="shared" si="7"/>
        <v>Colonia Kaiak Vital Masculino 100ml Frasco</v>
      </c>
      <c r="F484" s="94" t="s">
        <v>608</v>
      </c>
      <c r="G484" s="130"/>
      <c r="H484" s="2" t="s">
        <v>135</v>
      </c>
      <c r="I484" s="31" t="s">
        <v>33</v>
      </c>
      <c r="J484" s="11" t="s">
        <v>609</v>
      </c>
      <c r="K484" s="173"/>
      <c r="L484" s="173" t="s">
        <v>589</v>
      </c>
    </row>
    <row r="485" spans="2:12" s="10" customFormat="1" ht="15" customHeight="1" x14ac:dyDescent="0.25">
      <c r="B485" s="63" t="s">
        <v>15</v>
      </c>
      <c r="C485" s="76" t="s">
        <v>587</v>
      </c>
      <c r="D485" s="66" t="s">
        <v>344</v>
      </c>
      <c r="E485" s="135" t="str">
        <f t="shared" si="7"/>
        <v>Colonia Kaiak Aero Feminino 100ml Frasco</v>
      </c>
      <c r="F485" s="94" t="s">
        <v>610</v>
      </c>
      <c r="G485" s="130"/>
      <c r="H485" s="2" t="s">
        <v>135</v>
      </c>
      <c r="I485" s="36" t="s">
        <v>33</v>
      </c>
      <c r="J485" s="20" t="s">
        <v>611</v>
      </c>
      <c r="K485" s="173"/>
      <c r="L485" s="173" t="s">
        <v>589</v>
      </c>
    </row>
    <row r="486" spans="2:12" ht="15" customHeight="1" x14ac:dyDescent="0.25">
      <c r="B486" s="63" t="s">
        <v>15</v>
      </c>
      <c r="C486" s="76" t="s">
        <v>587</v>
      </c>
      <c r="D486" s="66" t="s">
        <v>344</v>
      </c>
      <c r="E486" s="135" t="str">
        <f t="shared" si="7"/>
        <v>Colonia Kaiak Aventura Feminino 100ml Frasco</v>
      </c>
      <c r="F486" s="94" t="s">
        <v>612</v>
      </c>
      <c r="G486" s="130"/>
      <c r="H486" s="2" t="s">
        <v>135</v>
      </c>
      <c r="I486" s="36" t="s">
        <v>33</v>
      </c>
      <c r="J486" s="11" t="s">
        <v>613</v>
      </c>
      <c r="K486" s="173"/>
      <c r="L486" s="173" t="s">
        <v>589</v>
      </c>
    </row>
    <row r="487" spans="2:12" ht="15" customHeight="1" x14ac:dyDescent="0.25">
      <c r="B487" s="63" t="s">
        <v>15</v>
      </c>
      <c r="C487" s="76" t="s">
        <v>587</v>
      </c>
      <c r="D487" s="66" t="s">
        <v>344</v>
      </c>
      <c r="E487" s="135" t="str">
        <f t="shared" si="7"/>
        <v>Colonia Kaiak Aventura Intensa Feminino 100ml Frasco</v>
      </c>
      <c r="F487" s="94" t="s">
        <v>614</v>
      </c>
      <c r="G487" s="130"/>
      <c r="H487" s="2" t="s">
        <v>135</v>
      </c>
      <c r="I487" s="36" t="s">
        <v>33</v>
      </c>
      <c r="J487" s="11" t="s">
        <v>615</v>
      </c>
      <c r="K487" s="173"/>
      <c r="L487" s="173" t="s">
        <v>589</v>
      </c>
    </row>
    <row r="488" spans="2:12" ht="15" customHeight="1" x14ac:dyDescent="0.25">
      <c r="B488" s="63" t="s">
        <v>15</v>
      </c>
      <c r="C488" s="76" t="s">
        <v>587</v>
      </c>
      <c r="D488" s="66" t="s">
        <v>344</v>
      </c>
      <c r="E488" s="135" t="str">
        <f t="shared" si="7"/>
        <v>Colonia Kaiak Extremo Feminino 100ml Frasco</v>
      </c>
      <c r="F488" s="94" t="s">
        <v>616</v>
      </c>
      <c r="G488" s="130"/>
      <c r="H488" s="2" t="s">
        <v>135</v>
      </c>
      <c r="I488" s="36" t="s">
        <v>33</v>
      </c>
      <c r="J488" s="11"/>
      <c r="K488" s="173"/>
      <c r="L488" s="173" t="s">
        <v>589</v>
      </c>
    </row>
    <row r="489" spans="2:12" ht="15" customHeight="1" x14ac:dyDescent="0.25">
      <c r="B489" s="63" t="s">
        <v>15</v>
      </c>
      <c r="C489" s="76" t="s">
        <v>587</v>
      </c>
      <c r="D489" s="66" t="s">
        <v>344</v>
      </c>
      <c r="E489" s="135" t="str">
        <f t="shared" si="7"/>
        <v>Colonia Kaiak Energia 100ml Frasco</v>
      </c>
      <c r="F489" s="2" t="s">
        <v>617</v>
      </c>
      <c r="G489" s="130"/>
      <c r="H489" s="2" t="s">
        <v>135</v>
      </c>
      <c r="I489" s="36" t="s">
        <v>33</v>
      </c>
      <c r="J489" s="11"/>
      <c r="K489" s="173"/>
      <c r="L489" s="173" t="s">
        <v>589</v>
      </c>
    </row>
    <row r="490" spans="2:12" ht="15" customHeight="1" x14ac:dyDescent="0.25">
      <c r="B490" s="63" t="s">
        <v>15</v>
      </c>
      <c r="C490" s="76" t="s">
        <v>587</v>
      </c>
      <c r="D490" s="66" t="s">
        <v>344</v>
      </c>
      <c r="E490" s="135" t="str">
        <f t="shared" si="7"/>
        <v>Colonia Kaiak Feminino 100ml Frasco</v>
      </c>
      <c r="F490" s="99" t="s">
        <v>467</v>
      </c>
      <c r="G490" s="130"/>
      <c r="H490" s="2" t="s">
        <v>135</v>
      </c>
      <c r="I490" s="36" t="s">
        <v>33</v>
      </c>
      <c r="J490" s="11" t="s">
        <v>618</v>
      </c>
      <c r="K490" s="173"/>
      <c r="L490" s="173" t="s">
        <v>589</v>
      </c>
    </row>
    <row r="491" spans="2:12" ht="15" customHeight="1" x14ac:dyDescent="0.25">
      <c r="B491" s="63" t="s">
        <v>15</v>
      </c>
      <c r="C491" s="76" t="s">
        <v>587</v>
      </c>
      <c r="D491" s="66" t="s">
        <v>344</v>
      </c>
      <c r="E491" s="135" t="str">
        <f t="shared" si="7"/>
        <v>Colonia Kaiak O2 Feminino 100ml Frasco</v>
      </c>
      <c r="F491" s="94" t="s">
        <v>619</v>
      </c>
      <c r="G491" s="130"/>
      <c r="H491" s="2" t="s">
        <v>135</v>
      </c>
      <c r="I491" s="36" t="s">
        <v>33</v>
      </c>
      <c r="J491" s="11" t="s">
        <v>620</v>
      </c>
      <c r="K491" s="173"/>
      <c r="L491" s="173" t="s">
        <v>589</v>
      </c>
    </row>
    <row r="492" spans="2:12" ht="15" customHeight="1" x14ac:dyDescent="0.25">
      <c r="B492" s="63" t="s">
        <v>15</v>
      </c>
      <c r="C492" s="76" t="s">
        <v>587</v>
      </c>
      <c r="D492" s="66" t="s">
        <v>344</v>
      </c>
      <c r="E492" s="135" t="str">
        <f t="shared" si="7"/>
        <v>Colonia Kaiak Oceano Feminino 100ml Frasco</v>
      </c>
      <c r="F492" s="94" t="s">
        <v>621</v>
      </c>
      <c r="G492" s="130"/>
      <c r="H492" s="2" t="s">
        <v>135</v>
      </c>
      <c r="I492" s="36" t="s">
        <v>33</v>
      </c>
      <c r="J492" s="11" t="s">
        <v>622</v>
      </c>
      <c r="K492" s="173"/>
      <c r="L492" s="173" t="s">
        <v>589</v>
      </c>
    </row>
    <row r="493" spans="2:12" ht="15" customHeight="1" x14ac:dyDescent="0.25">
      <c r="B493" s="63" t="s">
        <v>15</v>
      </c>
      <c r="C493" s="76" t="s">
        <v>587</v>
      </c>
      <c r="D493" s="66" t="s">
        <v>344</v>
      </c>
      <c r="E493" s="135" t="str">
        <f t="shared" si="7"/>
        <v>Colonia Kaiak Sonar Feminino 100ml Frasco</v>
      </c>
      <c r="F493" s="94" t="s">
        <v>623</v>
      </c>
      <c r="G493" s="130"/>
      <c r="H493" s="2" t="s">
        <v>135</v>
      </c>
      <c r="I493" s="36" t="s">
        <v>33</v>
      </c>
      <c r="J493" s="11" t="s">
        <v>624</v>
      </c>
      <c r="K493" s="173"/>
      <c r="L493" s="173" t="s">
        <v>589</v>
      </c>
    </row>
    <row r="494" spans="2:12" ht="15" customHeight="1" x14ac:dyDescent="0.25">
      <c r="B494" s="63" t="s">
        <v>15</v>
      </c>
      <c r="C494" s="76" t="s">
        <v>587</v>
      </c>
      <c r="D494" s="66" t="s">
        <v>344</v>
      </c>
      <c r="E494" s="135" t="str">
        <f t="shared" si="7"/>
        <v>Colonia Kaiak Ultra Feminino 100ml Frasco</v>
      </c>
      <c r="F494" s="94" t="s">
        <v>625</v>
      </c>
      <c r="G494" s="130"/>
      <c r="H494" s="2" t="s">
        <v>135</v>
      </c>
      <c r="I494" s="36" t="s">
        <v>33</v>
      </c>
      <c r="J494" s="11" t="s">
        <v>626</v>
      </c>
      <c r="K494" s="173"/>
      <c r="L494" s="173" t="s">
        <v>589</v>
      </c>
    </row>
    <row r="495" spans="2:12" ht="15" customHeight="1" x14ac:dyDescent="0.25">
      <c r="B495" s="63" t="s">
        <v>15</v>
      </c>
      <c r="C495" s="76" t="s">
        <v>587</v>
      </c>
      <c r="D495" s="66" t="s">
        <v>344</v>
      </c>
      <c r="E495" s="135" t="str">
        <f t="shared" si="7"/>
        <v>Colonia Kaiak Vital Feminino 100ml Frasco</v>
      </c>
      <c r="F495" s="94" t="s">
        <v>627</v>
      </c>
      <c r="G495" s="130"/>
      <c r="H495" s="2" t="s">
        <v>135</v>
      </c>
      <c r="I495" s="36" t="s">
        <v>33</v>
      </c>
      <c r="J495" s="11" t="s">
        <v>628</v>
      </c>
      <c r="K495" s="173"/>
      <c r="L495" s="173" t="s">
        <v>589</v>
      </c>
    </row>
    <row r="496" spans="2:12" ht="15" customHeight="1" x14ac:dyDescent="0.25">
      <c r="B496" s="63" t="s">
        <v>15</v>
      </c>
      <c r="C496" s="76" t="s">
        <v>587</v>
      </c>
      <c r="D496" s="98" t="s">
        <v>629</v>
      </c>
      <c r="E496" s="135" t="str">
        <f t="shared" si="7"/>
        <v>Deo Perfum Kaiak K Masculino 100ml Frasco</v>
      </c>
      <c r="F496" s="94" t="s">
        <v>630</v>
      </c>
      <c r="G496" s="130"/>
      <c r="H496" s="2" t="s">
        <v>135</v>
      </c>
      <c r="I496" s="36" t="s">
        <v>33</v>
      </c>
      <c r="J496" s="11" t="s">
        <v>631</v>
      </c>
      <c r="K496" s="11"/>
      <c r="L496" s="11" t="s">
        <v>632</v>
      </c>
    </row>
    <row r="497" spans="1:12" ht="15" customHeight="1" x14ac:dyDescent="0.25">
      <c r="B497" s="63" t="s">
        <v>15</v>
      </c>
      <c r="C497" s="76" t="s">
        <v>587</v>
      </c>
      <c r="D497" s="98" t="s">
        <v>629</v>
      </c>
      <c r="E497" s="135" t="str">
        <f t="shared" si="7"/>
        <v>Deo Perfum Kaiak K Max Masculino 100ml Frasco</v>
      </c>
      <c r="F497" s="94" t="s">
        <v>633</v>
      </c>
      <c r="G497" s="130"/>
      <c r="H497" s="2" t="s">
        <v>135</v>
      </c>
      <c r="I497" s="36" t="s">
        <v>33</v>
      </c>
      <c r="J497" s="11" t="s">
        <v>634</v>
      </c>
      <c r="K497" s="11"/>
      <c r="L497" s="11" t="s">
        <v>632</v>
      </c>
    </row>
    <row r="498" spans="1:12" ht="15" customHeight="1" x14ac:dyDescent="0.25">
      <c r="B498" s="63" t="s">
        <v>15</v>
      </c>
      <c r="C498" s="76" t="s">
        <v>587</v>
      </c>
      <c r="D498" s="64" t="s">
        <v>635</v>
      </c>
      <c r="E498" s="135" t="str">
        <f t="shared" si="7"/>
        <v>Gel 2 em 1 Barbear e Pos Barba Kaiak Uber Masculino 100g Frasco</v>
      </c>
      <c r="F498" s="94" t="s">
        <v>604</v>
      </c>
      <c r="G498" s="130"/>
      <c r="H498" s="2" t="s">
        <v>519</v>
      </c>
      <c r="I498" s="31" t="s">
        <v>33</v>
      </c>
      <c r="J498" s="2" t="s">
        <v>636</v>
      </c>
      <c r="K498" s="11"/>
      <c r="L498" s="11" t="s">
        <v>637</v>
      </c>
    </row>
    <row r="499" spans="1:12" ht="15" customHeight="1" x14ac:dyDescent="0.25">
      <c r="B499" s="63" t="s">
        <v>15</v>
      </c>
      <c r="C499" s="76" t="s">
        <v>587</v>
      </c>
      <c r="D499" s="64" t="s">
        <v>635</v>
      </c>
      <c r="E499" s="135" t="str">
        <f t="shared" si="7"/>
        <v>Gel 2 em 1 Barbear e Pos Barba Kaiak Aventura 100g Frasco</v>
      </c>
      <c r="F499" s="2" t="s">
        <v>638</v>
      </c>
      <c r="G499" s="130"/>
      <c r="H499" s="2" t="s">
        <v>519</v>
      </c>
      <c r="I499" s="31" t="s">
        <v>33</v>
      </c>
      <c r="J499" s="2" t="s">
        <v>636</v>
      </c>
      <c r="K499" s="11"/>
      <c r="L499" s="11" t="s">
        <v>637</v>
      </c>
    </row>
    <row r="500" spans="1:12" ht="15" customHeight="1" x14ac:dyDescent="0.25">
      <c r="B500" s="63" t="s">
        <v>15</v>
      </c>
      <c r="C500" s="76" t="s">
        <v>587</v>
      </c>
      <c r="D500" s="64" t="s">
        <v>635</v>
      </c>
      <c r="E500" s="135" t="str">
        <f t="shared" si="7"/>
        <v>Gel 2 em 1 Barbear e Pos Barba Kaiak Extremo 100g Frasco</v>
      </c>
      <c r="F500" s="2" t="s">
        <v>639</v>
      </c>
      <c r="G500" s="130"/>
      <c r="H500" s="2" t="s">
        <v>519</v>
      </c>
      <c r="I500" s="31" t="s">
        <v>33</v>
      </c>
      <c r="J500" s="2" t="s">
        <v>636</v>
      </c>
      <c r="K500" s="11"/>
      <c r="L500" s="11" t="s">
        <v>637</v>
      </c>
    </row>
    <row r="501" spans="1:12" ht="15" customHeight="1" x14ac:dyDescent="0.25">
      <c r="B501" s="63" t="s">
        <v>15</v>
      </c>
      <c r="C501" s="76" t="s">
        <v>587</v>
      </c>
      <c r="D501" s="64" t="s">
        <v>635</v>
      </c>
      <c r="E501" s="135" t="str">
        <f t="shared" si="7"/>
        <v>Gel 2 em 1 Barbear e Pos Barba Kaiak Oceano 100g Frasco</v>
      </c>
      <c r="F501" s="2" t="s">
        <v>640</v>
      </c>
      <c r="G501" s="130"/>
      <c r="H501" s="2" t="s">
        <v>519</v>
      </c>
      <c r="I501" s="31" t="s">
        <v>33</v>
      </c>
      <c r="J501" s="2" t="s">
        <v>636</v>
      </c>
      <c r="K501" s="11"/>
      <c r="L501" s="11" t="s">
        <v>637</v>
      </c>
    </row>
    <row r="502" spans="1:12" s="10" customFormat="1" ht="15" customHeight="1" x14ac:dyDescent="0.25">
      <c r="B502" s="63" t="s">
        <v>15</v>
      </c>
      <c r="C502" s="76" t="s">
        <v>587</v>
      </c>
      <c r="D502" s="64" t="s">
        <v>635</v>
      </c>
      <c r="E502" s="135" t="str">
        <f t="shared" si="7"/>
        <v>Gel 2 em 1 Barbear e Pos Barba Kaiak Pulso 100g Frasco</v>
      </c>
      <c r="F502" s="9" t="s">
        <v>641</v>
      </c>
      <c r="G502" s="130"/>
      <c r="H502" s="2" t="s">
        <v>519</v>
      </c>
      <c r="I502" s="31" t="s">
        <v>33</v>
      </c>
      <c r="J502" s="2" t="s">
        <v>636</v>
      </c>
      <c r="K502" s="11"/>
      <c r="L502" s="11" t="s">
        <v>637</v>
      </c>
    </row>
    <row r="503" spans="1:12" x14ac:dyDescent="0.25">
      <c r="B503" s="63" t="s">
        <v>15</v>
      </c>
      <c r="C503" s="76" t="s">
        <v>587</v>
      </c>
      <c r="D503" s="64" t="s">
        <v>642</v>
      </c>
      <c r="E503" s="135" t="str">
        <f t="shared" si="7"/>
        <v>Shampoo Cabelo e Corpo Kaiak Aero 125ml Frasco</v>
      </c>
      <c r="F503" s="2" t="s">
        <v>643</v>
      </c>
      <c r="G503" s="130"/>
      <c r="H503" s="2" t="s">
        <v>644</v>
      </c>
      <c r="I503" s="31" t="s">
        <v>33</v>
      </c>
      <c r="J503" s="147" t="s">
        <v>645</v>
      </c>
      <c r="K503" s="11"/>
      <c r="L503" s="11"/>
    </row>
    <row r="504" spans="1:12" x14ac:dyDescent="0.25">
      <c r="B504" s="63" t="s">
        <v>15</v>
      </c>
      <c r="C504" s="76" t="s">
        <v>587</v>
      </c>
      <c r="D504" s="64" t="s">
        <v>642</v>
      </c>
      <c r="E504" s="135" t="str">
        <f t="shared" si="7"/>
        <v>Shampoo Cabelo e Corpo Kaiak Extremo 125ml Frasco</v>
      </c>
      <c r="F504" s="2" t="s">
        <v>646</v>
      </c>
      <c r="G504" s="130"/>
      <c r="H504" s="2" t="s">
        <v>644</v>
      </c>
      <c r="I504" s="31" t="s">
        <v>33</v>
      </c>
      <c r="J504" s="147" t="s">
        <v>645</v>
      </c>
      <c r="K504" s="11"/>
      <c r="L504" s="11" t="s">
        <v>647</v>
      </c>
    </row>
    <row r="505" spans="1:12" x14ac:dyDescent="0.25">
      <c r="B505" s="63" t="s">
        <v>15</v>
      </c>
      <c r="C505" s="76" t="s">
        <v>587</v>
      </c>
      <c r="D505" s="64" t="s">
        <v>642</v>
      </c>
      <c r="E505" s="135" t="str">
        <f t="shared" si="7"/>
        <v>Shampoo Cabelo e Corpo Kaiak Masculino 125ml Frasco</v>
      </c>
      <c r="F505" s="2" t="s">
        <v>434</v>
      </c>
      <c r="G505" s="130"/>
      <c r="H505" s="2" t="s">
        <v>644</v>
      </c>
      <c r="I505" s="31" t="s">
        <v>33</v>
      </c>
      <c r="J505" s="147" t="s">
        <v>645</v>
      </c>
      <c r="K505" s="11"/>
      <c r="L505" s="11" t="s">
        <v>648</v>
      </c>
    </row>
    <row r="506" spans="1:12" x14ac:dyDescent="0.25">
      <c r="B506" s="63" t="s">
        <v>15</v>
      </c>
      <c r="C506" s="76" t="s">
        <v>587</v>
      </c>
      <c r="D506" s="64" t="s">
        <v>642</v>
      </c>
      <c r="E506" s="135" t="str">
        <f t="shared" si="7"/>
        <v>Shampoo Cabelo e Corpo Kaiak Oceano 125ml Frasco</v>
      </c>
      <c r="F506" s="2" t="s">
        <v>640</v>
      </c>
      <c r="G506" s="130"/>
      <c r="H506" s="2" t="s">
        <v>644</v>
      </c>
      <c r="I506" s="31" t="s">
        <v>33</v>
      </c>
      <c r="J506" s="147" t="s">
        <v>645</v>
      </c>
      <c r="K506" s="11"/>
      <c r="L506" s="11"/>
    </row>
    <row r="507" spans="1:12" x14ac:dyDescent="0.25">
      <c r="B507" s="63" t="s">
        <v>15</v>
      </c>
      <c r="C507" s="76" t="s">
        <v>587</v>
      </c>
      <c r="D507" s="64" t="s">
        <v>642</v>
      </c>
      <c r="E507" s="135" t="str">
        <f t="shared" si="7"/>
        <v>Shampoo Cabelo e Corpo Kaiak Pulso 125ml Frasco</v>
      </c>
      <c r="F507" s="2" t="s">
        <v>641</v>
      </c>
      <c r="G507" s="130"/>
      <c r="H507" s="2" t="s">
        <v>644</v>
      </c>
      <c r="I507" s="31" t="s">
        <v>33</v>
      </c>
      <c r="J507" s="147" t="s">
        <v>645</v>
      </c>
      <c r="K507" s="2"/>
      <c r="L507" s="2"/>
    </row>
    <row r="508" spans="1:12" x14ac:dyDescent="0.25">
      <c r="B508" s="63" t="s">
        <v>15</v>
      </c>
      <c r="C508" s="76" t="s">
        <v>587</v>
      </c>
      <c r="D508" s="64" t="s">
        <v>642</v>
      </c>
      <c r="E508" s="135" t="str">
        <f t="shared" si="7"/>
        <v>Shampoo Cabelo e Corpo Kaiak Uber 125ml Frasco</v>
      </c>
      <c r="F508" s="2" t="s">
        <v>649</v>
      </c>
      <c r="G508" s="130"/>
      <c r="H508" s="2" t="s">
        <v>644</v>
      </c>
      <c r="I508" s="31" t="s">
        <v>33</v>
      </c>
      <c r="J508" s="147" t="s">
        <v>645</v>
      </c>
      <c r="K508" s="11"/>
      <c r="L508" s="11"/>
    </row>
    <row r="509" spans="1:12" ht="15" customHeight="1" x14ac:dyDescent="0.25">
      <c r="A509" t="s">
        <v>650</v>
      </c>
      <c r="B509" s="63" t="s">
        <v>15</v>
      </c>
      <c r="C509" s="76" t="s">
        <v>587</v>
      </c>
      <c r="D509" s="66" t="s">
        <v>651</v>
      </c>
      <c r="E509" s="135" t="str">
        <f t="shared" si="7"/>
        <v>Sabonete Loquido em Gel Kaiak Masculino 200ml Frasco</v>
      </c>
      <c r="F509" s="120" t="s">
        <v>434</v>
      </c>
      <c r="G509" s="130"/>
      <c r="H509" s="2" t="s">
        <v>32</v>
      </c>
      <c r="I509" s="31" t="s">
        <v>33</v>
      </c>
      <c r="J509" s="11"/>
      <c r="K509" s="11"/>
      <c r="L509" s="11"/>
    </row>
    <row r="510" spans="1:12" ht="15" customHeight="1" x14ac:dyDescent="0.25">
      <c r="A510" t="s">
        <v>650</v>
      </c>
      <c r="B510" s="63" t="s">
        <v>15</v>
      </c>
      <c r="C510" s="76" t="s">
        <v>587</v>
      </c>
      <c r="D510" s="66" t="s">
        <v>651</v>
      </c>
      <c r="E510" s="135" t="str">
        <f t="shared" si="7"/>
        <v>Sabonete Loquido em Gel Kaiak Masculino 200ml Frasco</v>
      </c>
      <c r="F510" s="120" t="s">
        <v>524</v>
      </c>
      <c r="G510" s="130"/>
      <c r="H510" s="2" t="s">
        <v>32</v>
      </c>
      <c r="I510" s="31" t="s">
        <v>33</v>
      </c>
      <c r="J510" s="11"/>
      <c r="K510" s="11"/>
      <c r="L510" s="11"/>
    </row>
    <row r="511" spans="1:12" ht="15" customHeight="1" x14ac:dyDescent="0.25">
      <c r="B511" s="63" t="s">
        <v>15</v>
      </c>
      <c r="C511" s="76" t="s">
        <v>587</v>
      </c>
      <c r="D511" s="64" t="s">
        <v>572</v>
      </c>
      <c r="E511" s="135" t="str">
        <f t="shared" si="7"/>
        <v>Desodorante Roll-on Kaiak Aventura Masculino 75ml Frasco</v>
      </c>
      <c r="F511" s="2" t="s">
        <v>592</v>
      </c>
      <c r="G511" s="130"/>
      <c r="H511" s="2" t="s">
        <v>374</v>
      </c>
      <c r="I511" s="31" t="s">
        <v>33</v>
      </c>
      <c r="J511" s="11" t="s">
        <v>652</v>
      </c>
      <c r="K511" s="160"/>
      <c r="L511" s="160">
        <v>29.9</v>
      </c>
    </row>
    <row r="512" spans="1:12" ht="15" customHeight="1" x14ac:dyDescent="0.25">
      <c r="B512" s="63" t="s">
        <v>15</v>
      </c>
      <c r="C512" s="76" t="s">
        <v>587</v>
      </c>
      <c r="D512" s="64" t="s">
        <v>572</v>
      </c>
      <c r="E512" s="135" t="str">
        <f t="shared" si="7"/>
        <v>Desodorante Roll-on Kaiak Aero Masculino 75ml Frasco</v>
      </c>
      <c r="F512" s="2" t="s">
        <v>590</v>
      </c>
      <c r="G512" s="130"/>
      <c r="H512" s="2" t="s">
        <v>374</v>
      </c>
      <c r="I512" s="31" t="s">
        <v>33</v>
      </c>
      <c r="J512" s="11" t="s">
        <v>652</v>
      </c>
      <c r="K512" s="160"/>
      <c r="L512" s="160">
        <v>29.9</v>
      </c>
    </row>
    <row r="513" spans="1:12" ht="15" customHeight="1" x14ac:dyDescent="0.25">
      <c r="B513" s="63" t="s">
        <v>15</v>
      </c>
      <c r="C513" s="76" t="s">
        <v>587</v>
      </c>
      <c r="D513" s="64" t="s">
        <v>572</v>
      </c>
      <c r="E513" s="135" t="str">
        <f t="shared" si="7"/>
        <v>Desodorante Roll-on Kaiak Masculino 75ml Frasco</v>
      </c>
      <c r="F513" s="2" t="s">
        <v>434</v>
      </c>
      <c r="G513" s="130"/>
      <c r="H513" s="2" t="s">
        <v>374</v>
      </c>
      <c r="I513" s="31" t="s">
        <v>33</v>
      </c>
      <c r="J513" s="11" t="s">
        <v>652</v>
      </c>
      <c r="K513" s="160"/>
      <c r="L513" s="160">
        <v>29.9</v>
      </c>
    </row>
    <row r="514" spans="1:12" ht="15" customHeight="1" x14ac:dyDescent="0.25">
      <c r="B514" s="63" t="s">
        <v>15</v>
      </c>
      <c r="C514" s="76" t="s">
        <v>587</v>
      </c>
      <c r="D514" s="64" t="s">
        <v>572</v>
      </c>
      <c r="E514" s="135" t="str">
        <f t="shared" ref="E514:E577" si="8">TRIM(CONCATENATE(D514, " ", C514, " ", F514, " ", IF(G514&gt;0, G514 &amp; "x" &amp; H514, H514), " ", I514))</f>
        <v>Desodorante Roll-on Kaiak Pulso Masculino 75ml Frasco</v>
      </c>
      <c r="F514" s="2" t="s">
        <v>600</v>
      </c>
      <c r="G514" s="130"/>
      <c r="H514" s="2" t="s">
        <v>374</v>
      </c>
      <c r="I514" s="31" t="s">
        <v>33</v>
      </c>
      <c r="J514" s="11" t="s">
        <v>652</v>
      </c>
      <c r="K514" s="160"/>
      <c r="L514" s="160">
        <v>29.9</v>
      </c>
    </row>
    <row r="515" spans="1:12" ht="15" customHeight="1" x14ac:dyDescent="0.25">
      <c r="B515" s="63" t="s">
        <v>15</v>
      </c>
      <c r="C515" s="76" t="s">
        <v>587</v>
      </c>
      <c r="D515" s="64" t="s">
        <v>572</v>
      </c>
      <c r="E515" s="135" t="str">
        <f t="shared" si="8"/>
        <v>Desodorante Roll-on Kaiak Uber Masculino 75ml Frasco</v>
      </c>
      <c r="F515" s="2" t="s">
        <v>604</v>
      </c>
      <c r="G515" s="130"/>
      <c r="H515" s="2" t="s">
        <v>374</v>
      </c>
      <c r="I515" s="31" t="s">
        <v>33</v>
      </c>
      <c r="J515" s="11" t="s">
        <v>652</v>
      </c>
      <c r="K515" s="160"/>
      <c r="L515" s="160">
        <v>29.9</v>
      </c>
    </row>
    <row r="516" spans="1:12" ht="15" customHeight="1" x14ac:dyDescent="0.25">
      <c r="B516" s="63" t="s">
        <v>15</v>
      </c>
      <c r="C516" s="76" t="s">
        <v>587</v>
      </c>
      <c r="D516" s="64" t="s">
        <v>572</v>
      </c>
      <c r="E516" s="135" t="str">
        <f t="shared" si="8"/>
        <v>Desodorante Roll-on Kaiak Aventura Feminino 75ml Frasco</v>
      </c>
      <c r="F516" s="2" t="s">
        <v>612</v>
      </c>
      <c r="G516" s="130"/>
      <c r="H516" s="2" t="s">
        <v>374</v>
      </c>
      <c r="I516" s="31" t="s">
        <v>33</v>
      </c>
      <c r="J516" s="11" t="s">
        <v>653</v>
      </c>
      <c r="K516" s="160"/>
      <c r="L516" s="160">
        <v>29.9</v>
      </c>
    </row>
    <row r="517" spans="1:12" ht="15" customHeight="1" x14ac:dyDescent="0.25">
      <c r="B517" s="63" t="s">
        <v>15</v>
      </c>
      <c r="C517" s="76" t="s">
        <v>587</v>
      </c>
      <c r="D517" s="64" t="s">
        <v>572</v>
      </c>
      <c r="E517" s="135" t="str">
        <f t="shared" si="8"/>
        <v>Desodorante Roll-on Kaiak Feminino 75ml Frasco</v>
      </c>
      <c r="F517" s="2" t="s">
        <v>467</v>
      </c>
      <c r="G517" s="130"/>
      <c r="H517" s="2" t="s">
        <v>374</v>
      </c>
      <c r="I517" s="31" t="s">
        <v>33</v>
      </c>
      <c r="J517" s="11" t="s">
        <v>653</v>
      </c>
      <c r="K517" s="160"/>
      <c r="L517" s="160">
        <v>29.9</v>
      </c>
    </row>
    <row r="518" spans="1:12" ht="15" customHeight="1" x14ac:dyDescent="0.25">
      <c r="B518" s="63" t="s">
        <v>15</v>
      </c>
      <c r="C518" s="97" t="s">
        <v>587</v>
      </c>
      <c r="D518" s="64" t="s">
        <v>572</v>
      </c>
      <c r="E518" s="135" t="str">
        <f t="shared" si="8"/>
        <v>Desodorante Roll-on Kaiak Oceano Feminino 75ml Frasco</v>
      </c>
      <c r="F518" s="2" t="s">
        <v>621</v>
      </c>
      <c r="G518" s="130"/>
      <c r="H518" s="2" t="s">
        <v>374</v>
      </c>
      <c r="I518" s="31" t="s">
        <v>33</v>
      </c>
      <c r="J518" s="11" t="s">
        <v>653</v>
      </c>
      <c r="K518" s="160"/>
      <c r="L518" s="160">
        <v>29.9</v>
      </c>
    </row>
    <row r="519" spans="1:12" ht="15" customHeight="1" x14ac:dyDescent="0.25">
      <c r="B519" s="63" t="s">
        <v>15</v>
      </c>
      <c r="C519" s="76" t="s">
        <v>587</v>
      </c>
      <c r="D519" s="66" t="s">
        <v>404</v>
      </c>
      <c r="E519" s="135" t="str">
        <f t="shared" si="8"/>
        <v>Desodorante Corporal Kaiak Aventura Masculino 100ml Frasco</v>
      </c>
      <c r="F519" s="2" t="s">
        <v>592</v>
      </c>
      <c r="G519" s="130"/>
      <c r="H519" s="2" t="s">
        <v>371</v>
      </c>
      <c r="I519" s="31" t="s">
        <v>33</v>
      </c>
      <c r="J519" s="11" t="s">
        <v>654</v>
      </c>
      <c r="K519" s="11"/>
      <c r="L519" s="11" t="s">
        <v>655</v>
      </c>
    </row>
    <row r="520" spans="1:12" ht="15" customHeight="1" x14ac:dyDescent="0.25">
      <c r="B520" s="63" t="s">
        <v>15</v>
      </c>
      <c r="C520" s="76" t="s">
        <v>587</v>
      </c>
      <c r="D520" s="66" t="s">
        <v>404</v>
      </c>
      <c r="E520" s="135" t="str">
        <f t="shared" si="8"/>
        <v>Desodorante Corporal Kaiak Extremo Masculino 100ml Frasco</v>
      </c>
      <c r="F520" s="2" t="s">
        <v>656</v>
      </c>
      <c r="G520" s="130"/>
      <c r="H520" s="2" t="s">
        <v>371</v>
      </c>
      <c r="I520" s="31" t="s">
        <v>33</v>
      </c>
      <c r="J520" s="11" t="s">
        <v>654</v>
      </c>
      <c r="K520" s="11"/>
      <c r="L520" s="11" t="s">
        <v>655</v>
      </c>
    </row>
    <row r="521" spans="1:12" ht="15" customHeight="1" x14ac:dyDescent="0.25">
      <c r="B521" s="63" t="s">
        <v>15</v>
      </c>
      <c r="C521" s="76" t="s">
        <v>587</v>
      </c>
      <c r="D521" s="66" t="s">
        <v>404</v>
      </c>
      <c r="E521" s="135" t="str">
        <f t="shared" si="8"/>
        <v>Desodorante Corporal Kaiak Masculino 100ml Frasco</v>
      </c>
      <c r="F521" s="2" t="s">
        <v>434</v>
      </c>
      <c r="G521" s="130"/>
      <c r="H521" s="2" t="s">
        <v>371</v>
      </c>
      <c r="I521" s="31" t="s">
        <v>33</v>
      </c>
      <c r="J521" s="11" t="s">
        <v>654</v>
      </c>
      <c r="K521" s="11"/>
      <c r="L521" s="11" t="s">
        <v>655</v>
      </c>
    </row>
    <row r="522" spans="1:12" ht="15" customHeight="1" x14ac:dyDescent="0.25">
      <c r="B522" s="63" t="s">
        <v>15</v>
      </c>
      <c r="C522" s="76" t="s">
        <v>587</v>
      </c>
      <c r="D522" s="66" t="s">
        <v>404</v>
      </c>
      <c r="E522" s="135" t="str">
        <f t="shared" si="8"/>
        <v>Desodorante Corporal Kaiak O2 Masculino 100ml Frasco</v>
      </c>
      <c r="F522" s="2" t="s">
        <v>598</v>
      </c>
      <c r="G522" s="130"/>
      <c r="H522" s="2" t="s">
        <v>371</v>
      </c>
      <c r="I522" s="31" t="s">
        <v>33</v>
      </c>
      <c r="J522" s="11" t="s">
        <v>654</v>
      </c>
      <c r="K522" s="11"/>
      <c r="L522" s="11" t="s">
        <v>655</v>
      </c>
    </row>
    <row r="523" spans="1:12" ht="15" customHeight="1" x14ac:dyDescent="0.25">
      <c r="B523" s="63" t="s">
        <v>15</v>
      </c>
      <c r="C523" s="76" t="s">
        <v>587</v>
      </c>
      <c r="D523" s="66" t="s">
        <v>404</v>
      </c>
      <c r="E523" s="135" t="str">
        <f t="shared" si="8"/>
        <v>Desodorante Corporal Kaiak Oceano Masculino 100ml Frasco</v>
      </c>
      <c r="F523" s="2" t="s">
        <v>596</v>
      </c>
      <c r="G523" s="130"/>
      <c r="H523" s="2" t="s">
        <v>371</v>
      </c>
      <c r="I523" s="31" t="s">
        <v>33</v>
      </c>
      <c r="J523" s="11" t="s">
        <v>654</v>
      </c>
      <c r="K523" s="11"/>
      <c r="L523" s="11" t="s">
        <v>655</v>
      </c>
    </row>
    <row r="524" spans="1:12" ht="15" customHeight="1" x14ac:dyDescent="0.25">
      <c r="B524" s="63" t="s">
        <v>15</v>
      </c>
      <c r="C524" s="76" t="s">
        <v>587</v>
      </c>
      <c r="D524" s="66" t="s">
        <v>404</v>
      </c>
      <c r="E524" s="135" t="str">
        <f t="shared" si="8"/>
        <v>Desodorante Corporal Kaiak Uber Masculino 100ml Frasco</v>
      </c>
      <c r="F524" s="2" t="s">
        <v>604</v>
      </c>
      <c r="G524" s="130"/>
      <c r="H524" s="2" t="s">
        <v>371</v>
      </c>
      <c r="I524" s="31" t="s">
        <v>33</v>
      </c>
      <c r="J524" s="11" t="s">
        <v>654</v>
      </c>
      <c r="K524" s="11"/>
      <c r="L524" s="11" t="s">
        <v>655</v>
      </c>
    </row>
    <row r="525" spans="1:12" ht="15" customHeight="1" x14ac:dyDescent="0.25">
      <c r="B525" s="63" t="s">
        <v>15</v>
      </c>
      <c r="C525" s="76" t="s">
        <v>587</v>
      </c>
      <c r="D525" s="66" t="s">
        <v>404</v>
      </c>
      <c r="E525" s="135" t="str">
        <f t="shared" si="8"/>
        <v>Desodorante Corporal Kaiak Pulso Masculino 100ml Frasco</v>
      </c>
      <c r="F525" s="2" t="s">
        <v>600</v>
      </c>
      <c r="G525" s="130"/>
      <c r="H525" s="2" t="s">
        <v>371</v>
      </c>
      <c r="I525" s="31" t="s">
        <v>33</v>
      </c>
      <c r="J525" s="11" t="s">
        <v>654</v>
      </c>
      <c r="K525" s="11"/>
      <c r="L525" s="11" t="s">
        <v>655</v>
      </c>
    </row>
    <row r="526" spans="1:12" ht="15" customHeight="1" x14ac:dyDescent="0.25">
      <c r="B526" s="63" t="s">
        <v>15</v>
      </c>
      <c r="C526" s="76" t="s">
        <v>587</v>
      </c>
      <c r="D526" s="66" t="s">
        <v>404</v>
      </c>
      <c r="E526" s="135" t="str">
        <f t="shared" si="8"/>
        <v>Desodorante Corporal Kaiak Aventura Masculino 100ml Refil</v>
      </c>
      <c r="F526" s="2" t="s">
        <v>592</v>
      </c>
      <c r="G526" s="130"/>
      <c r="H526" s="2" t="s">
        <v>371</v>
      </c>
      <c r="I526" s="31" t="s">
        <v>201</v>
      </c>
      <c r="J526" s="11" t="s">
        <v>654</v>
      </c>
      <c r="K526" s="11"/>
      <c r="L526" s="11" t="s">
        <v>657</v>
      </c>
    </row>
    <row r="527" spans="1:12" ht="15" customHeight="1" x14ac:dyDescent="0.25">
      <c r="B527" s="63" t="s">
        <v>15</v>
      </c>
      <c r="C527" s="76" t="s">
        <v>587</v>
      </c>
      <c r="D527" s="66" t="s">
        <v>404</v>
      </c>
      <c r="E527" s="135" t="str">
        <f t="shared" si="8"/>
        <v>Desodorante Corporal Kaiak Extremo Masculino 100ml Refil</v>
      </c>
      <c r="F527" s="2" t="s">
        <v>656</v>
      </c>
      <c r="G527" s="130"/>
      <c r="H527" s="2" t="s">
        <v>371</v>
      </c>
      <c r="I527" s="31" t="s">
        <v>201</v>
      </c>
      <c r="J527" s="11" t="s">
        <v>654</v>
      </c>
      <c r="K527" s="11"/>
      <c r="L527" s="11" t="s">
        <v>647</v>
      </c>
    </row>
    <row r="528" spans="1:12" ht="15" customHeight="1" x14ac:dyDescent="0.25">
      <c r="A528" t="s">
        <v>658</v>
      </c>
      <c r="B528" s="63" t="s">
        <v>15</v>
      </c>
      <c r="C528" s="76" t="s">
        <v>587</v>
      </c>
      <c r="D528" s="66" t="s">
        <v>404</v>
      </c>
      <c r="E528" s="135" t="str">
        <f t="shared" si="8"/>
        <v>Desodorante Corporal Kaiak Masculino 100ml Refil</v>
      </c>
      <c r="F528" s="2" t="s">
        <v>434</v>
      </c>
      <c r="G528" s="130"/>
      <c r="H528" s="2" t="s">
        <v>371</v>
      </c>
      <c r="I528" s="31" t="s">
        <v>201</v>
      </c>
      <c r="J528" s="11" t="s">
        <v>654</v>
      </c>
      <c r="K528" s="11"/>
      <c r="L528" s="11" t="s">
        <v>647</v>
      </c>
    </row>
    <row r="529" spans="1:12" ht="15" customHeight="1" x14ac:dyDescent="0.25">
      <c r="B529" s="63" t="s">
        <v>15</v>
      </c>
      <c r="C529" s="76" t="s">
        <v>587</v>
      </c>
      <c r="D529" s="66" t="s">
        <v>404</v>
      </c>
      <c r="E529" s="135" t="str">
        <f t="shared" si="8"/>
        <v>Desodorante Corporal Kaiak O2 Masculino 100ml Refil</v>
      </c>
      <c r="F529" s="2" t="s">
        <v>598</v>
      </c>
      <c r="G529" s="130"/>
      <c r="H529" s="2" t="s">
        <v>371</v>
      </c>
      <c r="I529" s="31" t="s">
        <v>201</v>
      </c>
      <c r="J529" s="11" t="s">
        <v>654</v>
      </c>
      <c r="K529" s="11"/>
      <c r="L529" s="11" t="s">
        <v>647</v>
      </c>
    </row>
    <row r="530" spans="1:12" ht="15" customHeight="1" x14ac:dyDescent="0.25">
      <c r="A530" t="s">
        <v>659</v>
      </c>
      <c r="B530" s="63" t="s">
        <v>15</v>
      </c>
      <c r="C530" s="76" t="s">
        <v>587</v>
      </c>
      <c r="D530" s="66" t="s">
        <v>404</v>
      </c>
      <c r="E530" s="135" t="str">
        <f t="shared" si="8"/>
        <v>Desodorante Corporal Kaiak Oceano Masculino 100ml Refil</v>
      </c>
      <c r="F530" s="2" t="s">
        <v>596</v>
      </c>
      <c r="G530" s="130"/>
      <c r="H530" s="2" t="s">
        <v>371</v>
      </c>
      <c r="I530" s="31" t="s">
        <v>201</v>
      </c>
      <c r="J530" s="11" t="s">
        <v>654</v>
      </c>
      <c r="K530" s="11"/>
      <c r="L530" s="11" t="s">
        <v>647</v>
      </c>
    </row>
    <row r="531" spans="1:12" ht="15" customHeight="1" x14ac:dyDescent="0.25">
      <c r="B531" s="63" t="s">
        <v>15</v>
      </c>
      <c r="C531" s="76" t="s">
        <v>587</v>
      </c>
      <c r="D531" s="66" t="s">
        <v>404</v>
      </c>
      <c r="E531" s="135" t="str">
        <f t="shared" si="8"/>
        <v>Desodorante Corporal Kaiak Uber Masculino 100ml Refil</v>
      </c>
      <c r="F531" s="2" t="s">
        <v>604</v>
      </c>
      <c r="G531" s="130"/>
      <c r="H531" s="2" t="s">
        <v>371</v>
      </c>
      <c r="I531" s="31" t="s">
        <v>201</v>
      </c>
      <c r="J531" s="11" t="s">
        <v>654</v>
      </c>
      <c r="K531" s="11"/>
      <c r="L531" s="11" t="s">
        <v>647</v>
      </c>
    </row>
    <row r="532" spans="1:12" ht="15" customHeight="1" x14ac:dyDescent="0.25">
      <c r="B532" s="63" t="s">
        <v>15</v>
      </c>
      <c r="C532" s="76" t="s">
        <v>587</v>
      </c>
      <c r="D532" s="66" t="s">
        <v>404</v>
      </c>
      <c r="E532" s="135" t="str">
        <f t="shared" si="8"/>
        <v>Desodorante Corporal Kaiak Pulso Masculino 100ml Refil</v>
      </c>
      <c r="F532" s="2" t="s">
        <v>600</v>
      </c>
      <c r="G532" s="130"/>
      <c r="H532" s="2" t="s">
        <v>371</v>
      </c>
      <c r="I532" s="31" t="s">
        <v>201</v>
      </c>
      <c r="J532" s="11" t="s">
        <v>654</v>
      </c>
      <c r="K532" s="11"/>
      <c r="L532" s="11" t="s">
        <v>647</v>
      </c>
    </row>
    <row r="533" spans="1:12" ht="15" customHeight="1" x14ac:dyDescent="0.25">
      <c r="B533" s="63" t="s">
        <v>15</v>
      </c>
      <c r="C533" s="76" t="s">
        <v>587</v>
      </c>
      <c r="D533" s="66" t="s">
        <v>404</v>
      </c>
      <c r="E533" s="135" t="str">
        <f t="shared" si="8"/>
        <v>Desodorante Corporal Kaiak Aventura Feminino 100ml Frasco</v>
      </c>
      <c r="F533" s="2" t="s">
        <v>612</v>
      </c>
      <c r="G533" s="130"/>
      <c r="H533" s="2" t="s">
        <v>371</v>
      </c>
      <c r="I533" s="31" t="s">
        <v>33</v>
      </c>
      <c r="J533" s="11" t="s">
        <v>654</v>
      </c>
      <c r="K533" s="11"/>
      <c r="L533" s="11" t="s">
        <v>660</v>
      </c>
    </row>
    <row r="534" spans="1:12" ht="15" customHeight="1" x14ac:dyDescent="0.25">
      <c r="B534" s="63" t="s">
        <v>15</v>
      </c>
      <c r="C534" s="76" t="s">
        <v>587</v>
      </c>
      <c r="D534" s="66" t="s">
        <v>404</v>
      </c>
      <c r="E534" s="135" t="str">
        <f t="shared" si="8"/>
        <v>Desodorante Corporal Kaiak Aero Feminino 100ml Frasco</v>
      </c>
      <c r="F534" s="2" t="s">
        <v>610</v>
      </c>
      <c r="G534" s="130"/>
      <c r="H534" s="2" t="s">
        <v>371</v>
      </c>
      <c r="I534" s="31" t="s">
        <v>33</v>
      </c>
      <c r="J534" s="11" t="s">
        <v>654</v>
      </c>
      <c r="K534" s="11"/>
      <c r="L534" s="11" t="s">
        <v>660</v>
      </c>
    </row>
    <row r="535" spans="1:12" ht="15" customHeight="1" x14ac:dyDescent="0.25">
      <c r="B535" s="63" t="s">
        <v>15</v>
      </c>
      <c r="C535" s="76" t="s">
        <v>587</v>
      </c>
      <c r="D535" s="66" t="s">
        <v>404</v>
      </c>
      <c r="E535" s="135" t="str">
        <f t="shared" si="8"/>
        <v>Desodorante Corporal Kaiak Feminino 100ml Frasco</v>
      </c>
      <c r="F535" s="2" t="s">
        <v>467</v>
      </c>
      <c r="G535" s="130"/>
      <c r="H535" s="2" t="s">
        <v>371</v>
      </c>
      <c r="I535" s="31" t="s">
        <v>33</v>
      </c>
      <c r="J535" s="11" t="s">
        <v>654</v>
      </c>
      <c r="K535" s="11"/>
      <c r="L535" s="11" t="s">
        <v>660</v>
      </c>
    </row>
    <row r="536" spans="1:12" ht="15" customHeight="1" x14ac:dyDescent="0.25">
      <c r="B536" s="63" t="s">
        <v>15</v>
      </c>
      <c r="C536" s="76" t="s">
        <v>587</v>
      </c>
      <c r="D536" s="66" t="s">
        <v>404</v>
      </c>
      <c r="E536" s="135" t="str">
        <f t="shared" si="8"/>
        <v>Desodorante Corporal Kaiak Oceano Feminino 100ml Frasco</v>
      </c>
      <c r="F536" s="2" t="s">
        <v>621</v>
      </c>
      <c r="G536" s="130"/>
      <c r="H536" s="2" t="s">
        <v>371</v>
      </c>
      <c r="I536" s="31" t="s">
        <v>33</v>
      </c>
      <c r="J536" s="11" t="s">
        <v>654</v>
      </c>
      <c r="K536" s="11"/>
      <c r="L536" s="11" t="s">
        <v>660</v>
      </c>
    </row>
    <row r="537" spans="1:12" s="10" customFormat="1" ht="15" customHeight="1" x14ac:dyDescent="0.25">
      <c r="B537" s="63" t="s">
        <v>15</v>
      </c>
      <c r="C537" s="76" t="s">
        <v>587</v>
      </c>
      <c r="D537" s="66" t="s">
        <v>404</v>
      </c>
      <c r="E537" s="135" t="str">
        <f t="shared" si="8"/>
        <v>Desodorante Corporal Kaiak Aventura Feminino 100ml Refil</v>
      </c>
      <c r="F537" s="2" t="s">
        <v>612</v>
      </c>
      <c r="G537" s="130"/>
      <c r="H537" s="2" t="s">
        <v>371</v>
      </c>
      <c r="I537" s="31" t="s">
        <v>51</v>
      </c>
      <c r="J537" s="11" t="s">
        <v>654</v>
      </c>
      <c r="K537" s="20"/>
      <c r="L537" s="20" t="s">
        <v>661</v>
      </c>
    </row>
    <row r="538" spans="1:12" ht="15" customHeight="1" x14ac:dyDescent="0.25">
      <c r="B538" s="63" t="s">
        <v>15</v>
      </c>
      <c r="C538" s="76" t="s">
        <v>587</v>
      </c>
      <c r="D538" s="66" t="s">
        <v>404</v>
      </c>
      <c r="E538" s="135" t="str">
        <f t="shared" si="8"/>
        <v>Desodorante Corporal Kaiak Aero Feminino 100ml Refil</v>
      </c>
      <c r="F538" s="2" t="s">
        <v>662</v>
      </c>
      <c r="G538" s="130"/>
      <c r="H538" s="2" t="s">
        <v>371</v>
      </c>
      <c r="I538" s="31" t="s">
        <v>51</v>
      </c>
      <c r="J538" s="11" t="s">
        <v>654</v>
      </c>
      <c r="K538" s="20"/>
      <c r="L538" s="20" t="s">
        <v>661</v>
      </c>
    </row>
    <row r="539" spans="1:12" ht="15" customHeight="1" x14ac:dyDescent="0.25">
      <c r="B539" s="63" t="s">
        <v>15</v>
      </c>
      <c r="C539" s="76" t="s">
        <v>587</v>
      </c>
      <c r="D539" s="66" t="s">
        <v>404</v>
      </c>
      <c r="E539" s="135" t="str">
        <f t="shared" si="8"/>
        <v>Desodorante Corporal Kaiak Feminino 100ml Refil</v>
      </c>
      <c r="F539" s="2" t="s">
        <v>467</v>
      </c>
      <c r="G539" s="130"/>
      <c r="H539" s="2" t="s">
        <v>371</v>
      </c>
      <c r="I539" s="31" t="s">
        <v>51</v>
      </c>
      <c r="J539" s="11" t="s">
        <v>654</v>
      </c>
      <c r="K539" s="20"/>
      <c r="L539" s="20" t="s">
        <v>661</v>
      </c>
    </row>
    <row r="540" spans="1:12" ht="15" customHeight="1" x14ac:dyDescent="0.25">
      <c r="B540" s="63" t="s">
        <v>15</v>
      </c>
      <c r="C540" s="76" t="s">
        <v>587</v>
      </c>
      <c r="D540" s="66" t="s">
        <v>404</v>
      </c>
      <c r="E540" s="135" t="str">
        <f t="shared" si="8"/>
        <v>Desodorante Corporal Kaiak Oceano Feminino 100ml Refil</v>
      </c>
      <c r="F540" s="2" t="s">
        <v>621</v>
      </c>
      <c r="G540" s="130"/>
      <c r="H540" s="2" t="s">
        <v>371</v>
      </c>
      <c r="I540" s="31" t="s">
        <v>51</v>
      </c>
      <c r="J540" s="11" t="s">
        <v>654</v>
      </c>
      <c r="K540" s="20"/>
      <c r="L540" s="20" t="s">
        <v>661</v>
      </c>
    </row>
    <row r="541" spans="1:12" ht="15" customHeight="1" x14ac:dyDescent="0.25">
      <c r="B541" s="63" t="s">
        <v>15</v>
      </c>
      <c r="C541" s="76" t="s">
        <v>587</v>
      </c>
      <c r="D541" s="65" t="s">
        <v>663</v>
      </c>
      <c r="E541" s="135" t="str">
        <f t="shared" si="8"/>
        <v>Desodorante Hidratante Corporal Kaiak Masculino 150ml Frasco</v>
      </c>
      <c r="F541" s="2" t="s">
        <v>434</v>
      </c>
      <c r="G541" s="130"/>
      <c r="H541" s="2" t="s">
        <v>334</v>
      </c>
      <c r="I541" s="31" t="s">
        <v>33</v>
      </c>
      <c r="J541" s="11" t="s">
        <v>664</v>
      </c>
      <c r="K541" s="11"/>
      <c r="L541" s="11" t="s">
        <v>665</v>
      </c>
    </row>
    <row r="542" spans="1:12" ht="15" customHeight="1" x14ac:dyDescent="0.25">
      <c r="B542" s="63" t="s">
        <v>15</v>
      </c>
      <c r="C542" s="76" t="s">
        <v>587</v>
      </c>
      <c r="D542" s="65" t="s">
        <v>663</v>
      </c>
      <c r="E542" s="135" t="str">
        <f t="shared" si="8"/>
        <v>Desodorante Hidratante Corporal Kaiak Feminino 150ml Refil</v>
      </c>
      <c r="F542" s="2" t="s">
        <v>467</v>
      </c>
      <c r="G542" s="130"/>
      <c r="H542" s="2" t="s">
        <v>334</v>
      </c>
      <c r="I542" s="31" t="s">
        <v>201</v>
      </c>
      <c r="J542" s="11" t="s">
        <v>664</v>
      </c>
      <c r="K542" s="11"/>
      <c r="L542" s="11" t="s">
        <v>666</v>
      </c>
    </row>
    <row r="543" spans="1:12" ht="15" customHeight="1" x14ac:dyDescent="0.25">
      <c r="B543" s="63" t="s">
        <v>15</v>
      </c>
      <c r="C543" s="76" t="s">
        <v>587</v>
      </c>
      <c r="D543" s="65" t="s">
        <v>663</v>
      </c>
      <c r="E543" s="135" t="str">
        <f t="shared" si="8"/>
        <v>Desodorante Hidratante Corporal Kaiak Masculino 150ml Frasco</v>
      </c>
      <c r="F543" s="2" t="s">
        <v>434</v>
      </c>
      <c r="G543" s="130"/>
      <c r="H543" s="2" t="s">
        <v>334</v>
      </c>
      <c r="I543" s="31" t="s">
        <v>33</v>
      </c>
      <c r="J543" s="11" t="s">
        <v>664</v>
      </c>
      <c r="K543" s="11"/>
      <c r="L543" s="11" t="s">
        <v>665</v>
      </c>
    </row>
    <row r="544" spans="1:12" ht="15" customHeight="1" x14ac:dyDescent="0.25">
      <c r="B544" s="63" t="s">
        <v>15</v>
      </c>
      <c r="C544" s="76" t="s">
        <v>587</v>
      </c>
      <c r="D544" s="65" t="s">
        <v>663</v>
      </c>
      <c r="E544" s="135" t="str">
        <f t="shared" si="8"/>
        <v>Desodorante Hidratante Corporal Kaiak Feminino 150ml Refil</v>
      </c>
      <c r="F544" s="2" t="s">
        <v>467</v>
      </c>
      <c r="G544" s="130"/>
      <c r="H544" s="2" t="s">
        <v>334</v>
      </c>
      <c r="I544" s="31" t="s">
        <v>201</v>
      </c>
      <c r="J544" s="11" t="s">
        <v>664</v>
      </c>
      <c r="K544" s="11"/>
      <c r="L544" s="11" t="s">
        <v>666</v>
      </c>
    </row>
    <row r="545" spans="1:12" ht="15" customHeight="1" x14ac:dyDescent="0.25">
      <c r="B545" s="63" t="s">
        <v>15</v>
      </c>
      <c r="C545" s="76" t="s">
        <v>587</v>
      </c>
      <c r="D545" s="98" t="s">
        <v>667</v>
      </c>
      <c r="E545" s="135" t="str">
        <f t="shared" si="8"/>
        <v>Spray Pos Barba Kaiak Masculino 150ml Frasco</v>
      </c>
      <c r="F545" s="2" t="s">
        <v>434</v>
      </c>
      <c r="G545" s="130"/>
      <c r="H545" s="2" t="s">
        <v>334</v>
      </c>
      <c r="I545" s="31" t="s">
        <v>33</v>
      </c>
      <c r="J545" s="148" t="s">
        <v>668</v>
      </c>
      <c r="K545" s="11"/>
      <c r="L545" s="11" t="s">
        <v>669</v>
      </c>
    </row>
    <row r="546" spans="1:12" ht="15" customHeight="1" x14ac:dyDescent="0.25">
      <c r="B546" s="63" t="s">
        <v>15</v>
      </c>
      <c r="C546" s="76" t="s">
        <v>587</v>
      </c>
      <c r="D546" s="65" t="s">
        <v>183</v>
      </c>
      <c r="E546" s="135" t="str">
        <f t="shared" si="8"/>
        <v>Sabonete em Barra Kaiak Masculino 1x90g Caixa</v>
      </c>
      <c r="F546" s="2" t="s">
        <v>434</v>
      </c>
      <c r="G546" s="130">
        <v>1</v>
      </c>
      <c r="H546" s="2" t="s">
        <v>81</v>
      </c>
      <c r="I546" s="31" t="s">
        <v>289</v>
      </c>
      <c r="J546" s="11" t="s">
        <v>670</v>
      </c>
      <c r="K546" s="11"/>
      <c r="L546" s="11" t="s">
        <v>671</v>
      </c>
    </row>
    <row r="547" spans="1:12" ht="15" customHeight="1" x14ac:dyDescent="0.25">
      <c r="B547" s="63" t="s">
        <v>15</v>
      </c>
      <c r="C547" s="76" t="s">
        <v>587</v>
      </c>
      <c r="D547" s="65" t="s">
        <v>183</v>
      </c>
      <c r="E547" s="135" t="str">
        <f t="shared" si="8"/>
        <v>Sabonete em Barra Kaiak Vital 1x90g Caixa</v>
      </c>
      <c r="F547" s="2" t="s">
        <v>672</v>
      </c>
      <c r="G547" s="130">
        <v>1</v>
      </c>
      <c r="H547" s="2" t="s">
        <v>81</v>
      </c>
      <c r="I547" s="31" t="s">
        <v>289</v>
      </c>
      <c r="J547" s="11" t="s">
        <v>670</v>
      </c>
      <c r="K547" s="11"/>
      <c r="L547" s="11" t="s">
        <v>671</v>
      </c>
    </row>
    <row r="548" spans="1:12" ht="15" customHeight="1" x14ac:dyDescent="0.25">
      <c r="B548" s="63" t="s">
        <v>15</v>
      </c>
      <c r="C548" s="76" t="s">
        <v>587</v>
      </c>
      <c r="D548" s="65" t="s">
        <v>183</v>
      </c>
      <c r="E548" s="135" t="str">
        <f t="shared" si="8"/>
        <v>Sabonete em Barra Kaiak Pulso 1x90g Caixa</v>
      </c>
      <c r="F548" s="2" t="s">
        <v>641</v>
      </c>
      <c r="G548" s="130">
        <v>1</v>
      </c>
      <c r="H548" s="2" t="s">
        <v>81</v>
      </c>
      <c r="I548" s="31" t="s">
        <v>289</v>
      </c>
      <c r="J548" s="11" t="s">
        <v>670</v>
      </c>
      <c r="K548" s="11"/>
      <c r="L548" s="11" t="s">
        <v>671</v>
      </c>
    </row>
    <row r="549" spans="1:12" ht="15" customHeight="1" x14ac:dyDescent="0.25">
      <c r="B549" s="63" t="s">
        <v>15</v>
      </c>
      <c r="C549" s="76" t="s">
        <v>587</v>
      </c>
      <c r="D549" s="65" t="s">
        <v>183</v>
      </c>
      <c r="E549" s="135" t="str">
        <f t="shared" si="8"/>
        <v>Sabonete em Barra Kaiak Uber 1x90g Caixa</v>
      </c>
      <c r="F549" s="2" t="s">
        <v>673</v>
      </c>
      <c r="G549" s="130">
        <v>1</v>
      </c>
      <c r="H549" s="2" t="s">
        <v>81</v>
      </c>
      <c r="I549" s="31" t="s">
        <v>289</v>
      </c>
      <c r="J549" s="11" t="s">
        <v>670</v>
      </c>
      <c r="K549" s="11"/>
      <c r="L549" s="11" t="s">
        <v>671</v>
      </c>
    </row>
    <row r="550" spans="1:12" ht="15" customHeight="1" x14ac:dyDescent="0.25">
      <c r="B550" s="63" t="s">
        <v>15</v>
      </c>
      <c r="C550" s="76" t="s">
        <v>587</v>
      </c>
      <c r="D550" s="65" t="s">
        <v>183</v>
      </c>
      <c r="E550" s="135" t="str">
        <f t="shared" si="8"/>
        <v>Sabonete em Barra Kaiak Oceano 1x90g Caixa</v>
      </c>
      <c r="F550" s="2" t="s">
        <v>674</v>
      </c>
      <c r="G550" s="130">
        <v>1</v>
      </c>
      <c r="H550" s="2" t="s">
        <v>81</v>
      </c>
      <c r="I550" s="31" t="s">
        <v>289</v>
      </c>
      <c r="J550" s="11" t="s">
        <v>670</v>
      </c>
      <c r="K550" s="11"/>
      <c r="L550" s="11" t="s">
        <v>671</v>
      </c>
    </row>
    <row r="551" spans="1:12" ht="15" customHeight="1" x14ac:dyDescent="0.25">
      <c r="A551" t="s">
        <v>675</v>
      </c>
      <c r="B551" s="63" t="s">
        <v>15</v>
      </c>
      <c r="C551" s="76" t="s">
        <v>587</v>
      </c>
      <c r="D551" s="65" t="s">
        <v>181</v>
      </c>
      <c r="E551" s="135" t="str">
        <f t="shared" si="8"/>
        <v>Sabonete em Barra Kaiak Corpo e Barba 1x90g Caixa</v>
      </c>
      <c r="F551" s="2" t="s">
        <v>676</v>
      </c>
      <c r="G551" s="130">
        <v>1</v>
      </c>
      <c r="H551" s="2" t="s">
        <v>81</v>
      </c>
      <c r="I551" s="31" t="s">
        <v>289</v>
      </c>
      <c r="J551" s="11" t="s">
        <v>677</v>
      </c>
      <c r="K551" s="11"/>
      <c r="L551" s="11" t="s">
        <v>678</v>
      </c>
    </row>
    <row r="552" spans="1:12" ht="15" customHeight="1" x14ac:dyDescent="0.25">
      <c r="B552" s="63" t="s">
        <v>15</v>
      </c>
      <c r="C552" s="76" t="s">
        <v>587</v>
      </c>
      <c r="D552" s="64" t="s">
        <v>679</v>
      </c>
      <c r="E552" s="135" t="str">
        <f t="shared" si="8"/>
        <v>Água gel Kaiak Feminino</v>
      </c>
      <c r="F552" s="2" t="s">
        <v>467</v>
      </c>
      <c r="G552" s="130"/>
      <c r="H552" s="2"/>
      <c r="I552" s="31"/>
      <c r="J552" s="2"/>
      <c r="K552" s="11"/>
      <c r="L552" s="11"/>
    </row>
    <row r="553" spans="1:12" ht="15" customHeight="1" x14ac:dyDescent="0.25">
      <c r="B553" s="63" t="s">
        <v>15</v>
      </c>
      <c r="C553" s="76" t="s">
        <v>587</v>
      </c>
      <c r="D553" s="65" t="s">
        <v>680</v>
      </c>
      <c r="E553" s="135" t="str">
        <f t="shared" si="8"/>
        <v>Hidratante Corporal Kaiak Aventura 300ml Frasco</v>
      </c>
      <c r="F553" s="2" t="s">
        <v>638</v>
      </c>
      <c r="G553" s="130"/>
      <c r="H553" s="2" t="s">
        <v>168</v>
      </c>
      <c r="I553" s="31" t="s">
        <v>33</v>
      </c>
      <c r="J553" s="11" t="s">
        <v>681</v>
      </c>
      <c r="K553" s="11"/>
      <c r="L553" s="11" t="s">
        <v>682</v>
      </c>
    </row>
    <row r="554" spans="1:12" ht="15" customHeight="1" x14ac:dyDescent="0.25">
      <c r="B554" s="63" t="s">
        <v>15</v>
      </c>
      <c r="C554" s="76" t="s">
        <v>587</v>
      </c>
      <c r="D554" s="65" t="s">
        <v>680</v>
      </c>
      <c r="E554" s="135" t="str">
        <f t="shared" si="8"/>
        <v>Hidratante Corporal Kaiak Masculino 300ml Frasco</v>
      </c>
      <c r="F554" s="2" t="s">
        <v>434</v>
      </c>
      <c r="G554" s="130"/>
      <c r="H554" s="2" t="s">
        <v>168</v>
      </c>
      <c r="I554" s="31" t="s">
        <v>33</v>
      </c>
      <c r="J554" s="11" t="s">
        <v>681</v>
      </c>
      <c r="K554" s="11"/>
      <c r="L554" s="11" t="s">
        <v>682</v>
      </c>
    </row>
    <row r="555" spans="1:12" ht="15" customHeight="1" x14ac:dyDescent="0.25">
      <c r="B555" s="63" t="s">
        <v>15</v>
      </c>
      <c r="C555" s="76" t="s">
        <v>587</v>
      </c>
      <c r="D555" s="65" t="s">
        <v>680</v>
      </c>
      <c r="E555" s="135" t="str">
        <f t="shared" si="8"/>
        <v>Hidratante Corporal Kaiak Vital 300ml Frasco</v>
      </c>
      <c r="F555" s="2" t="s">
        <v>672</v>
      </c>
      <c r="G555" s="130"/>
      <c r="H555" s="2" t="s">
        <v>168</v>
      </c>
      <c r="I555" s="31" t="s">
        <v>33</v>
      </c>
      <c r="J555" s="11" t="s">
        <v>681</v>
      </c>
      <c r="K555" s="11"/>
      <c r="L555" s="11" t="s">
        <v>682</v>
      </c>
    </row>
    <row r="556" spans="1:12" ht="15.75" customHeight="1" x14ac:dyDescent="0.25">
      <c r="B556" s="63" t="s">
        <v>15</v>
      </c>
      <c r="C556" s="77" t="s">
        <v>683</v>
      </c>
      <c r="D556" s="64" t="s">
        <v>344</v>
      </c>
      <c r="E556" s="135" t="str">
        <f t="shared" si="8"/>
        <v>Colonia Ilia Dual Feminino 50ml Frasco</v>
      </c>
      <c r="F556" s="123" t="s">
        <v>684</v>
      </c>
      <c r="G556" s="130"/>
      <c r="H556" s="2" t="s">
        <v>161</v>
      </c>
      <c r="I556" s="31" t="s">
        <v>33</v>
      </c>
      <c r="J556" s="152" t="s">
        <v>685</v>
      </c>
      <c r="K556" s="11"/>
      <c r="L556" s="11" t="s">
        <v>686</v>
      </c>
    </row>
    <row r="557" spans="1:12" x14ac:dyDescent="0.25">
      <c r="B557" s="63" t="s">
        <v>15</v>
      </c>
      <c r="C557" s="77" t="s">
        <v>683</v>
      </c>
      <c r="D557" s="64" t="s">
        <v>344</v>
      </c>
      <c r="E557" s="135" t="str">
        <f t="shared" si="8"/>
        <v>Colonia Ilia Completa Feminino 50ml Frasco</v>
      </c>
      <c r="F557" s="123" t="s">
        <v>687</v>
      </c>
      <c r="G557" s="130"/>
      <c r="H557" s="2" t="s">
        <v>161</v>
      </c>
      <c r="I557" s="31" t="s">
        <v>33</v>
      </c>
      <c r="J557" s="11" t="s">
        <v>688</v>
      </c>
      <c r="K557" s="11"/>
      <c r="L557" s="11" t="s">
        <v>686</v>
      </c>
    </row>
    <row r="558" spans="1:12" x14ac:dyDescent="0.25">
      <c r="B558" s="63" t="s">
        <v>15</v>
      </c>
      <c r="C558" s="77" t="s">
        <v>683</v>
      </c>
      <c r="D558" s="64" t="s">
        <v>344</v>
      </c>
      <c r="E558" s="135" t="str">
        <f t="shared" si="8"/>
        <v>Colonia Ilia Florescer Feminino 50ml Frasco</v>
      </c>
      <c r="F558" s="2" t="s">
        <v>689</v>
      </c>
      <c r="G558" s="130"/>
      <c r="H558" s="2" t="s">
        <v>161</v>
      </c>
      <c r="I558" s="31" t="s">
        <v>33</v>
      </c>
      <c r="J558" s="11" t="s">
        <v>690</v>
      </c>
      <c r="K558" s="11"/>
      <c r="L558" s="11" t="s">
        <v>686</v>
      </c>
    </row>
    <row r="559" spans="1:12" x14ac:dyDescent="0.25">
      <c r="B559" s="63" t="s">
        <v>15</v>
      </c>
      <c r="C559" s="77" t="s">
        <v>683</v>
      </c>
      <c r="D559" s="64" t="s">
        <v>344</v>
      </c>
      <c r="E559" s="135" t="str">
        <f t="shared" si="8"/>
        <v>Colonia Ilia Flor de Laranjeira Feminino 50ml Frasco</v>
      </c>
      <c r="F559" s="2" t="s">
        <v>691</v>
      </c>
      <c r="G559" s="130"/>
      <c r="H559" s="2" t="s">
        <v>161</v>
      </c>
      <c r="I559" s="31" t="s">
        <v>33</v>
      </c>
      <c r="J559" s="11" t="s">
        <v>692</v>
      </c>
      <c r="K559" s="11"/>
      <c r="L559" s="11" t="s">
        <v>686</v>
      </c>
    </row>
    <row r="560" spans="1:12" x14ac:dyDescent="0.25">
      <c r="B560" s="63" t="s">
        <v>15</v>
      </c>
      <c r="C560" s="77" t="s">
        <v>683</v>
      </c>
      <c r="D560" s="64" t="s">
        <v>344</v>
      </c>
      <c r="E560" s="135" t="str">
        <f t="shared" si="8"/>
        <v>Colonia Ilia Feminino 50ml Frasco</v>
      </c>
      <c r="F560" s="2" t="s">
        <v>467</v>
      </c>
      <c r="G560" s="130"/>
      <c r="H560" s="2" t="s">
        <v>161</v>
      </c>
      <c r="I560" s="31" t="s">
        <v>33</v>
      </c>
      <c r="J560" s="2" t="s">
        <v>693</v>
      </c>
      <c r="K560" s="11"/>
      <c r="L560" s="11" t="s">
        <v>686</v>
      </c>
    </row>
    <row r="561" spans="1:12" x14ac:dyDescent="0.25">
      <c r="B561" s="63" t="s">
        <v>15</v>
      </c>
      <c r="C561" s="77" t="s">
        <v>683</v>
      </c>
      <c r="D561" s="64" t="s">
        <v>344</v>
      </c>
      <c r="E561" s="135" t="str">
        <f t="shared" si="8"/>
        <v>Colonia Ilia Laços Feminino 50ml Frasco</v>
      </c>
      <c r="F561" s="123" t="s">
        <v>694</v>
      </c>
      <c r="G561" s="130"/>
      <c r="H561" s="2" t="s">
        <v>161</v>
      </c>
      <c r="I561" s="31" t="s">
        <v>33</v>
      </c>
      <c r="J561" s="11" t="s">
        <v>695</v>
      </c>
      <c r="K561" s="11"/>
      <c r="L561" s="11" t="s">
        <v>686</v>
      </c>
    </row>
    <row r="562" spans="1:12" x14ac:dyDescent="0.25">
      <c r="B562" s="63" t="s">
        <v>15</v>
      </c>
      <c r="C562" s="77" t="s">
        <v>683</v>
      </c>
      <c r="D562" s="64" t="s">
        <v>344</v>
      </c>
      <c r="E562" s="135" t="str">
        <f t="shared" si="8"/>
        <v>Colonia Ilia Plena Feminino 50ml Frasco</v>
      </c>
      <c r="F562" s="2" t="s">
        <v>696</v>
      </c>
      <c r="G562" s="130"/>
      <c r="H562" s="2" t="s">
        <v>161</v>
      </c>
      <c r="I562" s="31" t="s">
        <v>33</v>
      </c>
      <c r="J562" s="11" t="s">
        <v>697</v>
      </c>
      <c r="K562" s="11"/>
      <c r="L562" s="11" t="s">
        <v>686</v>
      </c>
    </row>
    <row r="563" spans="1:12" x14ac:dyDescent="0.25">
      <c r="B563" s="63" t="s">
        <v>15</v>
      </c>
      <c r="C563" s="77" t="s">
        <v>683</v>
      </c>
      <c r="D563" s="64" t="s">
        <v>344</v>
      </c>
      <c r="E563" s="135" t="str">
        <f t="shared" si="8"/>
        <v>Colonia Ilia Ser Feminino 50ml Frasco</v>
      </c>
      <c r="F563" s="2" t="s">
        <v>698</v>
      </c>
      <c r="G563" s="130"/>
      <c r="H563" s="2" t="s">
        <v>161</v>
      </c>
      <c r="I563" s="31" t="s">
        <v>33</v>
      </c>
      <c r="J563" s="146" t="s">
        <v>699</v>
      </c>
      <c r="K563" s="11"/>
      <c r="L563" s="11" t="s">
        <v>686</v>
      </c>
    </row>
    <row r="564" spans="1:12" x14ac:dyDescent="0.25">
      <c r="B564" s="63" t="s">
        <v>15</v>
      </c>
      <c r="C564" s="77" t="s">
        <v>683</v>
      </c>
      <c r="D564" s="64" t="s">
        <v>344</v>
      </c>
      <c r="E564" s="135" t="str">
        <f t="shared" si="8"/>
        <v>Colonia Ilia Secreto Feminino 50ml Frasco</v>
      </c>
      <c r="F564" s="2" t="s">
        <v>700</v>
      </c>
      <c r="G564" s="130"/>
      <c r="H564" s="2" t="s">
        <v>161</v>
      </c>
      <c r="I564" s="31" t="s">
        <v>33</v>
      </c>
      <c r="J564" s="11" t="s">
        <v>701</v>
      </c>
      <c r="K564" s="11"/>
      <c r="L564" s="11" t="s">
        <v>686</v>
      </c>
    </row>
    <row r="565" spans="1:12" x14ac:dyDescent="0.25">
      <c r="B565" s="63" t="s">
        <v>15</v>
      </c>
      <c r="C565" s="77" t="s">
        <v>683</v>
      </c>
      <c r="D565" s="64" t="s">
        <v>344</v>
      </c>
      <c r="E565" s="135" t="str">
        <f t="shared" si="8"/>
        <v>Colonia Ilia Viver Feminino 50ml Frasco</v>
      </c>
      <c r="F565" s="2" t="s">
        <v>702</v>
      </c>
      <c r="G565" s="130"/>
      <c r="H565" s="2" t="s">
        <v>161</v>
      </c>
      <c r="I565" s="31" t="s">
        <v>33</v>
      </c>
      <c r="J565" s="11" t="s">
        <v>703</v>
      </c>
      <c r="K565" s="11"/>
      <c r="L565" s="11" t="s">
        <v>686</v>
      </c>
    </row>
    <row r="566" spans="1:12" x14ac:dyDescent="0.25">
      <c r="B566" s="63" t="s">
        <v>15</v>
      </c>
      <c r="C566" s="77" t="s">
        <v>683</v>
      </c>
      <c r="D566" s="65" t="s">
        <v>704</v>
      </c>
      <c r="E566" s="135" t="str">
        <f t="shared" si="8"/>
        <v>Creme Hidrante Desodorante Perfumado Ilia Completa 80ml Frasco</v>
      </c>
      <c r="F566" s="123" t="s">
        <v>705</v>
      </c>
      <c r="G566" s="130"/>
      <c r="H566" s="2" t="s">
        <v>584</v>
      </c>
      <c r="I566" s="31" t="s">
        <v>33</v>
      </c>
      <c r="J566" s="11" t="s">
        <v>706</v>
      </c>
      <c r="K566" s="11"/>
      <c r="L566" s="11"/>
    </row>
    <row r="567" spans="1:12" x14ac:dyDescent="0.25">
      <c r="B567" s="63" t="s">
        <v>15</v>
      </c>
      <c r="C567" s="77" t="s">
        <v>683</v>
      </c>
      <c r="D567" s="65" t="s">
        <v>704</v>
      </c>
      <c r="E567" s="135" t="str">
        <f t="shared" si="8"/>
        <v>Creme Hidrante Desodorante Perfumado Ilia Feminino 80ml Frasco</v>
      </c>
      <c r="F567" s="2" t="s">
        <v>467</v>
      </c>
      <c r="G567" s="130"/>
      <c r="H567" s="2" t="s">
        <v>584</v>
      </c>
      <c r="I567" s="31" t="s">
        <v>33</v>
      </c>
      <c r="J567" s="11" t="s">
        <v>706</v>
      </c>
      <c r="K567" s="11"/>
      <c r="L567" s="11"/>
    </row>
    <row r="568" spans="1:12" x14ac:dyDescent="0.25">
      <c r="B568" s="63" t="s">
        <v>15</v>
      </c>
      <c r="C568" s="77" t="s">
        <v>683</v>
      </c>
      <c r="D568" s="65" t="s">
        <v>704</v>
      </c>
      <c r="E568" s="135" t="str">
        <f t="shared" si="8"/>
        <v>Creme Hidrante Desodorante Perfumado Ilia Secreto 80ml Frasco</v>
      </c>
      <c r="F568" s="2" t="s">
        <v>707</v>
      </c>
      <c r="G568" s="130"/>
      <c r="H568" s="2" t="s">
        <v>584</v>
      </c>
      <c r="I568" s="31" t="s">
        <v>33</v>
      </c>
      <c r="J568" s="11" t="s">
        <v>706</v>
      </c>
      <c r="K568" s="11"/>
      <c r="L568" s="11"/>
    </row>
    <row r="569" spans="1:12" x14ac:dyDescent="0.25">
      <c r="B569" s="63" t="s">
        <v>15</v>
      </c>
      <c r="C569" s="77" t="s">
        <v>683</v>
      </c>
      <c r="D569" s="65" t="s">
        <v>704</v>
      </c>
      <c r="E569" s="135" t="str">
        <f t="shared" si="8"/>
        <v>Creme Hidrante Desodorante Perfumado Ilia Ser 80ml Frasco</v>
      </c>
      <c r="F569" s="2" t="s">
        <v>708</v>
      </c>
      <c r="G569" s="130"/>
      <c r="H569" s="2" t="s">
        <v>584</v>
      </c>
      <c r="I569" s="31" t="s">
        <v>33</v>
      </c>
      <c r="J569" s="11" t="s">
        <v>706</v>
      </c>
      <c r="K569" s="11"/>
      <c r="L569" s="11"/>
    </row>
    <row r="570" spans="1:12" x14ac:dyDescent="0.25">
      <c r="B570" s="63" t="s">
        <v>15</v>
      </c>
      <c r="C570" s="77" t="s">
        <v>683</v>
      </c>
      <c r="D570" s="64" t="s">
        <v>183</v>
      </c>
      <c r="E570" s="135" t="str">
        <f t="shared" si="8"/>
        <v>Sabonete em Barra Ilia Feminino 2x90g Caixa</v>
      </c>
      <c r="F570" s="2" t="s">
        <v>467</v>
      </c>
      <c r="G570" s="130">
        <v>2</v>
      </c>
      <c r="H570" s="2" t="s">
        <v>81</v>
      </c>
      <c r="I570" s="31" t="s">
        <v>289</v>
      </c>
      <c r="J570" s="2" t="s">
        <v>709</v>
      </c>
      <c r="K570" s="11"/>
      <c r="L570" s="11"/>
    </row>
    <row r="571" spans="1:12" x14ac:dyDescent="0.25">
      <c r="B571" s="63" t="s">
        <v>15</v>
      </c>
      <c r="C571" s="77" t="s">
        <v>683</v>
      </c>
      <c r="D571" s="64" t="s">
        <v>183</v>
      </c>
      <c r="E571" s="135" t="str">
        <f t="shared" si="8"/>
        <v>Sabonete em Barra Ilia Secreto 2x90g Caixa</v>
      </c>
      <c r="F571" s="2" t="s">
        <v>707</v>
      </c>
      <c r="G571" s="130">
        <v>2</v>
      </c>
      <c r="H571" s="2" t="s">
        <v>81</v>
      </c>
      <c r="I571" s="31" t="s">
        <v>289</v>
      </c>
      <c r="J571" s="2" t="s">
        <v>709</v>
      </c>
      <c r="K571" s="11"/>
      <c r="L571" s="11"/>
    </row>
    <row r="572" spans="1:12" x14ac:dyDescent="0.25">
      <c r="A572" t="s">
        <v>710</v>
      </c>
      <c r="B572" s="63" t="s">
        <v>15</v>
      </c>
      <c r="C572" s="77" t="s">
        <v>683</v>
      </c>
      <c r="D572" s="64" t="s">
        <v>183</v>
      </c>
      <c r="E572" s="135" t="str">
        <f t="shared" si="8"/>
        <v>Sabonete em Barra Ilia Sortido 3x90g Caixa</v>
      </c>
      <c r="F572" s="2" t="s">
        <v>711</v>
      </c>
      <c r="G572" s="130">
        <v>3</v>
      </c>
      <c r="H572" s="2" t="s">
        <v>81</v>
      </c>
      <c r="I572" s="31" t="s">
        <v>289</v>
      </c>
      <c r="J572" s="2" t="s">
        <v>709</v>
      </c>
      <c r="K572" s="11"/>
      <c r="L572" s="11"/>
    </row>
    <row r="573" spans="1:12" ht="15" customHeight="1" x14ac:dyDescent="0.25">
      <c r="B573" s="63" t="s">
        <v>15</v>
      </c>
      <c r="C573" s="78" t="s">
        <v>712</v>
      </c>
      <c r="D573" s="64" t="s">
        <v>713</v>
      </c>
      <c r="E573" s="135" t="str">
        <f t="shared" si="8"/>
        <v>Colonia Feminina Kriska Drama 100ml Frasco</v>
      </c>
      <c r="F573" s="123" t="s">
        <v>714</v>
      </c>
      <c r="G573" s="130"/>
      <c r="H573" s="2" t="s">
        <v>135</v>
      </c>
      <c r="I573" s="31" t="s">
        <v>33</v>
      </c>
      <c r="J573" s="11" t="s">
        <v>715</v>
      </c>
      <c r="K573" s="11"/>
      <c r="L573" s="11" t="s">
        <v>716</v>
      </c>
    </row>
    <row r="574" spans="1:12" ht="15" customHeight="1" x14ac:dyDescent="0.25">
      <c r="B574" s="63" t="s">
        <v>15</v>
      </c>
      <c r="C574" s="78" t="s">
        <v>712</v>
      </c>
      <c r="D574" s="64" t="s">
        <v>713</v>
      </c>
      <c r="E574" s="135" t="str">
        <f t="shared" si="8"/>
        <v>Colonia Feminina Kriska Jeans 100ml Frasco</v>
      </c>
      <c r="F574" s="123" t="s">
        <v>717</v>
      </c>
      <c r="G574" s="130"/>
      <c r="H574" s="2" t="s">
        <v>135</v>
      </c>
      <c r="I574" s="31" t="s">
        <v>33</v>
      </c>
      <c r="J574" s="11" t="s">
        <v>718</v>
      </c>
      <c r="K574" s="11"/>
      <c r="L574" s="11" t="s">
        <v>716</v>
      </c>
    </row>
    <row r="575" spans="1:12" ht="15" customHeight="1" x14ac:dyDescent="0.25">
      <c r="B575" s="63" t="s">
        <v>15</v>
      </c>
      <c r="C575" s="78" t="s">
        <v>712</v>
      </c>
      <c r="D575" s="64" t="s">
        <v>713</v>
      </c>
      <c r="E575" s="135" t="str">
        <f t="shared" si="8"/>
        <v>Colonia Feminina Kriska Feminino 100ml Frasco</v>
      </c>
      <c r="F575" s="120" t="s">
        <v>467</v>
      </c>
      <c r="G575" s="130"/>
      <c r="H575" s="2" t="s">
        <v>135</v>
      </c>
      <c r="I575" s="31" t="s">
        <v>33</v>
      </c>
      <c r="J575" s="11" t="s">
        <v>719</v>
      </c>
      <c r="K575" s="11"/>
      <c r="L575" s="11" t="s">
        <v>716</v>
      </c>
    </row>
    <row r="576" spans="1:12" ht="15" customHeight="1" x14ac:dyDescent="0.25">
      <c r="B576" s="63" t="s">
        <v>15</v>
      </c>
      <c r="C576" s="78" t="s">
        <v>712</v>
      </c>
      <c r="D576" s="64" t="s">
        <v>713</v>
      </c>
      <c r="E576" s="135" t="str">
        <f t="shared" si="8"/>
        <v>Colonia Feminina Kriska Romance 100ml Frasco</v>
      </c>
      <c r="F576" s="120" t="s">
        <v>720</v>
      </c>
      <c r="G576" s="130"/>
      <c r="H576" s="2" t="s">
        <v>135</v>
      </c>
      <c r="I576" s="31" t="s">
        <v>33</v>
      </c>
      <c r="J576" s="11" t="s">
        <v>721</v>
      </c>
      <c r="K576" s="11"/>
      <c r="L576" s="11" t="s">
        <v>716</v>
      </c>
    </row>
    <row r="577" spans="1:12" ht="15" customHeight="1" x14ac:dyDescent="0.25">
      <c r="B577" s="63" t="s">
        <v>15</v>
      </c>
      <c r="C577" s="78" t="s">
        <v>712</v>
      </c>
      <c r="D577" s="64" t="s">
        <v>713</v>
      </c>
      <c r="E577" s="135" t="str">
        <f t="shared" si="8"/>
        <v>Colonia Feminina Kriska Shock 100ml Frasco</v>
      </c>
      <c r="F577" s="2" t="s">
        <v>722</v>
      </c>
      <c r="G577" s="130"/>
      <c r="H577" s="2" t="s">
        <v>135</v>
      </c>
      <c r="I577" s="31" t="s">
        <v>33</v>
      </c>
      <c r="J577" s="11" t="s">
        <v>723</v>
      </c>
      <c r="K577" s="11"/>
      <c r="L577" s="11" t="s">
        <v>716</v>
      </c>
    </row>
    <row r="578" spans="1:12" ht="15" customHeight="1" x14ac:dyDescent="0.25">
      <c r="B578" s="63" t="s">
        <v>15</v>
      </c>
      <c r="C578" s="78" t="s">
        <v>712</v>
      </c>
      <c r="D578" s="64" t="s">
        <v>183</v>
      </c>
      <c r="E578" s="135" t="str">
        <f t="shared" ref="E578:E611" si="9">TRIM(CONCATENATE(D578, " ", C578, " ", F578, " ", IF(G578&gt;0, G578 &amp; "x" &amp; H578, H578), " ", I578))</f>
        <v>Sabonete em Barra Kriska Jeans 2x90g Caixa</v>
      </c>
      <c r="F578" s="123" t="s">
        <v>717</v>
      </c>
      <c r="G578" s="130">
        <v>2</v>
      </c>
      <c r="H578" s="130" t="s">
        <v>81</v>
      </c>
      <c r="I578" s="31" t="s">
        <v>289</v>
      </c>
      <c r="J578" s="2" t="s">
        <v>709</v>
      </c>
      <c r="K578" s="11"/>
      <c r="L578" s="11"/>
    </row>
    <row r="579" spans="1:12" ht="15" customHeight="1" x14ac:dyDescent="0.25">
      <c r="B579" s="63" t="s">
        <v>15</v>
      </c>
      <c r="C579" s="78" t="s">
        <v>712</v>
      </c>
      <c r="D579" s="64" t="s">
        <v>183</v>
      </c>
      <c r="E579" s="135" t="str">
        <f t="shared" si="9"/>
        <v>Sabonete em Barra Kriska Feminino 1x90g Caixa</v>
      </c>
      <c r="F579" s="120" t="s">
        <v>467</v>
      </c>
      <c r="G579" s="130">
        <v>1</v>
      </c>
      <c r="H579" s="130" t="s">
        <v>81</v>
      </c>
      <c r="I579" s="31" t="s">
        <v>289</v>
      </c>
      <c r="J579" s="2" t="s">
        <v>709</v>
      </c>
      <c r="K579" s="11"/>
      <c r="L579" s="11"/>
    </row>
    <row r="580" spans="1:12" s="10" customFormat="1" ht="15" customHeight="1" x14ac:dyDescent="0.25">
      <c r="B580" s="63" t="s">
        <v>15</v>
      </c>
      <c r="C580" s="78" t="s">
        <v>712</v>
      </c>
      <c r="D580" s="100" t="s">
        <v>724</v>
      </c>
      <c r="E580" s="135" t="str">
        <f t="shared" si="9"/>
        <v>Sabonete Liquido Kriska Drama 125ml Frasco</v>
      </c>
      <c r="F580" s="123" t="s">
        <v>714</v>
      </c>
      <c r="G580" s="130"/>
      <c r="H580" s="54" t="s">
        <v>644</v>
      </c>
      <c r="I580" s="36" t="s">
        <v>33</v>
      </c>
      <c r="J580" s="9" t="s">
        <v>725</v>
      </c>
      <c r="K580" s="171"/>
      <c r="L580" s="171">
        <v>40</v>
      </c>
    </row>
    <row r="581" spans="1:12" s="10" customFormat="1" ht="15" customHeight="1" x14ac:dyDescent="0.25">
      <c r="B581" s="63" t="s">
        <v>15</v>
      </c>
      <c r="C581" s="78" t="s">
        <v>712</v>
      </c>
      <c r="D581" s="100" t="s">
        <v>724</v>
      </c>
      <c r="E581" s="135" t="str">
        <f t="shared" si="9"/>
        <v>Sabonete Liquido Kriska Feminino 125ml Frasco</v>
      </c>
      <c r="F581" s="120" t="s">
        <v>467</v>
      </c>
      <c r="G581" s="130"/>
      <c r="H581" s="54" t="s">
        <v>644</v>
      </c>
      <c r="I581" s="36" t="s">
        <v>33</v>
      </c>
      <c r="J581" s="9" t="s">
        <v>725</v>
      </c>
      <c r="K581" s="171"/>
      <c r="L581" s="171">
        <v>40</v>
      </c>
    </row>
    <row r="582" spans="1:12" s="10" customFormat="1" ht="15" customHeight="1" x14ac:dyDescent="0.25">
      <c r="B582" s="63" t="s">
        <v>15</v>
      </c>
      <c r="C582" s="78" t="s">
        <v>712</v>
      </c>
      <c r="D582" s="68" t="s">
        <v>726</v>
      </c>
      <c r="E582" s="135" t="str">
        <f t="shared" si="9"/>
        <v>Hidratante Corporal Perfumado Kriska Drama 125ml Frasco</v>
      </c>
      <c r="F582" s="123" t="s">
        <v>714</v>
      </c>
      <c r="G582" s="130"/>
      <c r="H582" s="54" t="s">
        <v>644</v>
      </c>
      <c r="I582" s="36" t="s">
        <v>33</v>
      </c>
      <c r="J582" s="11" t="s">
        <v>706</v>
      </c>
      <c r="K582" s="11"/>
      <c r="L582" s="11"/>
    </row>
    <row r="583" spans="1:12" s="10" customFormat="1" ht="15" customHeight="1" x14ac:dyDescent="0.25">
      <c r="B583" s="63" t="s">
        <v>15</v>
      </c>
      <c r="C583" s="78" t="s">
        <v>712</v>
      </c>
      <c r="D583" s="68" t="s">
        <v>726</v>
      </c>
      <c r="E583" s="135" t="str">
        <f t="shared" si="9"/>
        <v>Hidratante Corporal Perfumado Kriska Jeans 125ml Frasco</v>
      </c>
      <c r="F583" s="123" t="s">
        <v>717</v>
      </c>
      <c r="G583" s="130"/>
      <c r="H583" s="54" t="s">
        <v>644</v>
      </c>
      <c r="I583" s="36" t="s">
        <v>33</v>
      </c>
      <c r="J583" s="11" t="s">
        <v>706</v>
      </c>
      <c r="K583" s="11"/>
      <c r="L583" s="11"/>
    </row>
    <row r="584" spans="1:12" s="10" customFormat="1" ht="15" customHeight="1" x14ac:dyDescent="0.25">
      <c r="B584" s="63" t="s">
        <v>15</v>
      </c>
      <c r="C584" s="78" t="s">
        <v>712</v>
      </c>
      <c r="D584" s="68" t="s">
        <v>726</v>
      </c>
      <c r="E584" s="135" t="str">
        <f t="shared" si="9"/>
        <v>Hidratante Corporal Perfumado Kriska Feminino 125ml Frasco</v>
      </c>
      <c r="F584" s="120" t="s">
        <v>467</v>
      </c>
      <c r="G584" s="130"/>
      <c r="H584" s="54" t="s">
        <v>644</v>
      </c>
      <c r="I584" s="36" t="s">
        <v>33</v>
      </c>
      <c r="J584" s="11" t="s">
        <v>706</v>
      </c>
      <c r="K584" s="11"/>
      <c r="L584" s="11"/>
    </row>
    <row r="585" spans="1:12" s="10" customFormat="1" ht="15" customHeight="1" x14ac:dyDescent="0.25">
      <c r="B585" s="63" t="s">
        <v>15</v>
      </c>
      <c r="C585" s="78" t="s">
        <v>712</v>
      </c>
      <c r="D585" s="68" t="s">
        <v>726</v>
      </c>
      <c r="E585" s="135" t="str">
        <f t="shared" si="9"/>
        <v>Hidratante Corporal Perfumado Kriska Shock 125ml Frasco</v>
      </c>
      <c r="F585" s="2" t="s">
        <v>722</v>
      </c>
      <c r="G585" s="130"/>
      <c r="H585" s="54" t="s">
        <v>644</v>
      </c>
      <c r="I585" s="36" t="s">
        <v>33</v>
      </c>
      <c r="J585" s="11" t="s">
        <v>706</v>
      </c>
      <c r="K585" s="11"/>
      <c r="L585" s="11"/>
    </row>
    <row r="586" spans="1:12" s="10" customFormat="1" ht="15" customHeight="1" x14ac:dyDescent="0.25">
      <c r="B586" s="63" t="s">
        <v>15</v>
      </c>
      <c r="C586" s="78" t="s">
        <v>712</v>
      </c>
      <c r="D586" s="68" t="s">
        <v>71</v>
      </c>
      <c r="E586" s="135" t="str">
        <f t="shared" si="9"/>
        <v>Oleo Corporal Kriska Shock 150ml Frasco</v>
      </c>
      <c r="F586" s="2" t="s">
        <v>722</v>
      </c>
      <c r="G586" s="130"/>
      <c r="H586" s="9" t="s">
        <v>334</v>
      </c>
      <c r="I586" s="36" t="s">
        <v>33</v>
      </c>
      <c r="J586" s="9" t="s">
        <v>727</v>
      </c>
      <c r="K586" s="20"/>
      <c r="L586" s="20" t="s">
        <v>728</v>
      </c>
    </row>
    <row r="587" spans="1:12" ht="15" customHeight="1" x14ac:dyDescent="0.25">
      <c r="B587" s="63" t="s">
        <v>15</v>
      </c>
      <c r="C587" s="78" t="s">
        <v>712</v>
      </c>
      <c r="D587" s="64" t="s">
        <v>729</v>
      </c>
      <c r="E587" s="135" t="str">
        <f t="shared" si="9"/>
        <v>Desodorante Corporal Perfumado Kriska Drama 100ml Frasco</v>
      </c>
      <c r="F587" s="123" t="s">
        <v>714</v>
      </c>
      <c r="G587" s="130"/>
      <c r="H587" s="2" t="s">
        <v>371</v>
      </c>
      <c r="I587" s="31" t="s">
        <v>33</v>
      </c>
      <c r="J587" s="11" t="s">
        <v>654</v>
      </c>
      <c r="K587" s="11"/>
      <c r="L587" s="11" t="s">
        <v>665</v>
      </c>
    </row>
    <row r="588" spans="1:12" ht="15" customHeight="1" x14ac:dyDescent="0.25">
      <c r="B588" s="63" t="s">
        <v>15</v>
      </c>
      <c r="C588" s="78" t="s">
        <v>712</v>
      </c>
      <c r="D588" s="64" t="s">
        <v>729</v>
      </c>
      <c r="E588" s="135" t="str">
        <f t="shared" si="9"/>
        <v>Desodorante Corporal Perfumado Kriska Drama 100ml Frasco</v>
      </c>
      <c r="F588" s="123" t="s">
        <v>714</v>
      </c>
      <c r="G588" s="130"/>
      <c r="H588" s="2" t="s">
        <v>371</v>
      </c>
      <c r="I588" s="31" t="s">
        <v>33</v>
      </c>
      <c r="J588" s="11" t="s">
        <v>654</v>
      </c>
      <c r="K588" s="11"/>
      <c r="L588" s="11" t="s">
        <v>665</v>
      </c>
    </row>
    <row r="589" spans="1:12" ht="15" customHeight="1" x14ac:dyDescent="0.25">
      <c r="B589" s="63" t="s">
        <v>15</v>
      </c>
      <c r="C589" s="78" t="s">
        <v>712</v>
      </c>
      <c r="D589" s="64" t="s">
        <v>729</v>
      </c>
      <c r="E589" s="135" t="str">
        <f t="shared" si="9"/>
        <v>Desodorante Corporal Perfumado Kriska Feminino 100ml Frasco</v>
      </c>
      <c r="F589" s="120" t="s">
        <v>467</v>
      </c>
      <c r="G589" s="130"/>
      <c r="H589" s="2" t="s">
        <v>371</v>
      </c>
      <c r="I589" s="31" t="s">
        <v>33</v>
      </c>
      <c r="J589" s="11" t="s">
        <v>654</v>
      </c>
      <c r="K589" s="11"/>
      <c r="L589" s="11" t="s">
        <v>665</v>
      </c>
    </row>
    <row r="590" spans="1:12" ht="15" customHeight="1" x14ac:dyDescent="0.25">
      <c r="B590" s="63" t="s">
        <v>15</v>
      </c>
      <c r="C590" s="78" t="s">
        <v>712</v>
      </c>
      <c r="D590" s="64" t="s">
        <v>729</v>
      </c>
      <c r="E590" s="135" t="str">
        <f t="shared" si="9"/>
        <v>Desodorante Corporal Perfumado Kriska Shock 100ml Frasco</v>
      </c>
      <c r="F590" s="2" t="s">
        <v>730</v>
      </c>
      <c r="G590" s="130"/>
      <c r="H590" s="2" t="s">
        <v>371</v>
      </c>
      <c r="I590" s="31" t="s">
        <v>33</v>
      </c>
      <c r="J590" s="11" t="s">
        <v>654</v>
      </c>
      <c r="K590" s="11"/>
      <c r="L590" s="11" t="s">
        <v>665</v>
      </c>
    </row>
    <row r="591" spans="1:12" ht="15" customHeight="1" x14ac:dyDescent="0.25">
      <c r="A591" t="s">
        <v>731</v>
      </c>
      <c r="B591" s="63" t="s">
        <v>15</v>
      </c>
      <c r="C591" s="79" t="s">
        <v>732</v>
      </c>
      <c r="D591" s="65" t="s">
        <v>429</v>
      </c>
      <c r="E591" s="135" t="str">
        <f t="shared" si="9"/>
        <v>Deo Parfum Homem Essence 25ml Miniatura</v>
      </c>
      <c r="F591" s="2" t="s">
        <v>733</v>
      </c>
      <c r="G591" s="130"/>
      <c r="H591" s="2" t="s">
        <v>530</v>
      </c>
      <c r="I591" s="31" t="s">
        <v>531</v>
      </c>
      <c r="J591" s="123" t="s">
        <v>734</v>
      </c>
      <c r="K591" s="2"/>
      <c r="L591" s="2" t="s">
        <v>735</v>
      </c>
    </row>
    <row r="592" spans="1:12" ht="15" customHeight="1" x14ac:dyDescent="0.25">
      <c r="B592" s="63" t="s">
        <v>15</v>
      </c>
      <c r="C592" s="79" t="s">
        <v>732</v>
      </c>
      <c r="D592" s="65" t="s">
        <v>429</v>
      </c>
      <c r="E592" s="135" t="str">
        <f t="shared" si="9"/>
        <v>Deo Parfum Homem Meninos Infantil 25ml Miniatura</v>
      </c>
      <c r="F592" s="2" t="s">
        <v>736</v>
      </c>
      <c r="G592" s="130"/>
      <c r="H592" s="94" t="s">
        <v>530</v>
      </c>
      <c r="I592" s="31" t="s">
        <v>531</v>
      </c>
      <c r="J592" s="2" t="s">
        <v>737</v>
      </c>
      <c r="K592" s="2"/>
      <c r="L592" s="2" t="s">
        <v>735</v>
      </c>
    </row>
    <row r="593" spans="1:12" ht="15" customHeight="1" x14ac:dyDescent="0.25">
      <c r="B593" s="63" t="s">
        <v>15</v>
      </c>
      <c r="C593" s="79" t="s">
        <v>732</v>
      </c>
      <c r="D593" s="65" t="s">
        <v>429</v>
      </c>
      <c r="E593" s="135" t="str">
        <f t="shared" si="9"/>
        <v>Deo Parfum Homem Aromaticos 100ml Frasco</v>
      </c>
      <c r="F593" s="2" t="s">
        <v>738</v>
      </c>
      <c r="G593" s="130"/>
      <c r="H593" s="2" t="s">
        <v>371</v>
      </c>
      <c r="I593" s="31" t="s">
        <v>33</v>
      </c>
      <c r="J593" s="2" t="s">
        <v>739</v>
      </c>
      <c r="K593" s="2"/>
      <c r="L593" s="2" t="s">
        <v>740</v>
      </c>
    </row>
    <row r="594" spans="1:12" ht="15" customHeight="1" x14ac:dyDescent="0.25">
      <c r="B594" s="63" t="s">
        <v>15</v>
      </c>
      <c r="C594" s="79" t="s">
        <v>732</v>
      </c>
      <c r="D594" s="65" t="s">
        <v>429</v>
      </c>
      <c r="E594" s="135" t="str">
        <f t="shared" si="9"/>
        <v>Deo Parfum Homem Dom 100ml Frasco</v>
      </c>
      <c r="F594" s="2" t="s">
        <v>741</v>
      </c>
      <c r="G594" s="130"/>
      <c r="H594" s="2" t="s">
        <v>371</v>
      </c>
      <c r="I594" s="31" t="s">
        <v>33</v>
      </c>
      <c r="J594" s="2" t="s">
        <v>742</v>
      </c>
      <c r="K594" s="2"/>
      <c r="L594" s="2" t="s">
        <v>740</v>
      </c>
    </row>
    <row r="595" spans="1:12" ht="15" customHeight="1" x14ac:dyDescent="0.25">
      <c r="B595" s="63" t="s">
        <v>15</v>
      </c>
      <c r="C595" s="79" t="s">
        <v>732</v>
      </c>
      <c r="D595" s="65" t="s">
        <v>429</v>
      </c>
      <c r="E595" s="135" t="str">
        <f t="shared" si="9"/>
        <v>Deo Parfum Homem Elo 100ml Frasco</v>
      </c>
      <c r="F595" s="21" t="s">
        <v>743</v>
      </c>
      <c r="G595" s="130"/>
      <c r="H595" s="2" t="s">
        <v>371</v>
      </c>
      <c r="I595" s="31" t="s">
        <v>33</v>
      </c>
      <c r="J595" s="2" t="s">
        <v>744</v>
      </c>
      <c r="K595" s="2"/>
      <c r="L595" s="2" t="s">
        <v>740</v>
      </c>
    </row>
    <row r="596" spans="1:12" ht="15" customHeight="1" x14ac:dyDescent="0.25">
      <c r="B596" s="63" t="s">
        <v>15</v>
      </c>
      <c r="C596" s="79" t="s">
        <v>732</v>
      </c>
      <c r="D596" s="65" t="s">
        <v>429</v>
      </c>
      <c r="E596" s="135" t="str">
        <f t="shared" si="9"/>
        <v>Deo Parfum Homem Essence 100ml Frasco</v>
      </c>
      <c r="F596" s="2" t="s">
        <v>733</v>
      </c>
      <c r="G596" s="130"/>
      <c r="H596" s="2" t="s">
        <v>371</v>
      </c>
      <c r="I596" s="31" t="s">
        <v>33</v>
      </c>
      <c r="J596" s="2" t="s">
        <v>745</v>
      </c>
      <c r="K596" s="2"/>
      <c r="L596" s="2" t="s">
        <v>740</v>
      </c>
    </row>
    <row r="597" spans="1:12" ht="15" customHeight="1" x14ac:dyDescent="0.25">
      <c r="B597" s="63" t="s">
        <v>15</v>
      </c>
      <c r="C597" s="79" t="s">
        <v>732</v>
      </c>
      <c r="D597" s="65" t="s">
        <v>429</v>
      </c>
      <c r="E597" s="135" t="str">
        <f t="shared" si="9"/>
        <v>Deo Parfum Homem Masculino 100ml Frasco</v>
      </c>
      <c r="F597" s="136" t="s">
        <v>524</v>
      </c>
      <c r="G597" s="130"/>
      <c r="H597" s="2" t="s">
        <v>371</v>
      </c>
      <c r="I597" s="31" t="s">
        <v>33</v>
      </c>
      <c r="J597" s="2" t="s">
        <v>746</v>
      </c>
      <c r="K597" s="2"/>
      <c r="L597" s="2" t="s">
        <v>740</v>
      </c>
    </row>
    <row r="598" spans="1:12" ht="15" customHeight="1" x14ac:dyDescent="0.25">
      <c r="B598" s="63" t="s">
        <v>15</v>
      </c>
      <c r="C598" s="79" t="s">
        <v>732</v>
      </c>
      <c r="D598" s="65" t="s">
        <v>429</v>
      </c>
      <c r="E598" s="135" t="str">
        <f t="shared" si="9"/>
        <v>Deo Parfum Homem Madeira 100ml Frasco</v>
      </c>
      <c r="F598" s="136" t="s">
        <v>747</v>
      </c>
      <c r="G598" s="130"/>
      <c r="H598" s="2" t="s">
        <v>371</v>
      </c>
      <c r="I598" s="31" t="s">
        <v>33</v>
      </c>
      <c r="J598" s="2" t="s">
        <v>748</v>
      </c>
      <c r="K598" s="2"/>
      <c r="L598" s="2" t="s">
        <v>740</v>
      </c>
    </row>
    <row r="599" spans="1:12" ht="15" customHeight="1" x14ac:dyDescent="0.25">
      <c r="B599" s="63" t="s">
        <v>15</v>
      </c>
      <c r="C599" s="79" t="s">
        <v>732</v>
      </c>
      <c r="D599" s="65" t="s">
        <v>429</v>
      </c>
      <c r="E599" s="135" t="str">
        <f t="shared" si="9"/>
        <v>Deo Parfum Homem Nós 100ml Frasco</v>
      </c>
      <c r="F599" s="2" t="s">
        <v>749</v>
      </c>
      <c r="G599" s="130"/>
      <c r="H599" s="2" t="s">
        <v>371</v>
      </c>
      <c r="I599" s="31" t="s">
        <v>33</v>
      </c>
      <c r="J599" s="2" t="s">
        <v>750</v>
      </c>
      <c r="K599" s="2"/>
      <c r="L599" s="2" t="s">
        <v>740</v>
      </c>
    </row>
    <row r="600" spans="1:12" ht="15" customHeight="1" x14ac:dyDescent="0.25">
      <c r="B600" s="63" t="s">
        <v>15</v>
      </c>
      <c r="C600" s="79" t="s">
        <v>732</v>
      </c>
      <c r="D600" s="65" t="s">
        <v>429</v>
      </c>
      <c r="E600" s="135" t="str">
        <f t="shared" si="9"/>
        <v>Deo Parfum Homem Neo 100ml Frasco</v>
      </c>
      <c r="F600" s="2" t="s">
        <v>751</v>
      </c>
      <c r="G600" s="130"/>
      <c r="H600" s="2" t="s">
        <v>371</v>
      </c>
      <c r="I600" s="31" t="s">
        <v>33</v>
      </c>
      <c r="J600" s="2" t="s">
        <v>752</v>
      </c>
      <c r="K600" s="2"/>
      <c r="L600" s="2" t="s">
        <v>740</v>
      </c>
    </row>
    <row r="601" spans="1:12" ht="15" customHeight="1" x14ac:dyDescent="0.25">
      <c r="A601" t="s">
        <v>753</v>
      </c>
      <c r="B601" s="63" t="s">
        <v>15</v>
      </c>
      <c r="C601" s="79" t="s">
        <v>732</v>
      </c>
      <c r="D601" s="65" t="s">
        <v>429</v>
      </c>
      <c r="E601" s="135" t="str">
        <f t="shared" si="9"/>
        <v>Deo Parfum Homem Sagaz 100ml Frasco</v>
      </c>
      <c r="F601" s="21" t="s">
        <v>754</v>
      </c>
      <c r="G601" s="130"/>
      <c r="H601" s="2" t="s">
        <v>371</v>
      </c>
      <c r="I601" s="31" t="s">
        <v>33</v>
      </c>
      <c r="J601" s="2" t="s">
        <v>755</v>
      </c>
      <c r="K601" s="2"/>
      <c r="L601" s="2" t="s">
        <v>740</v>
      </c>
    </row>
    <row r="602" spans="1:12" ht="15" customHeight="1" x14ac:dyDescent="0.25">
      <c r="B602" s="63" t="s">
        <v>15</v>
      </c>
      <c r="C602" s="79" t="s">
        <v>732</v>
      </c>
      <c r="D602" s="65" t="s">
        <v>429</v>
      </c>
      <c r="E602" s="135" t="str">
        <f t="shared" si="9"/>
        <v>Deo Parfum Homem Tato 100ml Frasco</v>
      </c>
      <c r="F602" s="2" t="s">
        <v>756</v>
      </c>
      <c r="G602" s="130"/>
      <c r="H602" s="2" t="s">
        <v>371</v>
      </c>
      <c r="I602" s="31" t="s">
        <v>33</v>
      </c>
      <c r="J602" s="2" t="s">
        <v>757</v>
      </c>
      <c r="K602" s="2"/>
      <c r="L602" s="2" t="s">
        <v>740</v>
      </c>
    </row>
    <row r="603" spans="1:12" ht="15" customHeight="1" x14ac:dyDescent="0.25">
      <c r="B603" s="63" t="s">
        <v>15</v>
      </c>
      <c r="C603" s="79" t="s">
        <v>732</v>
      </c>
      <c r="D603" s="65" t="s">
        <v>429</v>
      </c>
      <c r="E603" s="135" t="str">
        <f t="shared" si="9"/>
        <v>Deo Parfum Homem Verum 100ml Frasco</v>
      </c>
      <c r="F603" s="120" t="s">
        <v>758</v>
      </c>
      <c r="G603" s="130"/>
      <c r="H603" s="2" t="s">
        <v>371</v>
      </c>
      <c r="I603" s="31" t="s">
        <v>33</v>
      </c>
      <c r="J603" s="2" t="s">
        <v>759</v>
      </c>
      <c r="K603" s="2"/>
      <c r="L603" s="2" t="s">
        <v>740</v>
      </c>
    </row>
    <row r="604" spans="1:12" ht="15" customHeight="1" x14ac:dyDescent="0.25">
      <c r="B604" s="63" t="s">
        <v>15</v>
      </c>
      <c r="C604" s="79" t="s">
        <v>732</v>
      </c>
      <c r="D604" s="65" t="s">
        <v>429</v>
      </c>
      <c r="E604" s="135" t="str">
        <f t="shared" si="9"/>
        <v>Deo Parfum Homem Coragio 100ml Frasco</v>
      </c>
      <c r="F604" s="123" t="s">
        <v>760</v>
      </c>
      <c r="G604" s="130"/>
      <c r="H604" s="2" t="s">
        <v>371</v>
      </c>
      <c r="I604" s="31" t="s">
        <v>33</v>
      </c>
      <c r="J604" s="148" t="s">
        <v>761</v>
      </c>
      <c r="K604" s="11"/>
      <c r="L604" s="11" t="s">
        <v>762</v>
      </c>
    </row>
    <row r="605" spans="1:12" ht="15" customHeight="1" x14ac:dyDescent="0.25">
      <c r="B605" s="63" t="s">
        <v>15</v>
      </c>
      <c r="C605" s="79" t="s">
        <v>732</v>
      </c>
      <c r="D605" s="65" t="s">
        <v>429</v>
      </c>
      <c r="E605" s="135" t="str">
        <f t="shared" si="9"/>
        <v>Deo Parfum Homem Evolutin 100ml Frasco</v>
      </c>
      <c r="F605" s="123" t="s">
        <v>763</v>
      </c>
      <c r="G605" s="130"/>
      <c r="H605" s="2" t="s">
        <v>371</v>
      </c>
      <c r="I605" s="31" t="s">
        <v>33</v>
      </c>
      <c r="J605" s="2" t="s">
        <v>764</v>
      </c>
      <c r="K605" s="11"/>
      <c r="L605" s="11" t="s">
        <v>762</v>
      </c>
    </row>
    <row r="606" spans="1:12" ht="15" customHeight="1" x14ac:dyDescent="0.25">
      <c r="B606" s="63" t="s">
        <v>15</v>
      </c>
      <c r="C606" s="79" t="s">
        <v>732</v>
      </c>
      <c r="D606" s="65" t="s">
        <v>429</v>
      </c>
      <c r="E606" s="135" t="str">
        <f t="shared" si="9"/>
        <v>Deo Parfum Homem Emocione 100ml Frasco</v>
      </c>
      <c r="F606" s="2" t="s">
        <v>765</v>
      </c>
      <c r="G606" s="130"/>
      <c r="H606" s="2" t="s">
        <v>371</v>
      </c>
      <c r="I606" s="31" t="s">
        <v>33</v>
      </c>
      <c r="J606" s="2" t="s">
        <v>766</v>
      </c>
      <c r="K606" s="11"/>
      <c r="L606" s="11" t="s">
        <v>762</v>
      </c>
    </row>
    <row r="607" spans="1:12" ht="15" customHeight="1" x14ac:dyDescent="0.25">
      <c r="A607" t="s">
        <v>767</v>
      </c>
      <c r="B607" s="63" t="s">
        <v>15</v>
      </c>
      <c r="C607" s="79" t="s">
        <v>732</v>
      </c>
      <c r="D607" s="64" t="s">
        <v>404</v>
      </c>
      <c r="E607" s="135" t="str">
        <f t="shared" si="9"/>
        <v>Desodorante Corporal Homem Especiarias 100ml Frasco</v>
      </c>
      <c r="F607" s="2" t="s">
        <v>768</v>
      </c>
      <c r="G607" s="130"/>
      <c r="H607" s="2" t="s">
        <v>371</v>
      </c>
      <c r="I607" s="31" t="s">
        <v>33</v>
      </c>
      <c r="J607" s="2"/>
      <c r="K607" s="11"/>
      <c r="L607" s="11"/>
    </row>
    <row r="608" spans="1:12" ht="15" customHeight="1" x14ac:dyDescent="0.25">
      <c r="A608" t="s">
        <v>769</v>
      </c>
      <c r="B608" s="63" t="s">
        <v>15</v>
      </c>
      <c r="C608" s="79" t="s">
        <v>732</v>
      </c>
      <c r="D608" s="64" t="s">
        <v>404</v>
      </c>
      <c r="E608" s="135" t="str">
        <f t="shared" si="9"/>
        <v>Desodorante Corporal Homem Essence 100ml Frasco</v>
      </c>
      <c r="F608" s="2" t="s">
        <v>770</v>
      </c>
      <c r="G608" s="130"/>
      <c r="H608" s="2" t="s">
        <v>371</v>
      </c>
      <c r="I608" s="31" t="s">
        <v>33</v>
      </c>
      <c r="J608" s="2"/>
      <c r="K608" s="11"/>
      <c r="L608" s="11"/>
    </row>
    <row r="609" spans="1:12" s="10" customFormat="1" ht="15" customHeight="1" x14ac:dyDescent="0.25">
      <c r="B609" s="63" t="s">
        <v>15</v>
      </c>
      <c r="C609" s="79" t="s">
        <v>732</v>
      </c>
      <c r="D609" s="64" t="s">
        <v>404</v>
      </c>
      <c r="E609" s="135" t="str">
        <f t="shared" si="9"/>
        <v>Desodorante Corporal Homem Aromaticos 100ml Frasco</v>
      </c>
      <c r="F609" s="2" t="s">
        <v>738</v>
      </c>
      <c r="G609" s="130"/>
      <c r="H609" s="2" t="s">
        <v>371</v>
      </c>
      <c r="I609" s="36" t="s">
        <v>33</v>
      </c>
      <c r="J609" s="11" t="s">
        <v>654</v>
      </c>
      <c r="K609" s="20"/>
      <c r="L609" s="20" t="s">
        <v>660</v>
      </c>
    </row>
    <row r="610" spans="1:12" ht="15" customHeight="1" x14ac:dyDescent="0.25">
      <c r="B610" s="63" t="s">
        <v>15</v>
      </c>
      <c r="C610" s="79" t="s">
        <v>732</v>
      </c>
      <c r="D610" s="64" t="s">
        <v>404</v>
      </c>
      <c r="E610" s="135" t="str">
        <f t="shared" si="9"/>
        <v>Desodorante Corporal Homem Coragio 100ml Frasco</v>
      </c>
      <c r="F610" s="123" t="s">
        <v>760</v>
      </c>
      <c r="G610" s="130"/>
      <c r="H610" s="2" t="s">
        <v>371</v>
      </c>
      <c r="I610" s="36" t="s">
        <v>33</v>
      </c>
      <c r="J610" s="11" t="s">
        <v>654</v>
      </c>
      <c r="K610" s="20"/>
      <c r="L610" s="20" t="s">
        <v>660</v>
      </c>
    </row>
    <row r="611" spans="1:12" ht="15" customHeight="1" x14ac:dyDescent="0.25">
      <c r="B611" s="63" t="s">
        <v>15</v>
      </c>
      <c r="C611" s="79" t="s">
        <v>732</v>
      </c>
      <c r="D611" s="64" t="s">
        <v>404</v>
      </c>
      <c r="E611" s="135" t="str">
        <f t="shared" si="9"/>
        <v>Desodorante Corporal Homem Dom 100ml Frasco</v>
      </c>
      <c r="F611" s="2" t="s">
        <v>741</v>
      </c>
      <c r="G611" s="130"/>
      <c r="H611" s="2" t="s">
        <v>371</v>
      </c>
      <c r="I611" s="36" t="s">
        <v>33</v>
      </c>
      <c r="J611" s="11" t="s">
        <v>654</v>
      </c>
      <c r="K611" s="20"/>
      <c r="L611" s="20" t="s">
        <v>660</v>
      </c>
    </row>
    <row r="612" spans="1:12" ht="15" customHeight="1" x14ac:dyDescent="0.25">
      <c r="B612" s="63" t="s">
        <v>15</v>
      </c>
      <c r="C612" s="79" t="s">
        <v>732</v>
      </c>
      <c r="D612" s="64" t="s">
        <v>404</v>
      </c>
      <c r="E612" s="135" t="str">
        <f>TRIM(CONCATENATE(D611, " ", C611, " ", F611, " ", IF(G611&gt;0, G611 &amp; "x" &amp; H611, H611), " ", I611))</f>
        <v>Desodorante Corporal Homem Dom 100ml Frasco</v>
      </c>
      <c r="F612" s="21" t="s">
        <v>743</v>
      </c>
      <c r="G612" s="130"/>
      <c r="H612" s="2" t="s">
        <v>371</v>
      </c>
      <c r="I612" s="36" t="s">
        <v>33</v>
      </c>
      <c r="J612" s="11" t="s">
        <v>654</v>
      </c>
      <c r="K612" s="20"/>
      <c r="L612" s="20" t="s">
        <v>660</v>
      </c>
    </row>
    <row r="613" spans="1:12" ht="15" customHeight="1" x14ac:dyDescent="0.25">
      <c r="B613" s="63" t="s">
        <v>15</v>
      </c>
      <c r="C613" s="79" t="s">
        <v>732</v>
      </c>
      <c r="D613" s="64" t="s">
        <v>404</v>
      </c>
      <c r="E613" s="135" t="str">
        <f t="shared" ref="E613:E644" si="10">TRIM(CONCATENATE(D613, " ", C613, " ", F613, " ", IF(G613&gt;0, G613 &amp; "x" &amp; H613, H613), " ", I613))</f>
        <v>Desodorante Corporal Homem Masculino 100ml Frasco</v>
      </c>
      <c r="F613" s="136" t="s">
        <v>434</v>
      </c>
      <c r="G613" s="130"/>
      <c r="H613" s="2" t="s">
        <v>371</v>
      </c>
      <c r="I613" s="36" t="s">
        <v>33</v>
      </c>
      <c r="J613" s="11" t="s">
        <v>654</v>
      </c>
      <c r="K613" s="20"/>
      <c r="L613" s="20" t="s">
        <v>660</v>
      </c>
    </row>
    <row r="614" spans="1:12" ht="15" customHeight="1" x14ac:dyDescent="0.25">
      <c r="B614" s="63" t="s">
        <v>15</v>
      </c>
      <c r="C614" s="79" t="s">
        <v>732</v>
      </c>
      <c r="D614" s="64" t="s">
        <v>404</v>
      </c>
      <c r="E614" s="135" t="str">
        <f t="shared" si="10"/>
        <v>Desodorante Corporal Homem Nós 100ml Frasco</v>
      </c>
      <c r="F614" s="2" t="s">
        <v>749</v>
      </c>
      <c r="G614" s="130"/>
      <c r="H614" s="2" t="s">
        <v>371</v>
      </c>
      <c r="I614" s="36" t="s">
        <v>33</v>
      </c>
      <c r="J614" s="11" t="s">
        <v>654</v>
      </c>
      <c r="K614" s="20"/>
      <c r="L614" s="20" t="s">
        <v>660</v>
      </c>
    </row>
    <row r="615" spans="1:12" ht="15" customHeight="1" x14ac:dyDescent="0.25">
      <c r="A615" t="s">
        <v>771</v>
      </c>
      <c r="B615" s="63" t="s">
        <v>15</v>
      </c>
      <c r="C615" s="79" t="s">
        <v>732</v>
      </c>
      <c r="D615" s="64" t="s">
        <v>404</v>
      </c>
      <c r="E615" s="135" t="str">
        <f t="shared" si="10"/>
        <v>Desodorante Corporal Homem Sagaz 100ml Frasco</v>
      </c>
      <c r="F615" s="21" t="s">
        <v>754</v>
      </c>
      <c r="G615" s="130"/>
      <c r="H615" s="2" t="s">
        <v>371</v>
      </c>
      <c r="I615" s="36" t="s">
        <v>33</v>
      </c>
      <c r="J615" s="11" t="s">
        <v>654</v>
      </c>
      <c r="K615" s="20"/>
      <c r="L615" s="20" t="s">
        <v>660</v>
      </c>
    </row>
    <row r="616" spans="1:12" ht="15" customHeight="1" x14ac:dyDescent="0.25">
      <c r="B616" s="63" t="s">
        <v>15</v>
      </c>
      <c r="C616" s="79" t="s">
        <v>732</v>
      </c>
      <c r="D616" s="64" t="s">
        <v>404</v>
      </c>
      <c r="E616" s="135" t="str">
        <f t="shared" si="10"/>
        <v>Desodorante Corporal Homem Tato 100ml Frasco</v>
      </c>
      <c r="F616" s="2" t="s">
        <v>756</v>
      </c>
      <c r="G616" s="130"/>
      <c r="H616" s="2" t="s">
        <v>371</v>
      </c>
      <c r="I616" s="36" t="s">
        <v>33</v>
      </c>
      <c r="J616" s="11" t="s">
        <v>654</v>
      </c>
      <c r="K616" s="20"/>
      <c r="L616" s="20" t="s">
        <v>660</v>
      </c>
    </row>
    <row r="617" spans="1:12" ht="15" customHeight="1" x14ac:dyDescent="0.25">
      <c r="B617" s="63" t="s">
        <v>15</v>
      </c>
      <c r="C617" s="79" t="s">
        <v>732</v>
      </c>
      <c r="D617" s="64" t="s">
        <v>181</v>
      </c>
      <c r="E617" s="135" t="str">
        <f t="shared" si="10"/>
        <v>Sabonete em Barra Homem Cacau 3x90g Caixa</v>
      </c>
      <c r="F617" s="2" t="s">
        <v>772</v>
      </c>
      <c r="G617" s="130">
        <v>3</v>
      </c>
      <c r="H617" s="55" t="s">
        <v>81</v>
      </c>
      <c r="I617" s="123" t="s">
        <v>289</v>
      </c>
      <c r="J617" s="2" t="s">
        <v>773</v>
      </c>
      <c r="K617" s="11"/>
      <c r="L617" s="11"/>
    </row>
    <row r="618" spans="1:12" ht="15" customHeight="1" x14ac:dyDescent="0.25">
      <c r="B618" s="63" t="s">
        <v>15</v>
      </c>
      <c r="C618" s="79" t="s">
        <v>732</v>
      </c>
      <c r="D618" s="64" t="s">
        <v>181</v>
      </c>
      <c r="E618" s="135" t="str">
        <f t="shared" si="10"/>
        <v>Sabonete em Barra Homem Corajoso 3x90g Caixa</v>
      </c>
      <c r="F618" s="2" t="s">
        <v>774</v>
      </c>
      <c r="G618" s="130">
        <v>3</v>
      </c>
      <c r="H618" s="55" t="s">
        <v>81</v>
      </c>
      <c r="I618" s="123" t="s">
        <v>289</v>
      </c>
      <c r="J618" s="2" t="s">
        <v>773</v>
      </c>
      <c r="K618" s="11"/>
      <c r="L618" s="11"/>
    </row>
    <row r="619" spans="1:12" ht="15" customHeight="1" x14ac:dyDescent="0.25">
      <c r="B619" s="63" t="s">
        <v>15</v>
      </c>
      <c r="C619" s="79" t="s">
        <v>732</v>
      </c>
      <c r="D619" s="64" t="s">
        <v>181</v>
      </c>
      <c r="E619" s="135" t="str">
        <f t="shared" si="10"/>
        <v>Sabonete em Barra Homem Elo 3x90g Caixa</v>
      </c>
      <c r="F619" s="21" t="s">
        <v>743</v>
      </c>
      <c r="G619" s="130">
        <v>3</v>
      </c>
      <c r="H619" s="55" t="s">
        <v>81</v>
      </c>
      <c r="I619" s="123" t="s">
        <v>289</v>
      </c>
      <c r="J619" s="2" t="s">
        <v>773</v>
      </c>
      <c r="K619" s="11"/>
      <c r="L619" s="11"/>
    </row>
    <row r="620" spans="1:12" ht="15" customHeight="1" x14ac:dyDescent="0.25">
      <c r="B620" s="63" t="s">
        <v>15</v>
      </c>
      <c r="C620" s="79" t="s">
        <v>732</v>
      </c>
      <c r="D620" s="64" t="s">
        <v>181</v>
      </c>
      <c r="E620" s="135" t="str">
        <f t="shared" si="10"/>
        <v>Sabonete em Barra Homem Essence 3x90g Caixa</v>
      </c>
      <c r="F620" s="2" t="s">
        <v>733</v>
      </c>
      <c r="G620" s="130">
        <v>3</v>
      </c>
      <c r="H620" s="55" t="s">
        <v>81</v>
      </c>
      <c r="I620" s="123" t="s">
        <v>289</v>
      </c>
      <c r="J620" s="2" t="s">
        <v>773</v>
      </c>
      <c r="K620" s="11"/>
      <c r="L620" s="11"/>
    </row>
    <row r="621" spans="1:12" ht="15" customHeight="1" x14ac:dyDescent="0.25">
      <c r="B621" s="63" t="s">
        <v>15</v>
      </c>
      <c r="C621" s="79" t="s">
        <v>732</v>
      </c>
      <c r="D621" s="64" t="s">
        <v>181</v>
      </c>
      <c r="E621" s="135" t="str">
        <f t="shared" si="10"/>
        <v>Sabonete em Barra Homem Emocione 3x90g Caixa</v>
      </c>
      <c r="F621" s="2" t="s">
        <v>765</v>
      </c>
      <c r="G621" s="130">
        <v>3</v>
      </c>
      <c r="H621" s="55" t="s">
        <v>81</v>
      </c>
      <c r="I621" s="123" t="s">
        <v>289</v>
      </c>
      <c r="J621" s="2" t="s">
        <v>773</v>
      </c>
      <c r="K621" s="11"/>
      <c r="L621" s="11"/>
    </row>
    <row r="622" spans="1:12" ht="15" customHeight="1" x14ac:dyDescent="0.25">
      <c r="B622" s="63" t="s">
        <v>15</v>
      </c>
      <c r="C622" s="79" t="s">
        <v>732</v>
      </c>
      <c r="D622" s="64" t="s">
        <v>181</v>
      </c>
      <c r="E622" s="135" t="str">
        <f t="shared" si="10"/>
        <v>Sabonete em Barra Homem Masculino 3x110g Caixa</v>
      </c>
      <c r="F622" s="136" t="s">
        <v>434</v>
      </c>
      <c r="G622" s="130">
        <v>3</v>
      </c>
      <c r="H622" s="55" t="s">
        <v>775</v>
      </c>
      <c r="I622" s="123" t="s">
        <v>289</v>
      </c>
      <c r="J622" s="2" t="s">
        <v>773</v>
      </c>
      <c r="K622" s="2"/>
      <c r="L622" s="2"/>
    </row>
    <row r="623" spans="1:12" ht="15" customHeight="1" x14ac:dyDescent="0.25">
      <c r="B623" s="63" t="s">
        <v>15</v>
      </c>
      <c r="C623" s="79" t="s">
        <v>732</v>
      </c>
      <c r="D623" s="64" t="s">
        <v>181</v>
      </c>
      <c r="E623" s="135" t="str">
        <f t="shared" si="10"/>
        <v>Sabonete em Barra Homem Neo 3x90g Caixa</v>
      </c>
      <c r="F623" s="2" t="s">
        <v>751</v>
      </c>
      <c r="G623" s="130">
        <v>3</v>
      </c>
      <c r="H623" s="55" t="s">
        <v>81</v>
      </c>
      <c r="I623" s="123" t="s">
        <v>289</v>
      </c>
      <c r="J623" s="2" t="s">
        <v>773</v>
      </c>
      <c r="K623" s="2"/>
      <c r="L623" s="2"/>
    </row>
    <row r="624" spans="1:12" ht="15" customHeight="1" x14ac:dyDescent="0.25">
      <c r="B624" s="63" t="s">
        <v>15</v>
      </c>
      <c r="C624" s="79" t="s">
        <v>732</v>
      </c>
      <c r="D624" s="64" t="s">
        <v>181</v>
      </c>
      <c r="E624" s="135" t="str">
        <f t="shared" si="10"/>
        <v>Sabonete em Barra Homem Sagaz 3x90g Caixa</v>
      </c>
      <c r="F624" s="21" t="s">
        <v>754</v>
      </c>
      <c r="G624" s="130">
        <v>3</v>
      </c>
      <c r="H624" s="55" t="s">
        <v>81</v>
      </c>
      <c r="I624" s="123" t="s">
        <v>289</v>
      </c>
      <c r="J624" s="2" t="s">
        <v>773</v>
      </c>
      <c r="K624" s="2"/>
      <c r="L624" s="2"/>
    </row>
    <row r="625" spans="1:12" ht="15" customHeight="1" x14ac:dyDescent="0.25">
      <c r="B625" s="63" t="s">
        <v>15</v>
      </c>
      <c r="C625" s="79" t="s">
        <v>732</v>
      </c>
      <c r="D625" s="64" t="s">
        <v>181</v>
      </c>
      <c r="E625" s="135" t="str">
        <f t="shared" si="10"/>
        <v>Sabonete em Barra Homem Tato 3x90g Caixa</v>
      </c>
      <c r="F625" s="2" t="s">
        <v>756</v>
      </c>
      <c r="G625" s="130">
        <v>3</v>
      </c>
      <c r="H625" s="55" t="s">
        <v>81</v>
      </c>
      <c r="I625" s="123" t="s">
        <v>289</v>
      </c>
      <c r="J625" s="2" t="s">
        <v>773</v>
      </c>
      <c r="K625" s="2"/>
      <c r="L625" s="2"/>
    </row>
    <row r="626" spans="1:12" ht="15" customHeight="1" x14ac:dyDescent="0.25">
      <c r="B626" s="63" t="s">
        <v>15</v>
      </c>
      <c r="C626" s="79" t="s">
        <v>732</v>
      </c>
      <c r="D626" s="64" t="s">
        <v>167</v>
      </c>
      <c r="E626" s="135" t="str">
        <f t="shared" si="10"/>
        <v>Sabonete Liquido em Gel Homem Corajoso 100ml Frasco</v>
      </c>
      <c r="F626" s="2" t="s">
        <v>774</v>
      </c>
      <c r="G626" s="130"/>
      <c r="H626" s="43" t="s">
        <v>371</v>
      </c>
      <c r="I626" s="42" t="s">
        <v>33</v>
      </c>
      <c r="J626" s="2" t="s">
        <v>773</v>
      </c>
      <c r="K626" s="11"/>
      <c r="L626" s="11"/>
    </row>
    <row r="627" spans="1:12" ht="15" customHeight="1" x14ac:dyDescent="0.25">
      <c r="B627" s="63" t="s">
        <v>15</v>
      </c>
      <c r="C627" s="79" t="s">
        <v>732</v>
      </c>
      <c r="D627" s="64" t="s">
        <v>167</v>
      </c>
      <c r="E627" s="135" t="str">
        <f t="shared" si="10"/>
        <v>Sabonete Liquido em Gel Homem Elo 100ml Frasco</v>
      </c>
      <c r="F627" s="21" t="s">
        <v>743</v>
      </c>
      <c r="G627" s="130"/>
      <c r="H627" s="43" t="s">
        <v>371</v>
      </c>
      <c r="I627" s="42" t="s">
        <v>33</v>
      </c>
      <c r="J627" s="2" t="s">
        <v>773</v>
      </c>
      <c r="K627" s="11"/>
      <c r="L627" s="11"/>
    </row>
    <row r="628" spans="1:12" ht="15" customHeight="1" x14ac:dyDescent="0.25">
      <c r="B628" s="63" t="s">
        <v>15</v>
      </c>
      <c r="C628" s="79" t="s">
        <v>732</v>
      </c>
      <c r="D628" s="64" t="s">
        <v>167</v>
      </c>
      <c r="E628" s="135" t="str">
        <f t="shared" si="10"/>
        <v>Sabonete Liquido em Gel Homem Essence 100ml Frasco</v>
      </c>
      <c r="F628" s="2" t="s">
        <v>733</v>
      </c>
      <c r="G628" s="130"/>
      <c r="H628" s="43" t="s">
        <v>371</v>
      </c>
      <c r="I628" s="42" t="s">
        <v>33</v>
      </c>
      <c r="J628" s="2" t="s">
        <v>773</v>
      </c>
      <c r="K628" s="11"/>
      <c r="L628" s="11"/>
    </row>
    <row r="629" spans="1:12" ht="15" customHeight="1" x14ac:dyDescent="0.25">
      <c r="B629" s="63" t="s">
        <v>15</v>
      </c>
      <c r="C629" s="79" t="s">
        <v>732</v>
      </c>
      <c r="D629" s="64" t="s">
        <v>167</v>
      </c>
      <c r="E629" s="135" t="str">
        <f t="shared" si="10"/>
        <v>Sabonete Liquido em Gel Homem Masculino 100ml Frasco</v>
      </c>
      <c r="F629" s="136" t="s">
        <v>434</v>
      </c>
      <c r="G629" s="130"/>
      <c r="H629" s="43" t="s">
        <v>371</v>
      </c>
      <c r="I629" s="42" t="s">
        <v>33</v>
      </c>
      <c r="J629" s="2" t="s">
        <v>773</v>
      </c>
      <c r="K629" s="11"/>
      <c r="L629" s="11"/>
    </row>
    <row r="630" spans="1:12" ht="15" customHeight="1" x14ac:dyDescent="0.25">
      <c r="B630" s="63" t="s">
        <v>15</v>
      </c>
      <c r="C630" s="79" t="s">
        <v>732</v>
      </c>
      <c r="D630" s="64" t="s">
        <v>167</v>
      </c>
      <c r="E630" s="135" t="str">
        <f t="shared" si="10"/>
        <v>Sabonete Liquido em Gel Homem Sagaz 100ml Frasco</v>
      </c>
      <c r="F630" s="21" t="s">
        <v>754</v>
      </c>
      <c r="G630" s="130"/>
      <c r="H630" s="43" t="s">
        <v>371</v>
      </c>
      <c r="I630" s="42" t="s">
        <v>33</v>
      </c>
      <c r="J630" s="2" t="s">
        <v>773</v>
      </c>
      <c r="K630" s="11"/>
      <c r="L630" s="11"/>
    </row>
    <row r="631" spans="1:12" ht="15" customHeight="1" x14ac:dyDescent="0.25">
      <c r="B631" s="63" t="s">
        <v>15</v>
      </c>
      <c r="C631" s="79" t="s">
        <v>732</v>
      </c>
      <c r="D631" s="64" t="s">
        <v>167</v>
      </c>
      <c r="E631" s="135" t="str">
        <f t="shared" si="10"/>
        <v>Sabonete Liquido em Gel Homem Tato 100ml Frasco</v>
      </c>
      <c r="F631" s="2" t="s">
        <v>756</v>
      </c>
      <c r="G631" s="130"/>
      <c r="H631" s="43" t="s">
        <v>371</v>
      </c>
      <c r="I631" s="42" t="s">
        <v>33</v>
      </c>
      <c r="J631" s="2" t="s">
        <v>773</v>
      </c>
      <c r="K631" s="11"/>
      <c r="L631" s="11"/>
    </row>
    <row r="632" spans="1:12" ht="15" customHeight="1" x14ac:dyDescent="0.25">
      <c r="B632" s="63" t="s">
        <v>15</v>
      </c>
      <c r="C632" s="79" t="s">
        <v>732</v>
      </c>
      <c r="D632" s="64" t="s">
        <v>663</v>
      </c>
      <c r="E632" s="135" t="str">
        <f t="shared" si="10"/>
        <v>Desodorante Hidratante Corporal Homem Masculino 300ml Frasco</v>
      </c>
      <c r="F632" s="2" t="s">
        <v>524</v>
      </c>
      <c r="G632" s="130"/>
      <c r="H632" s="22" t="s">
        <v>168</v>
      </c>
      <c r="I632" s="31" t="s">
        <v>33</v>
      </c>
      <c r="J632" s="11" t="s">
        <v>776</v>
      </c>
      <c r="K632" s="11"/>
      <c r="L632" s="11"/>
    </row>
    <row r="633" spans="1:12" ht="15" customHeight="1" x14ac:dyDescent="0.25">
      <c r="B633" s="63" t="s">
        <v>15</v>
      </c>
      <c r="C633" s="79" t="s">
        <v>732</v>
      </c>
      <c r="D633" s="64" t="s">
        <v>663</v>
      </c>
      <c r="E633" s="135" t="str">
        <f t="shared" si="10"/>
        <v>Desodorante Hidratante Corporal Homem Tato 300ml Frasco</v>
      </c>
      <c r="F633" s="2" t="s">
        <v>756</v>
      </c>
      <c r="G633" s="130"/>
      <c r="H633" s="22" t="s">
        <v>168</v>
      </c>
      <c r="I633" s="31" t="s">
        <v>33</v>
      </c>
      <c r="J633" s="11" t="s">
        <v>776</v>
      </c>
      <c r="K633" s="11"/>
      <c r="L633" s="11"/>
    </row>
    <row r="634" spans="1:12" ht="15" customHeight="1" x14ac:dyDescent="0.25">
      <c r="A634" t="s">
        <v>777</v>
      </c>
      <c r="B634" s="63" t="s">
        <v>15</v>
      </c>
      <c r="C634" s="79" t="s">
        <v>732</v>
      </c>
      <c r="D634" s="64" t="s">
        <v>140</v>
      </c>
      <c r="E634" s="135" t="str">
        <f t="shared" si="10"/>
        <v>Desodorante Antitranspirante Roll-on Homem Dom 75ml Frasco</v>
      </c>
      <c r="F634" s="2" t="s">
        <v>778</v>
      </c>
      <c r="G634" s="130"/>
      <c r="H634" s="2" t="s">
        <v>374</v>
      </c>
      <c r="I634" s="31" t="s">
        <v>33</v>
      </c>
      <c r="J634" s="11" t="s">
        <v>652</v>
      </c>
      <c r="K634" s="11"/>
      <c r="L634" s="11" t="s">
        <v>779</v>
      </c>
    </row>
    <row r="635" spans="1:12" ht="15" customHeight="1" x14ac:dyDescent="0.25">
      <c r="B635" s="63" t="s">
        <v>15</v>
      </c>
      <c r="C635" s="79" t="s">
        <v>732</v>
      </c>
      <c r="D635" s="64" t="s">
        <v>140</v>
      </c>
      <c r="E635" s="135" t="str">
        <f t="shared" si="10"/>
        <v>Desodorante Antitranspirante Roll-on Homem Essence 75ml Frasco</v>
      </c>
      <c r="F635" s="2" t="s">
        <v>733</v>
      </c>
      <c r="G635" s="130"/>
      <c r="H635" s="2" t="s">
        <v>374</v>
      </c>
      <c r="I635" s="31" t="s">
        <v>33</v>
      </c>
      <c r="J635" s="11" t="s">
        <v>652</v>
      </c>
      <c r="K635" s="11"/>
      <c r="L635" s="11" t="s">
        <v>779</v>
      </c>
    </row>
    <row r="636" spans="1:12" ht="15" customHeight="1" x14ac:dyDescent="0.25">
      <c r="B636" s="63" t="s">
        <v>15</v>
      </c>
      <c r="C636" s="79" t="s">
        <v>732</v>
      </c>
      <c r="D636" s="64" t="s">
        <v>140</v>
      </c>
      <c r="E636" s="135" t="str">
        <f t="shared" si="10"/>
        <v>Desodorante Antitranspirante Roll-on Homem Elo 75ml Frasco</v>
      </c>
      <c r="F636" s="2" t="s">
        <v>743</v>
      </c>
      <c r="G636" s="130"/>
      <c r="H636" s="2" t="s">
        <v>374</v>
      </c>
      <c r="I636" s="31" t="s">
        <v>33</v>
      </c>
      <c r="J636" s="11" t="s">
        <v>652</v>
      </c>
      <c r="K636" s="11"/>
      <c r="L636" s="11" t="s">
        <v>779</v>
      </c>
    </row>
    <row r="637" spans="1:12" ht="15" customHeight="1" x14ac:dyDescent="0.25">
      <c r="B637" s="63" t="s">
        <v>15</v>
      </c>
      <c r="C637" s="79" t="s">
        <v>732</v>
      </c>
      <c r="D637" s="64" t="s">
        <v>140</v>
      </c>
      <c r="E637" s="135" t="str">
        <f t="shared" si="10"/>
        <v>Desodorante Antitranspirante Roll-on Homem Masculino 75 ml Frasco</v>
      </c>
      <c r="F637" s="2" t="s">
        <v>434</v>
      </c>
      <c r="G637" s="130"/>
      <c r="H637" s="2" t="s">
        <v>400</v>
      </c>
      <c r="I637" s="31" t="s">
        <v>33</v>
      </c>
      <c r="J637" s="11" t="s">
        <v>652</v>
      </c>
      <c r="K637" s="11"/>
      <c r="L637" s="11" t="s">
        <v>779</v>
      </c>
    </row>
    <row r="638" spans="1:12" ht="15" customHeight="1" x14ac:dyDescent="0.25">
      <c r="B638" s="63" t="s">
        <v>15</v>
      </c>
      <c r="C638" s="79" t="s">
        <v>732</v>
      </c>
      <c r="D638" s="64" t="s">
        <v>140</v>
      </c>
      <c r="E638" s="135" t="str">
        <f t="shared" si="10"/>
        <v>Desodorante Antitranspirante Roll-on Homem Nós 75ml Frasco</v>
      </c>
      <c r="F638" s="2" t="s">
        <v>749</v>
      </c>
      <c r="G638" s="130"/>
      <c r="H638" s="2" t="s">
        <v>374</v>
      </c>
      <c r="I638" s="31" t="s">
        <v>33</v>
      </c>
      <c r="J638" s="11" t="s">
        <v>652</v>
      </c>
      <c r="K638" s="11"/>
      <c r="L638" s="11" t="s">
        <v>779</v>
      </c>
    </row>
    <row r="639" spans="1:12" ht="15" customHeight="1" x14ac:dyDescent="0.25">
      <c r="B639" s="63" t="s">
        <v>15</v>
      </c>
      <c r="C639" s="79" t="s">
        <v>732</v>
      </c>
      <c r="D639" s="64" t="s">
        <v>140</v>
      </c>
      <c r="E639" s="135" t="str">
        <f t="shared" si="10"/>
        <v>Desodorante Antitranspirante Roll-on Homem Sagaz 75 ml Frasco</v>
      </c>
      <c r="F639" s="2" t="s">
        <v>754</v>
      </c>
      <c r="G639" s="130"/>
      <c r="H639" s="2" t="s">
        <v>400</v>
      </c>
      <c r="I639" s="31" t="s">
        <v>33</v>
      </c>
      <c r="J639" s="11" t="s">
        <v>652</v>
      </c>
      <c r="K639" s="11"/>
      <c r="L639" s="11" t="s">
        <v>779</v>
      </c>
    </row>
    <row r="640" spans="1:12" ht="15" customHeight="1" x14ac:dyDescent="0.25">
      <c r="B640" s="63" t="s">
        <v>15</v>
      </c>
      <c r="C640" s="79" t="s">
        <v>732</v>
      </c>
      <c r="D640" s="64" t="s">
        <v>140</v>
      </c>
      <c r="E640" s="135" t="str">
        <f t="shared" si="10"/>
        <v>Desodorante Antitranspirante Roll-on Homem Sem Perfume 75ml Frasco</v>
      </c>
      <c r="F640" s="2" t="s">
        <v>780</v>
      </c>
      <c r="G640" s="130"/>
      <c r="H640" s="2" t="s">
        <v>374</v>
      </c>
      <c r="I640" s="31" t="s">
        <v>33</v>
      </c>
      <c r="J640" s="11" t="s">
        <v>652</v>
      </c>
      <c r="K640" s="11"/>
      <c r="L640" s="11" t="s">
        <v>779</v>
      </c>
    </row>
    <row r="641" spans="1:12" ht="15" customHeight="1" x14ac:dyDescent="0.25">
      <c r="B641" s="63" t="s">
        <v>15</v>
      </c>
      <c r="C641" s="79" t="s">
        <v>732</v>
      </c>
      <c r="D641" s="64" t="s">
        <v>140</v>
      </c>
      <c r="E641" s="135" t="str">
        <f t="shared" si="10"/>
        <v>Desodorante Antitranspirante Roll-on Homem Tato 75ml Frasco</v>
      </c>
      <c r="F641" s="2" t="s">
        <v>781</v>
      </c>
      <c r="G641" s="130"/>
      <c r="H641" s="2" t="s">
        <v>374</v>
      </c>
      <c r="I641" s="31" t="s">
        <v>33</v>
      </c>
      <c r="J641" s="11" t="s">
        <v>652</v>
      </c>
      <c r="K641" s="11"/>
      <c r="L641" s="11" t="s">
        <v>779</v>
      </c>
    </row>
    <row r="642" spans="1:12" ht="15" customHeight="1" x14ac:dyDescent="0.25">
      <c r="B642" s="63" t="s">
        <v>15</v>
      </c>
      <c r="C642" s="79" t="s">
        <v>732</v>
      </c>
      <c r="D642" s="64" t="s">
        <v>782</v>
      </c>
      <c r="E642" s="135" t="str">
        <f t="shared" si="10"/>
        <v>Shampoo 2 em 1 Homem Masculino 300ml Frasco</v>
      </c>
      <c r="F642" s="2" t="s">
        <v>783</v>
      </c>
      <c r="G642" s="130"/>
      <c r="H642" s="2" t="s">
        <v>168</v>
      </c>
      <c r="I642" s="31" t="s">
        <v>33</v>
      </c>
      <c r="J642" s="11" t="s">
        <v>784</v>
      </c>
      <c r="K642" s="11"/>
      <c r="L642" s="11" t="s">
        <v>785</v>
      </c>
    </row>
    <row r="643" spans="1:12" ht="15" customHeight="1" x14ac:dyDescent="0.25">
      <c r="A643" t="s">
        <v>786</v>
      </c>
      <c r="B643" s="63" t="s">
        <v>15</v>
      </c>
      <c r="C643" s="79" t="s">
        <v>732</v>
      </c>
      <c r="D643" s="64" t="s">
        <v>787</v>
      </c>
      <c r="E643" s="135" t="str">
        <f t="shared" si="10"/>
        <v>Shampoo Antiqueda Homem Masculino 300ml Frasco</v>
      </c>
      <c r="F643" s="2" t="s">
        <v>783</v>
      </c>
      <c r="G643" s="130"/>
      <c r="H643" s="2" t="s">
        <v>168</v>
      </c>
      <c r="I643" s="31" t="s">
        <v>33</v>
      </c>
      <c r="J643" s="11" t="s">
        <v>788</v>
      </c>
      <c r="K643" s="11"/>
      <c r="L643" s="11" t="s">
        <v>789</v>
      </c>
    </row>
    <row r="644" spans="1:12" ht="15" customHeight="1" x14ac:dyDescent="0.25">
      <c r="B644" s="63" t="s">
        <v>15</v>
      </c>
      <c r="C644" s="79" t="s">
        <v>732</v>
      </c>
      <c r="D644" s="64" t="s">
        <v>790</v>
      </c>
      <c r="E644" s="135" t="str">
        <f t="shared" si="10"/>
        <v>Shampoo Anticaspa Homem Masculino 300ml Frasco</v>
      </c>
      <c r="F644" s="2" t="s">
        <v>783</v>
      </c>
      <c r="G644" s="130"/>
      <c r="H644" s="2" t="s">
        <v>168</v>
      </c>
      <c r="I644" s="31" t="s">
        <v>33</v>
      </c>
      <c r="J644" s="11" t="s">
        <v>791</v>
      </c>
      <c r="K644" s="11"/>
      <c r="L644" s="11" t="s">
        <v>789</v>
      </c>
    </row>
    <row r="645" spans="1:12" ht="15" customHeight="1" x14ac:dyDescent="0.25">
      <c r="B645" s="63" t="s">
        <v>15</v>
      </c>
      <c r="C645" s="79" t="s">
        <v>732</v>
      </c>
      <c r="D645" s="64" t="s">
        <v>792</v>
      </c>
      <c r="E645" s="135" t="str">
        <f t="shared" ref="E645:E676" si="11">TRIM(CONCATENATE(D645, " ", C645, " ", F645, " ", IF(G645&gt;0, G645 &amp; "x" &amp; H645, H645), " ", I645))</f>
        <v>Shampoo Cabelo Corpo Homem Meninos infantil 100ml Frasco</v>
      </c>
      <c r="F645" s="2" t="s">
        <v>793</v>
      </c>
      <c r="G645" s="130"/>
      <c r="H645" s="2" t="s">
        <v>371</v>
      </c>
      <c r="I645" s="31" t="s">
        <v>33</v>
      </c>
      <c r="J645" s="11" t="s">
        <v>794</v>
      </c>
      <c r="K645" s="11"/>
      <c r="L645" s="11" t="s">
        <v>795</v>
      </c>
    </row>
    <row r="646" spans="1:12" ht="15" customHeight="1" x14ac:dyDescent="0.25">
      <c r="B646" s="63" t="s">
        <v>15</v>
      </c>
      <c r="C646" s="79" t="s">
        <v>732</v>
      </c>
      <c r="D646" s="64" t="s">
        <v>796</v>
      </c>
      <c r="E646" s="135" t="str">
        <f t="shared" si="11"/>
        <v>Shower Gel 4 em 1 Homem Masculino 200g Frasco</v>
      </c>
      <c r="F646" s="2" t="s">
        <v>783</v>
      </c>
      <c r="G646" s="130"/>
      <c r="H646" s="2" t="s">
        <v>67</v>
      </c>
      <c r="I646" s="31" t="s">
        <v>33</v>
      </c>
      <c r="J646" s="11" t="s">
        <v>797</v>
      </c>
      <c r="K646" s="11"/>
      <c r="L646" s="11" t="s">
        <v>789</v>
      </c>
    </row>
    <row r="647" spans="1:12" ht="15" customHeight="1" x14ac:dyDescent="0.25">
      <c r="B647" s="63" t="s">
        <v>15</v>
      </c>
      <c r="C647" s="79" t="s">
        <v>732</v>
      </c>
      <c r="D647" s="64" t="s">
        <v>798</v>
      </c>
      <c r="E647" s="135" t="str">
        <f t="shared" si="11"/>
        <v>Sabonete Faciel Esfolianete Homem Masculino 75ml Frasco</v>
      </c>
      <c r="F647" s="2" t="s">
        <v>783</v>
      </c>
      <c r="G647" s="130"/>
      <c r="H647" s="2" t="s">
        <v>374</v>
      </c>
      <c r="I647" s="31" t="s">
        <v>33</v>
      </c>
      <c r="J647" s="11" t="s">
        <v>799</v>
      </c>
      <c r="K647" s="11"/>
      <c r="L647" s="11" t="s">
        <v>800</v>
      </c>
    </row>
    <row r="648" spans="1:12" ht="15" customHeight="1" x14ac:dyDescent="0.25">
      <c r="B648" s="63" t="s">
        <v>15</v>
      </c>
      <c r="C648" s="79" t="s">
        <v>732</v>
      </c>
      <c r="D648" s="64" t="s">
        <v>801</v>
      </c>
      <c r="E648" s="135" t="str">
        <f t="shared" si="11"/>
        <v>Espuma de Barbear Homem Masculino 200 ml Frasco</v>
      </c>
      <c r="F648" s="2" t="s">
        <v>783</v>
      </c>
      <c r="G648" s="130"/>
      <c r="H648" s="2" t="s">
        <v>270</v>
      </c>
      <c r="I648" s="31" t="s">
        <v>33</v>
      </c>
      <c r="J648" s="11" t="s">
        <v>802</v>
      </c>
      <c r="K648" s="11"/>
      <c r="L648" s="11" t="s">
        <v>803</v>
      </c>
    </row>
    <row r="649" spans="1:12" ht="15" customHeight="1" x14ac:dyDescent="0.25">
      <c r="B649" s="63" t="s">
        <v>15</v>
      </c>
      <c r="C649" s="79" t="s">
        <v>732</v>
      </c>
      <c r="D649" s="64" t="s">
        <v>804</v>
      </c>
      <c r="E649" s="135" t="str">
        <f t="shared" si="11"/>
        <v>Gel Para Barbear Homem Masculino 75g Frsaco</v>
      </c>
      <c r="F649" s="2" t="s">
        <v>783</v>
      </c>
      <c r="G649" s="130"/>
      <c r="H649" s="2" t="s">
        <v>508</v>
      </c>
      <c r="I649" s="31" t="s">
        <v>805</v>
      </c>
      <c r="J649" s="11" t="s">
        <v>806</v>
      </c>
      <c r="K649" s="11"/>
      <c r="L649" s="11" t="s">
        <v>807</v>
      </c>
    </row>
    <row r="650" spans="1:12" ht="15" customHeight="1" x14ac:dyDescent="0.25">
      <c r="B650" s="63" t="s">
        <v>15</v>
      </c>
      <c r="C650" s="79" t="s">
        <v>732</v>
      </c>
      <c r="D650" s="64" t="s">
        <v>808</v>
      </c>
      <c r="E650" s="135" t="str">
        <f t="shared" si="11"/>
        <v>Creme Para Barbear Multifuncional Homem Masculino 75ml Frsaco</v>
      </c>
      <c r="F650" s="2" t="s">
        <v>783</v>
      </c>
      <c r="G650" s="130"/>
      <c r="H650" s="2" t="s">
        <v>374</v>
      </c>
      <c r="I650" s="31" t="s">
        <v>805</v>
      </c>
      <c r="J650" s="11" t="s">
        <v>809</v>
      </c>
      <c r="K650" s="11"/>
      <c r="L650" s="11" t="s">
        <v>810</v>
      </c>
    </row>
    <row r="651" spans="1:12" ht="15" customHeight="1" x14ac:dyDescent="0.25">
      <c r="B651" s="63" t="s">
        <v>15</v>
      </c>
      <c r="C651" s="79" t="s">
        <v>732</v>
      </c>
      <c r="D651" s="64" t="s">
        <v>811</v>
      </c>
      <c r="E651" s="135" t="str">
        <f t="shared" si="11"/>
        <v>Balm Pos Barba Multifuncinal Homem Masculino 75ml Frasco</v>
      </c>
      <c r="F651" s="2" t="s">
        <v>783</v>
      </c>
      <c r="G651" s="130"/>
      <c r="H651" s="2" t="s">
        <v>374</v>
      </c>
      <c r="I651" s="31" t="s">
        <v>33</v>
      </c>
      <c r="J651" s="2" t="s">
        <v>812</v>
      </c>
      <c r="K651" s="2"/>
      <c r="L651" s="2" t="s">
        <v>813</v>
      </c>
    </row>
    <row r="652" spans="1:12" ht="15" customHeight="1" x14ac:dyDescent="0.25">
      <c r="B652" s="63" t="s">
        <v>15</v>
      </c>
      <c r="C652" s="79" t="s">
        <v>732</v>
      </c>
      <c r="D652" s="64" t="s">
        <v>814</v>
      </c>
      <c r="E652" s="135" t="str">
        <f t="shared" si="11"/>
        <v>Oleo para Barba Homem Masculino 30ml Frasco</v>
      </c>
      <c r="F652" s="2" t="s">
        <v>783</v>
      </c>
      <c r="G652" s="130"/>
      <c r="H652" s="2" t="s">
        <v>340</v>
      </c>
      <c r="I652" s="31" t="s">
        <v>33</v>
      </c>
      <c r="J652" s="2" t="s">
        <v>815</v>
      </c>
      <c r="K652" s="11"/>
      <c r="L652" s="11" t="s">
        <v>816</v>
      </c>
    </row>
    <row r="653" spans="1:12" ht="15" customHeight="1" x14ac:dyDescent="0.25">
      <c r="B653" s="63" t="s">
        <v>15</v>
      </c>
      <c r="C653" s="79" t="s">
        <v>732</v>
      </c>
      <c r="D653" s="64" t="s">
        <v>817</v>
      </c>
      <c r="E653" s="135" t="str">
        <f t="shared" si="11"/>
        <v>Hidratante para Maos Ressecadas Homem Masculino 50ml Frasco</v>
      </c>
      <c r="F653" s="2" t="s">
        <v>783</v>
      </c>
      <c r="G653" s="130"/>
      <c r="H653" s="2" t="s">
        <v>355</v>
      </c>
      <c r="I653" s="31" t="s">
        <v>33</v>
      </c>
      <c r="J653" s="11" t="s">
        <v>818</v>
      </c>
      <c r="K653" s="11"/>
      <c r="L653" s="11" t="s">
        <v>819</v>
      </c>
    </row>
    <row r="654" spans="1:12" ht="15" customHeight="1" x14ac:dyDescent="0.25">
      <c r="B654" s="63" t="s">
        <v>15</v>
      </c>
      <c r="C654" s="80" t="s">
        <v>820</v>
      </c>
      <c r="D654" s="64" t="s">
        <v>71</v>
      </c>
      <c r="E654" s="135" t="str">
        <f t="shared" si="11"/>
        <v>Oleo Corporal Seve Amendoas e Cereja 200ml Frasco</v>
      </c>
      <c r="F654" s="2" t="s">
        <v>821</v>
      </c>
      <c r="G654" s="130"/>
      <c r="H654" s="2" t="s">
        <v>32</v>
      </c>
      <c r="I654" s="31" t="s">
        <v>33</v>
      </c>
      <c r="J654" s="11" t="s">
        <v>822</v>
      </c>
      <c r="K654" s="11"/>
      <c r="L654" s="11" t="s">
        <v>823</v>
      </c>
    </row>
    <row r="655" spans="1:12" ht="15" customHeight="1" x14ac:dyDescent="0.25">
      <c r="B655" s="63" t="s">
        <v>15</v>
      </c>
      <c r="C655" s="80" t="s">
        <v>820</v>
      </c>
      <c r="D655" s="64" t="s">
        <v>71</v>
      </c>
      <c r="E655" s="135" t="str">
        <f t="shared" si="11"/>
        <v>Oleo Corporal Seve Amêndoas Doces 200ml Frasco</v>
      </c>
      <c r="F655" s="2" t="s">
        <v>824</v>
      </c>
      <c r="G655" s="130"/>
      <c r="H655" s="2" t="s">
        <v>32</v>
      </c>
      <c r="I655" s="31" t="s">
        <v>33</v>
      </c>
      <c r="J655" s="11" t="s">
        <v>822</v>
      </c>
      <c r="K655" s="11"/>
      <c r="L655" s="11" t="s">
        <v>823</v>
      </c>
    </row>
    <row r="656" spans="1:12" ht="15" customHeight="1" x14ac:dyDescent="0.25">
      <c r="B656" s="63" t="s">
        <v>15</v>
      </c>
      <c r="C656" s="80" t="s">
        <v>820</v>
      </c>
      <c r="D656" s="64" t="s">
        <v>71</v>
      </c>
      <c r="E656" s="135" t="str">
        <f t="shared" si="11"/>
        <v>Oleo Corporal Seve Amendoas Doces Intensa 200ml Frasco</v>
      </c>
      <c r="F656" s="2" t="s">
        <v>825</v>
      </c>
      <c r="G656" s="130"/>
      <c r="H656" s="2" t="s">
        <v>32</v>
      </c>
      <c r="I656" s="31" t="s">
        <v>33</v>
      </c>
      <c r="J656" s="11" t="s">
        <v>822</v>
      </c>
      <c r="K656" s="11"/>
      <c r="L656" s="11" t="s">
        <v>823</v>
      </c>
    </row>
    <row r="657" spans="2:12" ht="15" customHeight="1" x14ac:dyDescent="0.25">
      <c r="B657" s="63" t="s">
        <v>15</v>
      </c>
      <c r="C657" s="80" t="s">
        <v>820</v>
      </c>
      <c r="D657" s="64" t="s">
        <v>71</v>
      </c>
      <c r="E657" s="135" t="str">
        <f t="shared" si="11"/>
        <v>Oleo Corporal Seve Amêndoas e Flor de Ameixa 200ml Frasco</v>
      </c>
      <c r="F657" s="2" t="s">
        <v>826</v>
      </c>
      <c r="G657" s="130"/>
      <c r="H657" s="2" t="s">
        <v>32</v>
      </c>
      <c r="I657" s="31" t="s">
        <v>33</v>
      </c>
      <c r="J657" s="11" t="s">
        <v>822</v>
      </c>
      <c r="K657" s="11"/>
      <c r="L657" s="11" t="s">
        <v>823</v>
      </c>
    </row>
    <row r="658" spans="2:12" ht="15" customHeight="1" x14ac:dyDescent="0.25">
      <c r="B658" s="63" t="s">
        <v>15</v>
      </c>
      <c r="C658" s="80" t="s">
        <v>820</v>
      </c>
      <c r="D658" s="64" t="s">
        <v>71</v>
      </c>
      <c r="E658" s="135" t="str">
        <f t="shared" si="11"/>
        <v>Oleo Corporal Seve Amêndoas e Orquidia Negra 200ml Frasco</v>
      </c>
      <c r="F658" s="2" t="s">
        <v>827</v>
      </c>
      <c r="G658" s="130"/>
      <c r="H658" s="2" t="s">
        <v>32</v>
      </c>
      <c r="I658" s="31" t="s">
        <v>33</v>
      </c>
      <c r="J658" s="11" t="s">
        <v>822</v>
      </c>
      <c r="K658" s="11"/>
      <c r="L658" s="11" t="s">
        <v>823</v>
      </c>
    </row>
    <row r="659" spans="2:12" ht="15" customHeight="1" x14ac:dyDescent="0.25">
      <c r="B659" s="63" t="s">
        <v>15</v>
      </c>
      <c r="C659" s="80" t="s">
        <v>820</v>
      </c>
      <c r="D659" s="64" t="s">
        <v>71</v>
      </c>
      <c r="E659" s="135" t="str">
        <f t="shared" si="11"/>
        <v>Oleo Corporal Seve Rosas e Amendoas 200ml Frasco</v>
      </c>
      <c r="F659" s="2" t="s">
        <v>828</v>
      </c>
      <c r="G659" s="130"/>
      <c r="H659" s="2" t="s">
        <v>32</v>
      </c>
      <c r="I659" s="31" t="s">
        <v>33</v>
      </c>
      <c r="J659" s="11" t="s">
        <v>822</v>
      </c>
      <c r="K659" s="11"/>
      <c r="L659" s="11" t="s">
        <v>823</v>
      </c>
    </row>
    <row r="660" spans="2:12" ht="15" customHeight="1" x14ac:dyDescent="0.25">
      <c r="B660" s="63" t="s">
        <v>15</v>
      </c>
      <c r="C660" s="80" t="s">
        <v>820</v>
      </c>
      <c r="D660" s="64" t="s">
        <v>71</v>
      </c>
      <c r="E660" s="135" t="str">
        <f t="shared" si="11"/>
        <v>Oleo Corporal Seve Pimenta Rosa 200ml Frasco</v>
      </c>
      <c r="F660" s="2" t="s">
        <v>829</v>
      </c>
      <c r="G660" s="130"/>
      <c r="H660" s="2" t="s">
        <v>32</v>
      </c>
      <c r="I660" s="31" t="s">
        <v>33</v>
      </c>
      <c r="J660" s="11" t="s">
        <v>822</v>
      </c>
      <c r="K660" s="11"/>
      <c r="L660" s="11" t="s">
        <v>823</v>
      </c>
    </row>
    <row r="661" spans="2:12" ht="15" customHeight="1" x14ac:dyDescent="0.25">
      <c r="B661" s="63" t="s">
        <v>15</v>
      </c>
      <c r="C661" s="80" t="s">
        <v>820</v>
      </c>
      <c r="D661" s="64" t="s">
        <v>71</v>
      </c>
      <c r="E661" s="135" t="str">
        <f t="shared" si="11"/>
        <v>Oleo Corporal Seve Amendoas e Cereja 200ml Refil</v>
      </c>
      <c r="F661" s="2" t="s">
        <v>821</v>
      </c>
      <c r="G661" s="130"/>
      <c r="H661" s="2" t="s">
        <v>32</v>
      </c>
      <c r="I661" s="31" t="s">
        <v>201</v>
      </c>
      <c r="J661" s="11" t="s">
        <v>822</v>
      </c>
      <c r="K661" s="11"/>
      <c r="L661" s="11" t="s">
        <v>830</v>
      </c>
    </row>
    <row r="662" spans="2:12" ht="15" customHeight="1" x14ac:dyDescent="0.25">
      <c r="B662" s="63" t="s">
        <v>15</v>
      </c>
      <c r="C662" s="80" t="s">
        <v>820</v>
      </c>
      <c r="D662" s="64" t="s">
        <v>71</v>
      </c>
      <c r="E662" s="135" t="str">
        <f t="shared" si="11"/>
        <v>Oleo Corporal Seve Amêndoas Doces 200ml Refil</v>
      </c>
      <c r="F662" s="2" t="s">
        <v>824</v>
      </c>
      <c r="G662" s="130"/>
      <c r="H662" s="2" t="s">
        <v>32</v>
      </c>
      <c r="I662" s="31" t="s">
        <v>201</v>
      </c>
      <c r="J662" s="11" t="s">
        <v>822</v>
      </c>
      <c r="K662" s="11"/>
      <c r="L662" s="11" t="s">
        <v>830</v>
      </c>
    </row>
    <row r="663" spans="2:12" ht="15" customHeight="1" x14ac:dyDescent="0.25">
      <c r="B663" s="63" t="s">
        <v>15</v>
      </c>
      <c r="C663" s="80" t="s">
        <v>820</v>
      </c>
      <c r="D663" s="64" t="s">
        <v>71</v>
      </c>
      <c r="E663" s="135" t="str">
        <f t="shared" si="11"/>
        <v>Oleo Corporal Seve Amendoas Doces Intensa 200ml Refil</v>
      </c>
      <c r="F663" s="2" t="s">
        <v>825</v>
      </c>
      <c r="G663" s="130"/>
      <c r="H663" s="2" t="s">
        <v>32</v>
      </c>
      <c r="I663" s="31" t="s">
        <v>201</v>
      </c>
      <c r="J663" s="11" t="s">
        <v>822</v>
      </c>
      <c r="K663" s="11"/>
      <c r="L663" s="11" t="s">
        <v>830</v>
      </c>
    </row>
    <row r="664" spans="2:12" ht="15" customHeight="1" x14ac:dyDescent="0.25">
      <c r="B664" s="63" t="s">
        <v>15</v>
      </c>
      <c r="C664" s="80" t="s">
        <v>820</v>
      </c>
      <c r="D664" s="64" t="s">
        <v>71</v>
      </c>
      <c r="E664" s="135" t="str">
        <f t="shared" si="11"/>
        <v>Oleo Corporal Seve Amêndoas e Flor de Ameixa 200ml Refil</v>
      </c>
      <c r="F664" s="2" t="s">
        <v>826</v>
      </c>
      <c r="G664" s="130"/>
      <c r="H664" s="2" t="s">
        <v>32</v>
      </c>
      <c r="I664" s="31" t="s">
        <v>201</v>
      </c>
      <c r="J664" s="11" t="s">
        <v>822</v>
      </c>
      <c r="K664" s="11"/>
      <c r="L664" s="11" t="s">
        <v>830</v>
      </c>
    </row>
    <row r="665" spans="2:12" ht="15" customHeight="1" x14ac:dyDescent="0.25">
      <c r="B665" s="63" t="s">
        <v>15</v>
      </c>
      <c r="C665" s="80" t="s">
        <v>820</v>
      </c>
      <c r="D665" s="64" t="s">
        <v>71</v>
      </c>
      <c r="E665" s="135" t="str">
        <f t="shared" si="11"/>
        <v>Oleo Corporal Seve Amêndoas e Orquidia Negra 200ml Refil</v>
      </c>
      <c r="F665" s="2" t="s">
        <v>827</v>
      </c>
      <c r="G665" s="130"/>
      <c r="H665" s="2" t="s">
        <v>32</v>
      </c>
      <c r="I665" s="31" t="s">
        <v>201</v>
      </c>
      <c r="J665" s="11" t="s">
        <v>822</v>
      </c>
      <c r="K665" s="11"/>
      <c r="L665" s="11" t="s">
        <v>830</v>
      </c>
    </row>
    <row r="666" spans="2:12" ht="15" customHeight="1" x14ac:dyDescent="0.25">
      <c r="B666" s="63" t="s">
        <v>15</v>
      </c>
      <c r="C666" s="80" t="s">
        <v>820</v>
      </c>
      <c r="D666" s="64" t="s">
        <v>71</v>
      </c>
      <c r="E666" s="135" t="str">
        <f t="shared" si="11"/>
        <v>Oleo Corporal Seve Rosas e Amendoas 200ml Refil</v>
      </c>
      <c r="F666" s="2" t="s">
        <v>828</v>
      </c>
      <c r="G666" s="130"/>
      <c r="H666" s="2" t="s">
        <v>32</v>
      </c>
      <c r="I666" s="31" t="s">
        <v>201</v>
      </c>
      <c r="J666" s="11" t="s">
        <v>822</v>
      </c>
      <c r="K666" s="11"/>
      <c r="L666" s="11" t="s">
        <v>830</v>
      </c>
    </row>
    <row r="667" spans="2:12" ht="15" customHeight="1" x14ac:dyDescent="0.25">
      <c r="B667" s="63" t="s">
        <v>15</v>
      </c>
      <c r="C667" s="80" t="s">
        <v>820</v>
      </c>
      <c r="D667" s="64" t="s">
        <v>71</v>
      </c>
      <c r="E667" s="135" t="str">
        <f t="shared" si="11"/>
        <v>Oleo Corporal Seve Pimenta Rosa 200ml Refil</v>
      </c>
      <c r="F667" s="2" t="s">
        <v>829</v>
      </c>
      <c r="G667" s="130"/>
      <c r="H667" s="2" t="s">
        <v>32</v>
      </c>
      <c r="I667" s="31" t="s">
        <v>201</v>
      </c>
      <c r="J667" s="11" t="s">
        <v>822</v>
      </c>
      <c r="K667" s="11"/>
      <c r="L667" s="11" t="s">
        <v>830</v>
      </c>
    </row>
    <row r="668" spans="2:12" ht="15" customHeight="1" x14ac:dyDescent="0.25">
      <c r="B668" s="63" t="s">
        <v>15</v>
      </c>
      <c r="C668" s="80" t="s">
        <v>820</v>
      </c>
      <c r="D668" s="119" t="s">
        <v>831</v>
      </c>
      <c r="E668" s="135" t="str">
        <f t="shared" si="11"/>
        <v>Creme Corporal Desodorante Perfumado Seve Amêndoas Doces 200g Pote</v>
      </c>
      <c r="F668" s="120" t="s">
        <v>824</v>
      </c>
      <c r="G668" s="130"/>
      <c r="H668" s="2" t="s">
        <v>67</v>
      </c>
      <c r="I668" s="124" t="s">
        <v>62</v>
      </c>
      <c r="J668" s="123" t="s">
        <v>832</v>
      </c>
      <c r="L668" s="123" t="s">
        <v>833</v>
      </c>
    </row>
    <row r="669" spans="2:12" ht="15" customHeight="1" x14ac:dyDescent="0.25">
      <c r="B669" s="63" t="s">
        <v>15</v>
      </c>
      <c r="C669" s="80" t="s">
        <v>820</v>
      </c>
      <c r="D669" s="119" t="s">
        <v>831</v>
      </c>
      <c r="E669" s="135" t="str">
        <f t="shared" si="11"/>
        <v>Creme Corporal Desodorante Perfumado Seve Amêndoas e Orquidia Negra 200g Pote</v>
      </c>
      <c r="F669" s="2" t="s">
        <v>827</v>
      </c>
      <c r="G669" s="130"/>
      <c r="H669" s="2" t="s">
        <v>67</v>
      </c>
      <c r="I669" s="124" t="s">
        <v>62</v>
      </c>
      <c r="J669" s="123" t="s">
        <v>832</v>
      </c>
      <c r="L669" s="123" t="s">
        <v>833</v>
      </c>
    </row>
    <row r="670" spans="2:12" s="10" customFormat="1" ht="15" customHeight="1" x14ac:dyDescent="0.25">
      <c r="B670" s="63" t="s">
        <v>15</v>
      </c>
      <c r="C670" s="81" t="s">
        <v>834</v>
      </c>
      <c r="D670" s="96" t="s">
        <v>344</v>
      </c>
      <c r="E670" s="135" t="str">
        <f t="shared" si="11"/>
        <v>Colonia Biografia Assinatura 25ml Miniatura</v>
      </c>
      <c r="F670" s="2" t="s">
        <v>835</v>
      </c>
      <c r="G670" s="130"/>
      <c r="H670" s="9" t="s">
        <v>530</v>
      </c>
      <c r="I670" s="95" t="s">
        <v>531</v>
      </c>
      <c r="J670" s="20" t="s">
        <v>836</v>
      </c>
      <c r="K670" s="171"/>
      <c r="L670" s="171">
        <v>67</v>
      </c>
    </row>
    <row r="671" spans="2:12" ht="15" customHeight="1" x14ac:dyDescent="0.25">
      <c r="B671" s="63" t="s">
        <v>15</v>
      </c>
      <c r="C671" s="81" t="s">
        <v>834</v>
      </c>
      <c r="D671" s="96" t="s">
        <v>344</v>
      </c>
      <c r="E671" s="135" t="str">
        <f t="shared" si="11"/>
        <v>Colonia Biografia Feminino 25ml Miniatura</v>
      </c>
      <c r="F671" s="2" t="s">
        <v>467</v>
      </c>
      <c r="G671" s="130"/>
      <c r="H671" s="9" t="s">
        <v>530</v>
      </c>
      <c r="I671" s="95" t="s">
        <v>531</v>
      </c>
      <c r="J671" s="11" t="s">
        <v>837</v>
      </c>
      <c r="K671" s="171"/>
      <c r="L671" s="171">
        <v>67</v>
      </c>
    </row>
    <row r="672" spans="2:12" ht="15" customHeight="1" x14ac:dyDescent="0.25">
      <c r="B672" s="63" t="s">
        <v>15</v>
      </c>
      <c r="C672" s="81" t="s">
        <v>834</v>
      </c>
      <c r="D672" s="96" t="s">
        <v>344</v>
      </c>
      <c r="E672" s="135" t="str">
        <f t="shared" si="11"/>
        <v>Colonia Biografia Encontros 25ml Miniatura</v>
      </c>
      <c r="F672" s="2" t="s">
        <v>838</v>
      </c>
      <c r="G672" s="130"/>
      <c r="H672" s="9" t="s">
        <v>530</v>
      </c>
      <c r="I672" s="95" t="s">
        <v>531</v>
      </c>
      <c r="J672" s="11" t="s">
        <v>839</v>
      </c>
      <c r="K672" s="171"/>
      <c r="L672" s="171">
        <v>67</v>
      </c>
    </row>
    <row r="673" spans="1:12" ht="15" customHeight="1" x14ac:dyDescent="0.25">
      <c r="B673" s="63" t="s">
        <v>15</v>
      </c>
      <c r="C673" s="81" t="s">
        <v>834</v>
      </c>
      <c r="D673" s="96" t="s">
        <v>344</v>
      </c>
      <c r="E673" s="135" t="str">
        <f t="shared" si="11"/>
        <v>Colonia Biografia Assinatura 25ml Miniatura</v>
      </c>
      <c r="F673" s="2" t="s">
        <v>835</v>
      </c>
      <c r="G673" s="130"/>
      <c r="H673" s="9" t="s">
        <v>530</v>
      </c>
      <c r="I673" s="95" t="s">
        <v>531</v>
      </c>
      <c r="J673" s="20" t="s">
        <v>840</v>
      </c>
      <c r="K673" s="171"/>
      <c r="L673" s="171">
        <v>67</v>
      </c>
    </row>
    <row r="674" spans="1:12" ht="15" customHeight="1" x14ac:dyDescent="0.25">
      <c r="B674" s="63" t="s">
        <v>15</v>
      </c>
      <c r="C674" s="81" t="s">
        <v>834</v>
      </c>
      <c r="D674" s="96" t="s">
        <v>344</v>
      </c>
      <c r="E674" s="135" t="str">
        <f t="shared" si="11"/>
        <v>Colonia Biografia Feminino 25ml Miniatura</v>
      </c>
      <c r="F674" s="2" t="s">
        <v>841</v>
      </c>
      <c r="G674" s="130"/>
      <c r="H674" s="9" t="s">
        <v>530</v>
      </c>
      <c r="I674" s="95" t="s">
        <v>531</v>
      </c>
      <c r="J674" s="31" t="s">
        <v>842</v>
      </c>
      <c r="K674" s="171"/>
      <c r="L674" s="171">
        <v>67</v>
      </c>
    </row>
    <row r="675" spans="1:12" ht="15" customHeight="1" x14ac:dyDescent="0.25">
      <c r="B675" s="63" t="s">
        <v>15</v>
      </c>
      <c r="C675" s="81" t="s">
        <v>834</v>
      </c>
      <c r="D675" s="96" t="s">
        <v>344</v>
      </c>
      <c r="E675" s="135" t="str">
        <f t="shared" si="11"/>
        <v>Colonia Biografia Encontros 25ml Miniatura</v>
      </c>
      <c r="F675" s="2" t="s">
        <v>838</v>
      </c>
      <c r="G675" s="130"/>
      <c r="H675" s="9" t="s">
        <v>530</v>
      </c>
      <c r="I675" s="95" t="s">
        <v>531</v>
      </c>
      <c r="J675" s="11" t="s">
        <v>843</v>
      </c>
      <c r="K675" s="171"/>
      <c r="L675" s="171">
        <v>67</v>
      </c>
    </row>
    <row r="676" spans="1:12" ht="15" customHeight="1" x14ac:dyDescent="0.25">
      <c r="B676" s="63" t="s">
        <v>15</v>
      </c>
      <c r="C676" s="81" t="s">
        <v>834</v>
      </c>
      <c r="D676" s="96" t="s">
        <v>344</v>
      </c>
      <c r="E676" s="135" t="str">
        <f t="shared" si="11"/>
        <v>Colonia Biografia Inspire 25ml Miniatura</v>
      </c>
      <c r="F676" s="2" t="s">
        <v>844</v>
      </c>
      <c r="G676" s="130"/>
      <c r="H676" s="9" t="s">
        <v>530</v>
      </c>
      <c r="I676" s="95" t="s">
        <v>531</v>
      </c>
      <c r="J676" s="11" t="s">
        <v>845</v>
      </c>
      <c r="K676" s="171"/>
      <c r="L676" s="171">
        <v>67</v>
      </c>
    </row>
    <row r="677" spans="1:12" ht="15" customHeight="1" x14ac:dyDescent="0.25">
      <c r="B677" s="63" t="s">
        <v>15</v>
      </c>
      <c r="C677" s="81" t="s">
        <v>834</v>
      </c>
      <c r="D677" s="96" t="s">
        <v>344</v>
      </c>
      <c r="E677" s="135" t="str">
        <f t="shared" ref="E677:E708" si="12">TRIM(CONCATENATE(D677, " ", C677, " ", F677, " ", IF(G677&gt;0, G677 &amp; "x" &amp; H677, H677), " ", I677))</f>
        <v>Colonia Biografia Assinatura Feminino 100ml Frasco</v>
      </c>
      <c r="F677" s="94" t="s">
        <v>846</v>
      </c>
      <c r="G677" s="130"/>
      <c r="H677" s="2" t="s">
        <v>371</v>
      </c>
      <c r="I677" s="31" t="s">
        <v>847</v>
      </c>
      <c r="J677" s="20" t="s">
        <v>836</v>
      </c>
      <c r="K677" s="11"/>
      <c r="L677" s="1"/>
    </row>
    <row r="678" spans="1:12" ht="15" customHeight="1" x14ac:dyDescent="0.25">
      <c r="B678" s="63" t="s">
        <v>15</v>
      </c>
      <c r="C678" s="81" t="s">
        <v>834</v>
      </c>
      <c r="D678" s="96" t="s">
        <v>344</v>
      </c>
      <c r="E678" s="135" t="str">
        <f t="shared" si="12"/>
        <v>Colonia Biografia Feminino 100ml Frasco</v>
      </c>
      <c r="F678" s="94" t="s">
        <v>467</v>
      </c>
      <c r="G678" s="130"/>
      <c r="H678" s="2" t="s">
        <v>371</v>
      </c>
      <c r="I678" s="31" t="s">
        <v>847</v>
      </c>
      <c r="J678" s="11" t="s">
        <v>837</v>
      </c>
      <c r="K678" s="11"/>
      <c r="L678" s="1"/>
    </row>
    <row r="679" spans="1:12" ht="15" customHeight="1" x14ac:dyDescent="0.25">
      <c r="A679" t="s">
        <v>848</v>
      </c>
      <c r="B679" s="63" t="s">
        <v>15</v>
      </c>
      <c r="C679" s="81" t="s">
        <v>834</v>
      </c>
      <c r="D679" s="96" t="s">
        <v>344</v>
      </c>
      <c r="E679" s="135" t="str">
        <f t="shared" si="12"/>
        <v>Colonia Biografia Caminhos Feminino 100ml Frasco</v>
      </c>
      <c r="F679" s="94" t="s">
        <v>849</v>
      </c>
      <c r="G679" s="130"/>
      <c r="H679" s="2" t="s">
        <v>371</v>
      </c>
      <c r="I679" s="31" t="s">
        <v>847</v>
      </c>
      <c r="J679" s="11" t="s">
        <v>850</v>
      </c>
      <c r="K679" s="11"/>
      <c r="L679" s="1"/>
    </row>
    <row r="680" spans="1:12" ht="15" customHeight="1" x14ac:dyDescent="0.25">
      <c r="B680" s="63" t="s">
        <v>15</v>
      </c>
      <c r="C680" s="81" t="s">
        <v>834</v>
      </c>
      <c r="D680" s="96" t="s">
        <v>344</v>
      </c>
      <c r="E680" s="135" t="str">
        <f t="shared" si="12"/>
        <v>Colonia Biografia Encontros Feminino 100ml Frasco</v>
      </c>
      <c r="F680" s="94" t="s">
        <v>851</v>
      </c>
      <c r="G680" s="130"/>
      <c r="H680" s="2" t="s">
        <v>371</v>
      </c>
      <c r="I680" s="31" t="s">
        <v>847</v>
      </c>
      <c r="J680" s="11" t="s">
        <v>839</v>
      </c>
      <c r="K680" s="11"/>
      <c r="L680" s="1"/>
    </row>
    <row r="681" spans="1:12" ht="15" customHeight="1" x14ac:dyDescent="0.25">
      <c r="B681" s="63" t="s">
        <v>15</v>
      </c>
      <c r="C681" s="81" t="s">
        <v>834</v>
      </c>
      <c r="D681" s="96" t="s">
        <v>344</v>
      </c>
      <c r="E681" s="135" t="str">
        <f t="shared" si="12"/>
        <v>Colonia Biografia Inspire Feminino 100ml Frasco</v>
      </c>
      <c r="F681" s="94" t="s">
        <v>852</v>
      </c>
      <c r="G681" s="130"/>
      <c r="H681" s="2" t="s">
        <v>371</v>
      </c>
      <c r="I681" s="31" t="s">
        <v>847</v>
      </c>
      <c r="J681" s="123" t="s">
        <v>853</v>
      </c>
      <c r="K681" s="11"/>
      <c r="L681" s="1"/>
    </row>
    <row r="682" spans="1:12" ht="15" customHeight="1" x14ac:dyDescent="0.25">
      <c r="B682" s="63" t="s">
        <v>15</v>
      </c>
      <c r="C682" s="81" t="s">
        <v>834</v>
      </c>
      <c r="D682" s="96" t="s">
        <v>344</v>
      </c>
      <c r="E682" s="135" t="str">
        <f t="shared" si="12"/>
        <v>Colonia Biografia Assinatura Masculino 100ml Frasco</v>
      </c>
      <c r="F682" s="94" t="s">
        <v>854</v>
      </c>
      <c r="G682" s="130"/>
      <c r="H682" s="2" t="s">
        <v>371</v>
      </c>
      <c r="I682" s="2" t="s">
        <v>33</v>
      </c>
      <c r="J682" s="20" t="s">
        <v>840</v>
      </c>
      <c r="K682" s="11"/>
      <c r="L682" s="1"/>
    </row>
    <row r="683" spans="1:12" ht="15" customHeight="1" x14ac:dyDescent="0.25">
      <c r="A683" t="s">
        <v>855</v>
      </c>
      <c r="B683" s="63" t="s">
        <v>15</v>
      </c>
      <c r="C683" s="81" t="s">
        <v>834</v>
      </c>
      <c r="D683" s="96" t="s">
        <v>344</v>
      </c>
      <c r="E683" s="135" t="str">
        <f t="shared" si="12"/>
        <v>Colonia Biografia Masculino 100ml Frasco</v>
      </c>
      <c r="F683" s="94" t="s">
        <v>434</v>
      </c>
      <c r="G683" s="130"/>
      <c r="H683" s="2" t="s">
        <v>371</v>
      </c>
      <c r="I683" s="2" t="s">
        <v>33</v>
      </c>
      <c r="J683" s="31" t="s">
        <v>842</v>
      </c>
      <c r="K683" s="11"/>
      <c r="L683" s="1"/>
    </row>
    <row r="684" spans="1:12" ht="15" customHeight="1" x14ac:dyDescent="0.25">
      <c r="B684" s="63" t="s">
        <v>15</v>
      </c>
      <c r="C684" s="81" t="s">
        <v>834</v>
      </c>
      <c r="D684" s="96" t="s">
        <v>344</v>
      </c>
      <c r="E684" s="135" t="str">
        <f t="shared" si="12"/>
        <v>Colonia Biografia Encontros 100ml Frasco</v>
      </c>
      <c r="F684" s="2" t="s">
        <v>838</v>
      </c>
      <c r="G684" s="130"/>
      <c r="H684" s="2" t="s">
        <v>371</v>
      </c>
      <c r="I684" s="2" t="s">
        <v>33</v>
      </c>
      <c r="J684" s="11" t="s">
        <v>843</v>
      </c>
      <c r="K684" s="11"/>
      <c r="L684" s="1"/>
    </row>
    <row r="685" spans="1:12" ht="15" customHeight="1" x14ac:dyDescent="0.25">
      <c r="B685" s="63" t="s">
        <v>15</v>
      </c>
      <c r="C685" s="81" t="s">
        <v>834</v>
      </c>
      <c r="D685" s="96" t="s">
        <v>344</v>
      </c>
      <c r="E685" s="135" t="str">
        <f t="shared" si="12"/>
        <v>Colonia Biografia Inspire Masculino 100ml Frasco</v>
      </c>
      <c r="F685" s="94" t="s">
        <v>856</v>
      </c>
      <c r="G685" s="130"/>
      <c r="H685" s="2" t="s">
        <v>371</v>
      </c>
      <c r="I685" s="2" t="s">
        <v>33</v>
      </c>
      <c r="J685" s="11" t="s">
        <v>845</v>
      </c>
      <c r="K685" s="11"/>
      <c r="L685" s="1"/>
    </row>
    <row r="686" spans="1:12" s="59" customFormat="1" ht="15" customHeight="1" x14ac:dyDescent="0.25">
      <c r="B686" s="63" t="s">
        <v>15</v>
      </c>
      <c r="C686" s="81" t="s">
        <v>834</v>
      </c>
      <c r="D686" s="132" t="s">
        <v>857</v>
      </c>
      <c r="E686" s="135" t="str">
        <f t="shared" si="12"/>
        <v>Sabonete Liquido Biografia Feminino 100ml Frasco</v>
      </c>
      <c r="F686" s="122" t="s">
        <v>467</v>
      </c>
      <c r="G686" s="130"/>
      <c r="H686" s="2" t="s">
        <v>371</v>
      </c>
      <c r="I686" s="36" t="s">
        <v>33</v>
      </c>
      <c r="J686" s="58"/>
      <c r="K686" s="58"/>
      <c r="L686" s="57"/>
    </row>
    <row r="687" spans="1:12" s="59" customFormat="1" ht="15" customHeight="1" x14ac:dyDescent="0.25">
      <c r="B687" s="63" t="s">
        <v>15</v>
      </c>
      <c r="C687" s="81" t="s">
        <v>834</v>
      </c>
      <c r="D687" s="132" t="s">
        <v>858</v>
      </c>
      <c r="E687" s="135" t="str">
        <f t="shared" si="12"/>
        <v>Hidratante para Maos Biografia Feminino 40g Frasco</v>
      </c>
      <c r="F687" s="122" t="s">
        <v>467</v>
      </c>
      <c r="G687" s="130"/>
      <c r="H687" s="9" t="s">
        <v>583</v>
      </c>
      <c r="I687" s="36" t="s">
        <v>33</v>
      </c>
      <c r="J687" s="58"/>
      <c r="K687" s="58"/>
      <c r="L687" s="57"/>
    </row>
    <row r="688" spans="1:12" s="59" customFormat="1" ht="15" customHeight="1" x14ac:dyDescent="0.25">
      <c r="B688" s="63" t="s">
        <v>15</v>
      </c>
      <c r="C688" s="81" t="s">
        <v>834</v>
      </c>
      <c r="D688" s="132" t="s">
        <v>729</v>
      </c>
      <c r="E688" s="135" t="str">
        <f t="shared" si="12"/>
        <v>Desodorante Corporal Perfumado Biografia Feminino 100ml Frasco</v>
      </c>
      <c r="F688" s="9" t="s">
        <v>494</v>
      </c>
      <c r="G688" s="130"/>
      <c r="H688" s="9" t="s">
        <v>135</v>
      </c>
      <c r="I688" s="36" t="s">
        <v>33</v>
      </c>
      <c r="J688" s="11" t="s">
        <v>654</v>
      </c>
      <c r="K688" s="58"/>
      <c r="L688" s="57"/>
    </row>
    <row r="689" spans="1:12" s="59" customFormat="1" ht="15" customHeight="1" x14ac:dyDescent="0.25">
      <c r="A689" t="s">
        <v>859</v>
      </c>
      <c r="B689" s="63" t="s">
        <v>15</v>
      </c>
      <c r="C689" s="81" t="s">
        <v>834</v>
      </c>
      <c r="D689" s="132" t="s">
        <v>729</v>
      </c>
      <c r="E689" s="135" t="str">
        <f t="shared" si="12"/>
        <v>Desodorante Corporal Perfumado Biografia inspire 100ml Frasco</v>
      </c>
      <c r="F689" s="123" t="s">
        <v>860</v>
      </c>
      <c r="G689" s="130"/>
      <c r="H689" s="9" t="s">
        <v>135</v>
      </c>
      <c r="I689" s="36" t="s">
        <v>33</v>
      </c>
      <c r="J689" s="11" t="s">
        <v>654</v>
      </c>
      <c r="K689" s="58"/>
      <c r="L689" s="57"/>
    </row>
    <row r="690" spans="1:12" s="59" customFormat="1" ht="15" customHeight="1" x14ac:dyDescent="0.25">
      <c r="B690" s="63" t="s">
        <v>15</v>
      </c>
      <c r="C690" s="81" t="s">
        <v>834</v>
      </c>
      <c r="D690" s="132" t="s">
        <v>729</v>
      </c>
      <c r="E690" s="135" t="str">
        <f t="shared" si="12"/>
        <v>Desodorante Corporal Perfumado Biografia Feminino 100ml Frasco</v>
      </c>
      <c r="F690" s="60" t="s">
        <v>841</v>
      </c>
      <c r="G690" s="130"/>
      <c r="H690" s="9" t="s">
        <v>135</v>
      </c>
      <c r="I690" s="36" t="s">
        <v>33</v>
      </c>
      <c r="J690" s="11" t="s">
        <v>654</v>
      </c>
      <c r="K690" s="58"/>
      <c r="L690" s="57"/>
    </row>
    <row r="691" spans="1:12" s="59" customFormat="1" ht="15" customHeight="1" x14ac:dyDescent="0.25">
      <c r="A691" t="s">
        <v>861</v>
      </c>
      <c r="B691" s="63" t="s">
        <v>15</v>
      </c>
      <c r="C691" s="81" t="s">
        <v>834</v>
      </c>
      <c r="D691" s="132" t="s">
        <v>729</v>
      </c>
      <c r="E691" s="135" t="str">
        <f t="shared" si="12"/>
        <v>Desodorante Corporal Perfumado Biografia Feminino 100ml Refil</v>
      </c>
      <c r="F691" s="60" t="s">
        <v>841</v>
      </c>
      <c r="G691" s="130"/>
      <c r="H691" s="9" t="s">
        <v>135</v>
      </c>
      <c r="I691" s="36" t="s">
        <v>201</v>
      </c>
      <c r="J691" s="11" t="s">
        <v>654</v>
      </c>
      <c r="K691" s="58"/>
      <c r="L691" s="57"/>
    </row>
    <row r="692" spans="1:12" s="59" customFormat="1" ht="15" customHeight="1" x14ac:dyDescent="0.25">
      <c r="B692" s="63" t="s">
        <v>15</v>
      </c>
      <c r="C692" s="81" t="s">
        <v>834</v>
      </c>
      <c r="D692" s="132" t="s">
        <v>729</v>
      </c>
      <c r="E692" s="135" t="str">
        <f t="shared" si="12"/>
        <v>Desodorante Corporal Perfumado Biografia Inspire 100ml Refil</v>
      </c>
      <c r="F692" s="123" t="s">
        <v>844</v>
      </c>
      <c r="G692" s="130"/>
      <c r="H692" s="9" t="s">
        <v>135</v>
      </c>
      <c r="I692" s="36" t="s">
        <v>201</v>
      </c>
      <c r="J692" s="11" t="s">
        <v>654</v>
      </c>
      <c r="K692" s="58"/>
      <c r="L692" s="57"/>
    </row>
    <row r="693" spans="1:12" ht="15" customHeight="1" x14ac:dyDescent="0.25">
      <c r="A693" t="s">
        <v>861</v>
      </c>
      <c r="B693" s="63" t="s">
        <v>15</v>
      </c>
      <c r="C693" s="81" t="s">
        <v>834</v>
      </c>
      <c r="D693" s="132" t="s">
        <v>729</v>
      </c>
      <c r="E693" s="135" t="str">
        <f t="shared" si="12"/>
        <v>Desodorante Corporal Perfumado Biografia Feminino 100ml Refil</v>
      </c>
      <c r="F693" s="2" t="s">
        <v>841</v>
      </c>
      <c r="G693" s="130"/>
      <c r="H693" s="9" t="s">
        <v>135</v>
      </c>
      <c r="I693" s="36" t="s">
        <v>201</v>
      </c>
      <c r="J693" s="11" t="s">
        <v>654</v>
      </c>
      <c r="K693" s="11"/>
      <c r="L693" s="1"/>
    </row>
    <row r="694" spans="1:12" ht="15" customHeight="1" x14ac:dyDescent="0.25">
      <c r="B694" s="63" t="s">
        <v>15</v>
      </c>
      <c r="C694" s="115" t="s">
        <v>862</v>
      </c>
      <c r="D694" s="64" t="s">
        <v>863</v>
      </c>
      <c r="E694" s="135" t="str">
        <f t="shared" si="12"/>
        <v>Agua Colonia Bebe Mamãe e Bebê Flor de Laranjeira Amarelinho 0a3 anos 100ml Frasco</v>
      </c>
      <c r="F694" s="2" t="s">
        <v>864</v>
      </c>
      <c r="G694" s="130"/>
      <c r="H694" s="9" t="s">
        <v>135</v>
      </c>
      <c r="I694" s="31" t="s">
        <v>33</v>
      </c>
      <c r="J694" s="93" t="s">
        <v>865</v>
      </c>
      <c r="K694" s="11"/>
      <c r="L694" s="1"/>
    </row>
    <row r="695" spans="1:12" ht="15" customHeight="1" x14ac:dyDescent="0.25">
      <c r="B695" s="63" t="s">
        <v>15</v>
      </c>
      <c r="C695" s="115" t="s">
        <v>862</v>
      </c>
      <c r="D695" s="64" t="s">
        <v>863</v>
      </c>
      <c r="E695" s="135" t="str">
        <f t="shared" si="12"/>
        <v>Agua Colonia Bebe Mamãe e Bebê Para o Bebê Verde 0a3 anos 100ml Frasco</v>
      </c>
      <c r="F695" s="2" t="s">
        <v>866</v>
      </c>
      <c r="G695" s="130"/>
      <c r="H695" s="9" t="s">
        <v>135</v>
      </c>
      <c r="I695" s="31" t="s">
        <v>33</v>
      </c>
      <c r="J695" s="2" t="s">
        <v>867</v>
      </c>
      <c r="K695" s="11"/>
      <c r="L695" s="1"/>
    </row>
    <row r="696" spans="1:12" ht="15" customHeight="1" x14ac:dyDescent="0.25">
      <c r="B696" s="63" t="s">
        <v>15</v>
      </c>
      <c r="C696" s="115" t="s">
        <v>862</v>
      </c>
      <c r="D696" s="64" t="s">
        <v>863</v>
      </c>
      <c r="E696" s="135" t="str">
        <f t="shared" si="12"/>
        <v>Agua Colonia Bebe Mamãe e Bebê Relaxante Roxinho 0a3 anos 100ml Frasco</v>
      </c>
      <c r="F696" s="2" t="s">
        <v>868</v>
      </c>
      <c r="G696" s="130"/>
      <c r="H696" s="9" t="s">
        <v>135</v>
      </c>
      <c r="I696" s="31" t="s">
        <v>33</v>
      </c>
      <c r="J696" s="87" t="s">
        <v>869</v>
      </c>
      <c r="K696" s="11"/>
      <c r="L696" s="1"/>
    </row>
    <row r="697" spans="1:12" ht="15" customHeight="1" x14ac:dyDescent="0.25">
      <c r="A697" t="s">
        <v>870</v>
      </c>
      <c r="B697" s="63" t="s">
        <v>15</v>
      </c>
      <c r="C697" s="115" t="s">
        <v>862</v>
      </c>
      <c r="D697" s="64" t="s">
        <v>871</v>
      </c>
      <c r="E697" s="135" t="str">
        <f t="shared" si="12"/>
        <v>Agua Colonia Mamae Mamãe e Bebê Rosinha / Para Mamãe 100ml Frasco</v>
      </c>
      <c r="F697" s="2" t="s">
        <v>872</v>
      </c>
      <c r="G697" s="130"/>
      <c r="H697" s="9" t="s">
        <v>135</v>
      </c>
      <c r="I697" s="31" t="s">
        <v>33</v>
      </c>
      <c r="J697" s="87" t="s">
        <v>873</v>
      </c>
      <c r="K697" s="11"/>
      <c r="L697" s="1"/>
    </row>
    <row r="698" spans="1:12" ht="15" customHeight="1" x14ac:dyDescent="0.25">
      <c r="B698" s="63" t="s">
        <v>15</v>
      </c>
      <c r="C698" s="115" t="s">
        <v>862</v>
      </c>
      <c r="D698" s="64" t="s">
        <v>203</v>
      </c>
      <c r="E698" s="135" t="str">
        <f t="shared" si="12"/>
        <v>Shampoo Mamãe e Bebê Para o Bebê Verde 0a3 anos 200ml Frasco</v>
      </c>
      <c r="F698" s="2" t="s">
        <v>866</v>
      </c>
      <c r="G698" s="130"/>
      <c r="H698" s="2" t="s">
        <v>32</v>
      </c>
      <c r="I698" s="31" t="s">
        <v>33</v>
      </c>
      <c r="J698" s="123" t="s">
        <v>874</v>
      </c>
      <c r="K698" s="11"/>
      <c r="L698" s="1"/>
    </row>
    <row r="699" spans="1:12" ht="15" customHeight="1" x14ac:dyDescent="0.25">
      <c r="B699" s="63" t="s">
        <v>15</v>
      </c>
      <c r="C699" s="115" t="s">
        <v>862</v>
      </c>
      <c r="D699" s="64" t="s">
        <v>203</v>
      </c>
      <c r="E699" s="135" t="str">
        <f t="shared" si="12"/>
        <v>Shampoo Mamãe e Bebê Para o Bebê Verde Escuro 0a3 anos 200ml Frasco</v>
      </c>
      <c r="F699" s="2" t="s">
        <v>875</v>
      </c>
      <c r="G699" s="130"/>
      <c r="H699" s="2" t="s">
        <v>32</v>
      </c>
      <c r="I699" s="31" t="s">
        <v>33</v>
      </c>
      <c r="J699" s="140" t="s">
        <v>876</v>
      </c>
      <c r="K699" s="2"/>
      <c r="L699" s="1"/>
    </row>
    <row r="700" spans="1:12" ht="15" customHeight="1" x14ac:dyDescent="0.25">
      <c r="B700" s="63" t="s">
        <v>15</v>
      </c>
      <c r="C700" s="115" t="s">
        <v>862</v>
      </c>
      <c r="D700" s="64" t="s">
        <v>203</v>
      </c>
      <c r="E700" s="135" t="str">
        <f t="shared" si="12"/>
        <v>Shampoo Mamãe e Bebê Para o Bebê Verde 0a3 anos 200ml Refil</v>
      </c>
      <c r="F700" s="2" t="s">
        <v>866</v>
      </c>
      <c r="G700" s="130"/>
      <c r="H700" s="2" t="s">
        <v>32</v>
      </c>
      <c r="I700" s="31" t="s">
        <v>201</v>
      </c>
      <c r="J700" s="123" t="s">
        <v>874</v>
      </c>
      <c r="K700" s="11"/>
      <c r="L700" s="1"/>
    </row>
    <row r="701" spans="1:12" ht="15" customHeight="1" x14ac:dyDescent="0.25">
      <c r="B701" s="63" t="s">
        <v>15</v>
      </c>
      <c r="C701" s="115" t="s">
        <v>862</v>
      </c>
      <c r="D701" s="64" t="s">
        <v>213</v>
      </c>
      <c r="E701" s="135" t="str">
        <f t="shared" si="12"/>
        <v>Condicionador Mamãe e Bebê Para o Bebê Verde 0a3 anos 200ml Frasco</v>
      </c>
      <c r="F701" s="2" t="s">
        <v>877</v>
      </c>
      <c r="G701" s="130"/>
      <c r="H701" s="2" t="s">
        <v>32</v>
      </c>
      <c r="I701" s="31" t="s">
        <v>33</v>
      </c>
      <c r="J701" s="2" t="s">
        <v>878</v>
      </c>
      <c r="K701" s="11"/>
      <c r="L701" s="1"/>
    </row>
    <row r="702" spans="1:12" ht="15" customHeight="1" x14ac:dyDescent="0.25">
      <c r="B702" s="63" t="s">
        <v>15</v>
      </c>
      <c r="C702" s="115" t="s">
        <v>862</v>
      </c>
      <c r="D702" s="64" t="s">
        <v>213</v>
      </c>
      <c r="E702" s="135" t="str">
        <f t="shared" si="12"/>
        <v>Condicionador Mamãe e Bebê Para o Bebê Verde Escuro 0a3 anos 200ml Frasco</v>
      </c>
      <c r="F702" s="2" t="s">
        <v>875</v>
      </c>
      <c r="G702" s="130"/>
      <c r="H702" s="2" t="s">
        <v>32</v>
      </c>
      <c r="I702" s="31" t="s">
        <v>33</v>
      </c>
      <c r="J702" s="140" t="s">
        <v>879</v>
      </c>
      <c r="K702" s="2"/>
      <c r="L702" s="1"/>
    </row>
    <row r="703" spans="1:12" ht="15" customHeight="1" x14ac:dyDescent="0.25">
      <c r="B703" s="63" t="s">
        <v>15</v>
      </c>
      <c r="C703" s="115" t="s">
        <v>862</v>
      </c>
      <c r="D703" s="64" t="s">
        <v>213</v>
      </c>
      <c r="E703" s="135" t="str">
        <f t="shared" si="12"/>
        <v>Condicionador Mamãe e Bebê Para o Bebê Verde 0a3 anos 200ml Refil</v>
      </c>
      <c r="F703" s="2" t="s">
        <v>866</v>
      </c>
      <c r="G703" s="130"/>
      <c r="H703" s="2" t="s">
        <v>32</v>
      </c>
      <c r="I703" s="31" t="s">
        <v>201</v>
      </c>
      <c r="J703" s="2" t="s">
        <v>878</v>
      </c>
      <c r="K703" s="11"/>
      <c r="L703" s="1"/>
    </row>
    <row r="704" spans="1:12" ht="15" customHeight="1" x14ac:dyDescent="0.25">
      <c r="B704" s="63" t="s">
        <v>15</v>
      </c>
      <c r="C704" s="115" t="s">
        <v>862</v>
      </c>
      <c r="D704" s="119" t="s">
        <v>333</v>
      </c>
      <c r="E704" s="135" t="str">
        <f t="shared" si="12"/>
        <v>Creme Para Pentear Mamãe e Bebê Para o Bebê Verde Escuro 0a3 anos 125ml Frasco</v>
      </c>
      <c r="F704" s="2" t="s">
        <v>875</v>
      </c>
      <c r="G704" s="130"/>
      <c r="H704" s="2" t="s">
        <v>644</v>
      </c>
      <c r="I704" s="31" t="s">
        <v>33</v>
      </c>
      <c r="J704" s="140" t="s">
        <v>880</v>
      </c>
      <c r="K704" s="11"/>
      <c r="L704" s="1"/>
    </row>
    <row r="705" spans="1:12" ht="15" customHeight="1" x14ac:dyDescent="0.25">
      <c r="A705" t="s">
        <v>881</v>
      </c>
      <c r="B705" s="63" t="s">
        <v>15</v>
      </c>
      <c r="C705" s="115" t="s">
        <v>862</v>
      </c>
      <c r="D705" s="119" t="s">
        <v>857</v>
      </c>
      <c r="E705" s="135" t="str">
        <f t="shared" si="12"/>
        <v>Sabonete Liquido Mamãe e Bebê Para o Bebê Verde 0a3 anos 50ml Frasco</v>
      </c>
      <c r="F705" s="2" t="s">
        <v>866</v>
      </c>
      <c r="G705" s="130"/>
      <c r="H705" s="2" t="s">
        <v>355</v>
      </c>
      <c r="I705" s="31" t="s">
        <v>33</v>
      </c>
      <c r="J705" s="2" t="s">
        <v>882</v>
      </c>
      <c r="K705" s="11"/>
      <c r="L705" s="1"/>
    </row>
    <row r="706" spans="1:12" ht="15" customHeight="1" x14ac:dyDescent="0.25">
      <c r="B706" s="63" t="s">
        <v>15</v>
      </c>
      <c r="C706" s="115" t="s">
        <v>862</v>
      </c>
      <c r="D706" s="119" t="s">
        <v>857</v>
      </c>
      <c r="E706" s="135" t="str">
        <f t="shared" si="12"/>
        <v>Sabonete Liquido Mamãe e Bebê Para o Bebê Verde 0a3 anos 200ml Frasco</v>
      </c>
      <c r="F706" s="2" t="s">
        <v>866</v>
      </c>
      <c r="G706" s="130"/>
      <c r="H706" s="2" t="s">
        <v>32</v>
      </c>
      <c r="I706" s="31" t="s">
        <v>33</v>
      </c>
      <c r="J706" s="2" t="s">
        <v>882</v>
      </c>
      <c r="K706" s="11"/>
      <c r="L706" s="1"/>
    </row>
    <row r="707" spans="1:12" ht="15" customHeight="1" x14ac:dyDescent="0.25">
      <c r="B707" s="63" t="s">
        <v>15</v>
      </c>
      <c r="C707" s="115" t="s">
        <v>862</v>
      </c>
      <c r="D707" s="64" t="s">
        <v>857</v>
      </c>
      <c r="E707" s="135" t="str">
        <f t="shared" si="12"/>
        <v>Sabonete Liquido Mamãe e Bebê Para o Bebê Verde 0a3 anos 400ml Frasco</v>
      </c>
      <c r="F707" s="2" t="s">
        <v>866</v>
      </c>
      <c r="G707" s="130"/>
      <c r="H707" s="2" t="s">
        <v>274</v>
      </c>
      <c r="I707" s="31" t="s">
        <v>33</v>
      </c>
      <c r="J707" s="2" t="s">
        <v>882</v>
      </c>
      <c r="K707" s="11"/>
      <c r="L707" s="1"/>
    </row>
    <row r="708" spans="1:12" ht="15" customHeight="1" x14ac:dyDescent="0.25">
      <c r="B708" s="63" t="s">
        <v>15</v>
      </c>
      <c r="C708" s="115" t="s">
        <v>862</v>
      </c>
      <c r="D708" s="64" t="s">
        <v>857</v>
      </c>
      <c r="E708" s="135" t="str">
        <f t="shared" si="12"/>
        <v>Sabonete Liquido Mamãe e Bebê Relaxante Roxinho 0a3 anos 200ml Frasco</v>
      </c>
      <c r="F708" s="2" t="s">
        <v>868</v>
      </c>
      <c r="G708" s="130"/>
      <c r="H708" s="2" t="s">
        <v>32</v>
      </c>
      <c r="I708" s="31" t="s">
        <v>33</v>
      </c>
      <c r="J708" s="2" t="s">
        <v>883</v>
      </c>
      <c r="K708" s="11"/>
      <c r="L708" s="1"/>
    </row>
    <row r="709" spans="1:12" ht="15" customHeight="1" x14ac:dyDescent="0.25">
      <c r="B709" s="63" t="s">
        <v>15</v>
      </c>
      <c r="C709" s="115" t="s">
        <v>862</v>
      </c>
      <c r="D709" s="64" t="s">
        <v>857</v>
      </c>
      <c r="E709" s="135" t="str">
        <f t="shared" ref="E709:E740" si="13">TRIM(CONCATENATE(D709, " ", C709, " ", F709, " ", IF(G709&gt;0, G709 &amp; "x" &amp; H709, H709), " ", I709))</f>
        <v>Sabonete Liquido Mamãe e Bebê Branco Sem Fragrância 0a3 anos 200ml Frasco</v>
      </c>
      <c r="F709" s="123" t="s">
        <v>884</v>
      </c>
      <c r="G709" s="130"/>
      <c r="H709" s="2" t="s">
        <v>32</v>
      </c>
      <c r="I709" s="31" t="s">
        <v>33</v>
      </c>
      <c r="J709" s="2" t="s">
        <v>885</v>
      </c>
      <c r="K709" s="11"/>
      <c r="L709" s="1"/>
    </row>
    <row r="710" spans="1:12" ht="15" customHeight="1" x14ac:dyDescent="0.25">
      <c r="A710" t="s">
        <v>886</v>
      </c>
      <c r="B710" s="63" t="s">
        <v>15</v>
      </c>
      <c r="C710" s="115" t="s">
        <v>862</v>
      </c>
      <c r="D710" s="64" t="s">
        <v>857</v>
      </c>
      <c r="E710" s="135" t="str">
        <f t="shared" si="13"/>
        <v>Sabonete Liquido Mamãe e Bebê Para o Bebê Verde 0a3 anos 200ml Refil</v>
      </c>
      <c r="F710" s="2" t="s">
        <v>866</v>
      </c>
      <c r="G710" s="130"/>
      <c r="H710" s="2" t="s">
        <v>32</v>
      </c>
      <c r="I710" s="31" t="s">
        <v>201</v>
      </c>
      <c r="J710" s="2" t="s">
        <v>882</v>
      </c>
      <c r="K710" s="11"/>
      <c r="L710" s="1"/>
    </row>
    <row r="711" spans="1:12" ht="15" customHeight="1" x14ac:dyDescent="0.25">
      <c r="B711" s="63" t="s">
        <v>15</v>
      </c>
      <c r="C711" s="115" t="s">
        <v>862</v>
      </c>
      <c r="D711" s="64" t="s">
        <v>181</v>
      </c>
      <c r="E711" s="135" t="str">
        <f t="shared" si="13"/>
        <v>Sabonete em Barra Mamãe e Bebê Para o Bebê Verde 5x100g Caixa</v>
      </c>
      <c r="F711" s="2" t="s">
        <v>887</v>
      </c>
      <c r="G711" s="130">
        <v>5</v>
      </c>
      <c r="H711" s="2" t="s">
        <v>519</v>
      </c>
      <c r="I711" s="31" t="s">
        <v>289</v>
      </c>
      <c r="J711" s="2" t="s">
        <v>888</v>
      </c>
      <c r="K711" s="11"/>
      <c r="L711" s="1"/>
    </row>
    <row r="712" spans="1:12" ht="15" customHeight="1" x14ac:dyDescent="0.25">
      <c r="B712" s="63" t="s">
        <v>15</v>
      </c>
      <c r="C712" s="115" t="s">
        <v>862</v>
      </c>
      <c r="D712" s="64" t="s">
        <v>181</v>
      </c>
      <c r="E712" s="135" t="str">
        <f t="shared" si="13"/>
        <v>Sabonete em Barra Mamãe e Bebê Para o Bebê Verde 6x20g Caixa</v>
      </c>
      <c r="F712" s="2" t="s">
        <v>887</v>
      </c>
      <c r="G712" s="130">
        <v>6</v>
      </c>
      <c r="H712" s="31" t="s">
        <v>889</v>
      </c>
      <c r="I712" s="31" t="s">
        <v>289</v>
      </c>
      <c r="J712" s="2" t="s">
        <v>888</v>
      </c>
      <c r="K712" s="11"/>
      <c r="L712" s="1"/>
    </row>
    <row r="713" spans="1:12" ht="15" customHeight="1" x14ac:dyDescent="0.25">
      <c r="B713" s="63" t="s">
        <v>15</v>
      </c>
      <c r="C713" s="115" t="s">
        <v>862</v>
      </c>
      <c r="D713" s="64" t="s">
        <v>181</v>
      </c>
      <c r="E713" s="135" t="str">
        <f t="shared" si="13"/>
        <v>Sabonete em Barra Mamãe e Bebê 3 Sortidos -  Cores , Verde , Roxinho, Rosinha 1x100g Caixa</v>
      </c>
      <c r="F713" s="137" t="s">
        <v>890</v>
      </c>
      <c r="G713" s="130">
        <v>1</v>
      </c>
      <c r="H713" s="2" t="s">
        <v>126</v>
      </c>
      <c r="I713" s="31" t="s">
        <v>289</v>
      </c>
      <c r="J713" s="2" t="s">
        <v>891</v>
      </c>
      <c r="K713" s="11"/>
      <c r="L713" s="1"/>
    </row>
    <row r="714" spans="1:12" ht="15" customHeight="1" x14ac:dyDescent="0.25">
      <c r="B714" s="63" t="s">
        <v>15</v>
      </c>
      <c r="C714" s="115" t="s">
        <v>862</v>
      </c>
      <c r="D714" s="64" t="s">
        <v>181</v>
      </c>
      <c r="E714" s="135" t="str">
        <f t="shared" si="13"/>
        <v>Sabonete em Barra Mamãe e Bebê Amarelinho , Flor de Laranjeira com Saboneteira 0.5x100g Caixa</v>
      </c>
      <c r="F714" s="123" t="s">
        <v>892</v>
      </c>
      <c r="G714" s="130" t="s">
        <v>893</v>
      </c>
      <c r="H714" s="2" t="s">
        <v>126</v>
      </c>
      <c r="I714" s="31" t="s">
        <v>289</v>
      </c>
      <c r="J714" s="2" t="s">
        <v>894</v>
      </c>
      <c r="K714" s="11"/>
      <c r="L714" s="1"/>
    </row>
    <row r="715" spans="1:12" ht="15" customHeight="1" x14ac:dyDescent="0.25">
      <c r="B715" s="63" t="s">
        <v>15</v>
      </c>
      <c r="C715" s="115" t="s">
        <v>862</v>
      </c>
      <c r="D715" s="64" t="s">
        <v>181</v>
      </c>
      <c r="E715" s="135" t="str">
        <f t="shared" si="13"/>
        <v>Sabonete em Barra Mamãe e Bebê Para o Bebê Verde com Saboneteira 5x20g Caixa</v>
      </c>
      <c r="F715" s="2" t="s">
        <v>895</v>
      </c>
      <c r="G715" s="130">
        <v>5</v>
      </c>
      <c r="H715" s="2" t="s">
        <v>889</v>
      </c>
      <c r="I715" s="31" t="s">
        <v>289</v>
      </c>
      <c r="J715" s="2" t="s">
        <v>888</v>
      </c>
      <c r="K715" s="11"/>
      <c r="L715" s="1"/>
    </row>
    <row r="716" spans="1:12" ht="15" customHeight="1" x14ac:dyDescent="0.25">
      <c r="B716" s="63" t="s">
        <v>15</v>
      </c>
      <c r="C716" s="115" t="s">
        <v>862</v>
      </c>
      <c r="D716" s="119" t="s">
        <v>896</v>
      </c>
      <c r="E716" s="135" t="str">
        <f t="shared" si="13"/>
        <v>Lenços Umedecidos Mamãe e Bebê Para o Bebê Verde 50x20 cm x 15 cm Pacote</v>
      </c>
      <c r="F716" s="2" t="s">
        <v>887</v>
      </c>
      <c r="G716" s="130">
        <v>50</v>
      </c>
      <c r="H716" s="123" t="s">
        <v>897</v>
      </c>
      <c r="I716" s="31" t="s">
        <v>898</v>
      </c>
      <c r="J716" s="11" t="s">
        <v>899</v>
      </c>
      <c r="K716" s="11"/>
      <c r="L716" s="1"/>
    </row>
    <row r="717" spans="1:12" ht="15" customHeight="1" x14ac:dyDescent="0.25">
      <c r="B717" s="63" t="s">
        <v>15</v>
      </c>
      <c r="C717" s="115" t="s">
        <v>862</v>
      </c>
      <c r="D717" s="119" t="s">
        <v>896</v>
      </c>
      <c r="E717" s="135" t="str">
        <f t="shared" si="13"/>
        <v>Lenços Umedecidos Mamãe e Bebê Branco Sem Fragrância 50x20 cm x 15 cm Pacote</v>
      </c>
      <c r="F717" s="123" t="s">
        <v>900</v>
      </c>
      <c r="G717" s="130">
        <v>50</v>
      </c>
      <c r="H717" s="123" t="s">
        <v>897</v>
      </c>
      <c r="I717" s="31" t="s">
        <v>898</v>
      </c>
      <c r="J717" s="11" t="s">
        <v>901</v>
      </c>
      <c r="K717" s="11"/>
      <c r="L717" s="1"/>
    </row>
    <row r="718" spans="1:12" ht="15" customHeight="1" x14ac:dyDescent="0.25">
      <c r="B718" s="63" t="s">
        <v>15</v>
      </c>
      <c r="C718" s="115" t="s">
        <v>862</v>
      </c>
      <c r="D718" s="119" t="s">
        <v>896</v>
      </c>
      <c r="E718" s="135" t="str">
        <f t="shared" si="13"/>
        <v>Lenços Umedecidos Mamãe e Bebê Para o Bebê Verde Pacote</v>
      </c>
      <c r="F718" s="2" t="s">
        <v>887</v>
      </c>
      <c r="G718" s="130"/>
      <c r="H718" s="2"/>
      <c r="I718" s="31" t="s">
        <v>898</v>
      </c>
      <c r="J718" s="11" t="s">
        <v>899</v>
      </c>
      <c r="K718" s="11"/>
      <c r="L718" s="1"/>
    </row>
    <row r="719" spans="1:12" ht="15" customHeight="1" x14ac:dyDescent="0.25">
      <c r="B719" s="63" t="s">
        <v>15</v>
      </c>
      <c r="C719" s="115" t="s">
        <v>862</v>
      </c>
      <c r="D719" s="119" t="s">
        <v>896</v>
      </c>
      <c r="E719" s="135" t="str">
        <f t="shared" si="13"/>
        <v>Lenços Umedecidos Mamãe e Bebê Branco Sem Fragrância Pacote</v>
      </c>
      <c r="F719" s="123" t="s">
        <v>900</v>
      </c>
      <c r="G719" s="130"/>
      <c r="H719" s="2"/>
      <c r="I719" s="31" t="s">
        <v>898</v>
      </c>
      <c r="J719" s="11" t="s">
        <v>901</v>
      </c>
      <c r="K719" s="11"/>
      <c r="L719" s="1"/>
    </row>
    <row r="720" spans="1:12" ht="15" customHeight="1" x14ac:dyDescent="0.25">
      <c r="B720" s="63" t="s">
        <v>15</v>
      </c>
      <c r="C720" s="115" t="s">
        <v>862</v>
      </c>
      <c r="D720" s="119" t="s">
        <v>680</v>
      </c>
      <c r="E720" s="135" t="str">
        <f t="shared" si="13"/>
        <v>Hidratante Corporal Mamãe e Bebê Flor de Laranjeira Amarelinho 0a3 anos 200ml Frasco</v>
      </c>
      <c r="F720" s="2" t="s">
        <v>902</v>
      </c>
      <c r="G720" s="130"/>
      <c r="H720" s="43" t="s">
        <v>32</v>
      </c>
      <c r="I720" s="31" t="s">
        <v>33</v>
      </c>
      <c r="J720" s="123" t="s">
        <v>903</v>
      </c>
      <c r="K720" s="11"/>
      <c r="L720" s="1"/>
    </row>
    <row r="721" spans="1:12" ht="15" customHeight="1" x14ac:dyDescent="0.25">
      <c r="B721" s="63" t="s">
        <v>15</v>
      </c>
      <c r="C721" s="115" t="s">
        <v>862</v>
      </c>
      <c r="D721" s="119" t="s">
        <v>680</v>
      </c>
      <c r="E721" s="135" t="str">
        <f t="shared" si="13"/>
        <v>Hidratante Corporal Mamãe e Bebê Branco Sem Fragrância 0a3 anos 200ml Frasco</v>
      </c>
      <c r="F721" s="123" t="s">
        <v>904</v>
      </c>
      <c r="G721" s="130"/>
      <c r="H721" s="43" t="s">
        <v>32</v>
      </c>
      <c r="I721" s="31" t="s">
        <v>33</v>
      </c>
      <c r="J721" s="11" t="s">
        <v>905</v>
      </c>
      <c r="K721" s="11"/>
      <c r="L721" s="1"/>
    </row>
    <row r="722" spans="1:12" ht="15" customHeight="1" x14ac:dyDescent="0.25">
      <c r="B722" s="63" t="s">
        <v>15</v>
      </c>
      <c r="C722" s="115" t="s">
        <v>862</v>
      </c>
      <c r="D722" s="119" t="s">
        <v>680</v>
      </c>
      <c r="E722" s="135" t="str">
        <f t="shared" si="13"/>
        <v>Hidratante Corporal Mamãe e Bebê Para o Bebê Verde 0a3 anos 200ml Frasco</v>
      </c>
      <c r="F722" s="2" t="s">
        <v>866</v>
      </c>
      <c r="G722" s="130"/>
      <c r="H722" s="43" t="s">
        <v>32</v>
      </c>
      <c r="I722" s="31" t="s">
        <v>33</v>
      </c>
      <c r="J722" s="11" t="s">
        <v>906</v>
      </c>
      <c r="K722" s="11"/>
      <c r="L722" s="1"/>
    </row>
    <row r="723" spans="1:12" ht="15" customHeight="1" x14ac:dyDescent="0.25">
      <c r="A723" t="s">
        <v>907</v>
      </c>
      <c r="B723" s="63" t="s">
        <v>15</v>
      </c>
      <c r="C723" s="115" t="s">
        <v>862</v>
      </c>
      <c r="D723" s="119" t="s">
        <v>680</v>
      </c>
      <c r="E723" s="135" t="str">
        <f t="shared" si="13"/>
        <v>Hidratante Corporal Mamãe e Bebê Relaxante Roxinho 0a3 anos 200ml Frasco</v>
      </c>
      <c r="F723" s="2" t="s">
        <v>868</v>
      </c>
      <c r="G723" s="130"/>
      <c r="H723" s="43" t="s">
        <v>32</v>
      </c>
      <c r="I723" s="31" t="s">
        <v>33</v>
      </c>
      <c r="J723" s="11" t="s">
        <v>908</v>
      </c>
      <c r="K723" s="11"/>
      <c r="L723" s="1"/>
    </row>
    <row r="724" spans="1:12" ht="15" customHeight="1" x14ac:dyDescent="0.25">
      <c r="B724" s="63" t="s">
        <v>15</v>
      </c>
      <c r="C724" s="115" t="s">
        <v>862</v>
      </c>
      <c r="D724" s="119" t="s">
        <v>680</v>
      </c>
      <c r="E724" s="135" t="str">
        <f t="shared" si="13"/>
        <v>Hidratante Corporal Mamãe e Bebê Rosinha / Para Mamãe 200ml Frasco</v>
      </c>
      <c r="F724" s="2" t="s">
        <v>872</v>
      </c>
      <c r="G724" s="130"/>
      <c r="H724" s="43" t="s">
        <v>32</v>
      </c>
      <c r="I724" s="31" t="s">
        <v>33</v>
      </c>
      <c r="J724" s="11" t="s">
        <v>909</v>
      </c>
      <c r="K724" s="11"/>
      <c r="L724" s="1"/>
    </row>
    <row r="725" spans="1:12" ht="15.75" customHeight="1" x14ac:dyDescent="0.25">
      <c r="B725" s="63" t="s">
        <v>15</v>
      </c>
      <c r="C725" s="115" t="s">
        <v>862</v>
      </c>
      <c r="D725" s="119" t="s">
        <v>71</v>
      </c>
      <c r="E725" s="135" t="str">
        <f t="shared" si="13"/>
        <v>Oleo Corporal Mamãe e Bebê Flor de Laranjeira Amarelinho 0a3 anos 200ml Frasco</v>
      </c>
      <c r="F725" s="2" t="s">
        <v>864</v>
      </c>
      <c r="G725" s="130"/>
      <c r="H725" s="43" t="s">
        <v>32</v>
      </c>
      <c r="I725" s="31" t="s">
        <v>33</v>
      </c>
      <c r="J725" s="11" t="s">
        <v>910</v>
      </c>
      <c r="K725" s="11"/>
      <c r="L725" s="1"/>
    </row>
    <row r="726" spans="1:12" ht="15" customHeight="1" x14ac:dyDescent="0.25">
      <c r="B726" s="63" t="s">
        <v>15</v>
      </c>
      <c r="C726" s="115" t="s">
        <v>862</v>
      </c>
      <c r="D726" s="119" t="s">
        <v>71</v>
      </c>
      <c r="E726" s="135" t="str">
        <f t="shared" si="13"/>
        <v>Oleo Corporal Mamãe e Bebê Para o Bebê Verde 0a3 anos 200ml Frasco</v>
      </c>
      <c r="F726" s="2" t="s">
        <v>866</v>
      </c>
      <c r="G726" s="130"/>
      <c r="H726" s="43" t="s">
        <v>32</v>
      </c>
      <c r="I726" s="31" t="s">
        <v>33</v>
      </c>
      <c r="J726" s="61" t="s">
        <v>911</v>
      </c>
      <c r="K726" s="11"/>
      <c r="L726" s="1"/>
    </row>
    <row r="727" spans="1:12" ht="15" customHeight="1" x14ac:dyDescent="0.25">
      <c r="B727" s="63" t="s">
        <v>15</v>
      </c>
      <c r="C727" s="115" t="s">
        <v>862</v>
      </c>
      <c r="D727" s="119" t="s">
        <v>71</v>
      </c>
      <c r="E727" s="135" t="str">
        <f t="shared" si="13"/>
        <v>Oleo Corporal Mamãe e Bebê Para Mamãe ,Gestante Rosinha 200ml Frasco</v>
      </c>
      <c r="F727" s="2" t="s">
        <v>912</v>
      </c>
      <c r="G727" s="130"/>
      <c r="H727" s="43" t="s">
        <v>32</v>
      </c>
      <c r="I727" s="31" t="s">
        <v>33</v>
      </c>
      <c r="J727" s="11" t="s">
        <v>909</v>
      </c>
      <c r="K727" s="11"/>
      <c r="L727" s="1"/>
    </row>
    <row r="728" spans="1:12" ht="15" customHeight="1" x14ac:dyDescent="0.25">
      <c r="B728" s="63" t="s">
        <v>15</v>
      </c>
      <c r="C728" s="115" t="s">
        <v>862</v>
      </c>
      <c r="D728" s="119" t="s">
        <v>913</v>
      </c>
      <c r="E728" s="135" t="str">
        <f t="shared" si="13"/>
        <v>Creme Assadura Mamãe e Bebê Branco Sem Fragrância 60g Frsaco</v>
      </c>
      <c r="F728" s="123" t="s">
        <v>914</v>
      </c>
      <c r="G728" s="130"/>
      <c r="H728" s="43" t="s">
        <v>915</v>
      </c>
      <c r="I728" s="31" t="s">
        <v>805</v>
      </c>
      <c r="J728" s="11" t="s">
        <v>916</v>
      </c>
      <c r="K728" s="11"/>
      <c r="L728" s="1"/>
    </row>
    <row r="729" spans="1:12" ht="12.75" customHeight="1" x14ac:dyDescent="0.25">
      <c r="B729" s="63" t="s">
        <v>15</v>
      </c>
      <c r="C729" s="115" t="s">
        <v>862</v>
      </c>
      <c r="D729" s="119" t="s">
        <v>917</v>
      </c>
      <c r="E729" s="135" t="str">
        <f t="shared" si="13"/>
        <v>Álcool em Gel Mamãe e Bebê Rosinha / Para Mamãe 55g Frasco</v>
      </c>
      <c r="F729" s="2" t="s">
        <v>872</v>
      </c>
      <c r="G729" s="130"/>
      <c r="H729" s="43" t="s">
        <v>918</v>
      </c>
      <c r="I729" s="31" t="s">
        <v>20</v>
      </c>
      <c r="J729" s="11" t="s">
        <v>919</v>
      </c>
      <c r="K729" s="11"/>
      <c r="L729" s="1"/>
    </row>
    <row r="730" spans="1:12" ht="15" customHeight="1" x14ac:dyDescent="0.25">
      <c r="B730" s="63" t="s">
        <v>15</v>
      </c>
      <c r="C730" s="115" t="s">
        <v>862</v>
      </c>
      <c r="D730" s="119" t="s">
        <v>306</v>
      </c>
      <c r="E730" s="135" t="str">
        <f t="shared" si="13"/>
        <v>Kit Mamãe e Bebê Miniatura Verde para o Bebê 0a3 anos 150ml Frascos</v>
      </c>
      <c r="F730" s="2" t="s">
        <v>920</v>
      </c>
      <c r="G730" s="130"/>
      <c r="H730" s="43" t="s">
        <v>131</v>
      </c>
      <c r="I730" s="31" t="s">
        <v>921</v>
      </c>
      <c r="J730" s="11"/>
      <c r="K730" s="11"/>
      <c r="L730" s="1"/>
    </row>
    <row r="731" spans="1:12" ht="15" customHeight="1" x14ac:dyDescent="0.25">
      <c r="B731" s="63" t="s">
        <v>15</v>
      </c>
      <c r="C731" s="115" t="s">
        <v>862</v>
      </c>
      <c r="D731" s="119" t="s">
        <v>306</v>
      </c>
      <c r="E731" s="135" t="str">
        <f t="shared" si="13"/>
        <v>Kit Mamãe e Bebê Mamae e Bebe com Trocador Verde para o Bebê 0a3 anos 750ml Frascos</v>
      </c>
      <c r="F731" s="2" t="s">
        <v>922</v>
      </c>
      <c r="G731" s="130"/>
      <c r="H731" s="43" t="s">
        <v>923</v>
      </c>
      <c r="I731" s="31" t="s">
        <v>921</v>
      </c>
      <c r="J731" s="11"/>
      <c r="K731" s="11"/>
      <c r="L731" s="1"/>
    </row>
    <row r="732" spans="1:12" ht="15" customHeight="1" x14ac:dyDescent="0.25">
      <c r="B732" s="63" t="s">
        <v>15</v>
      </c>
      <c r="C732" s="115" t="s">
        <v>862</v>
      </c>
      <c r="D732" s="119" t="s">
        <v>306</v>
      </c>
      <c r="E732" s="135" t="str">
        <f t="shared" si="13"/>
        <v>Kit Mamãe e Bebê Mamae e Bebe com Frasqueira Verde para o Bebê 0a3 anos 350ml Frascos</v>
      </c>
      <c r="F732" s="2" t="s">
        <v>924</v>
      </c>
      <c r="G732" s="130"/>
      <c r="H732" s="43" t="s">
        <v>925</v>
      </c>
      <c r="I732" s="31" t="s">
        <v>921</v>
      </c>
      <c r="J732" s="11"/>
      <c r="K732" s="11"/>
      <c r="L732" s="1"/>
    </row>
    <row r="733" spans="1:12" ht="15" customHeight="1" x14ac:dyDescent="0.25">
      <c r="B733" s="63" t="s">
        <v>15</v>
      </c>
      <c r="C733" s="115" t="s">
        <v>862</v>
      </c>
      <c r="D733" s="119" t="s">
        <v>306</v>
      </c>
      <c r="E733" s="135" t="str">
        <f t="shared" si="13"/>
        <v>Kit Mamãe e Bebê Papai e Bebe Mochila com Trocador Verde para o Bebê 0a3 anos 750ml Frascos</v>
      </c>
      <c r="F733" s="2" t="s">
        <v>926</v>
      </c>
      <c r="G733" s="130"/>
      <c r="H733" s="43" t="s">
        <v>923</v>
      </c>
      <c r="I733" s="31" t="s">
        <v>921</v>
      </c>
      <c r="J733" s="11"/>
      <c r="K733" s="11"/>
      <c r="L733" s="1"/>
    </row>
    <row r="734" spans="1:12" ht="15" customHeight="1" x14ac:dyDescent="0.25">
      <c r="B734" s="63" t="s">
        <v>15</v>
      </c>
      <c r="C734" s="82" t="s">
        <v>927</v>
      </c>
      <c r="D734" s="119" t="s">
        <v>928</v>
      </c>
      <c r="E734" s="135" t="str">
        <f t="shared" si="13"/>
        <v>Alcool em Gel Antisseptico Erva Doce 70 INPM 45g Frasco</v>
      </c>
      <c r="F734" s="2" t="s">
        <v>929</v>
      </c>
      <c r="G734" s="130"/>
      <c r="H734" s="2" t="s">
        <v>930</v>
      </c>
      <c r="I734" s="31" t="s">
        <v>33</v>
      </c>
      <c r="J734" s="11" t="s">
        <v>931</v>
      </c>
      <c r="K734" s="11"/>
      <c r="L734" s="1"/>
    </row>
    <row r="735" spans="1:12" ht="15" customHeight="1" x14ac:dyDescent="0.25">
      <c r="B735" s="63" t="s">
        <v>15</v>
      </c>
      <c r="C735" s="82" t="s">
        <v>927</v>
      </c>
      <c r="D735" s="64" t="s">
        <v>140</v>
      </c>
      <c r="E735" s="135" t="str">
        <f t="shared" si="13"/>
        <v>Desodorante Antitranspirante Roll-on Erva Doce 70ml Frasco</v>
      </c>
      <c r="F735" s="2"/>
      <c r="G735" s="130"/>
      <c r="H735" s="12" t="s">
        <v>142</v>
      </c>
      <c r="I735" s="33" t="s">
        <v>33</v>
      </c>
      <c r="J735" s="11" t="s">
        <v>932</v>
      </c>
      <c r="K735" s="160">
        <v>29.9</v>
      </c>
      <c r="L735" s="1"/>
    </row>
    <row r="736" spans="1:12" ht="15" customHeight="1" x14ac:dyDescent="0.25">
      <c r="B736" s="63" t="s">
        <v>15</v>
      </c>
      <c r="C736" s="82" t="s">
        <v>927</v>
      </c>
      <c r="D736" s="66" t="s">
        <v>404</v>
      </c>
      <c r="E736" s="135" t="str">
        <f t="shared" si="13"/>
        <v>Desodorante Corporal Erva Doce 100ml Frasco</v>
      </c>
      <c r="F736" s="2"/>
      <c r="G736" s="130"/>
      <c r="H736" s="140" t="s">
        <v>135</v>
      </c>
      <c r="I736" s="31" t="s">
        <v>33</v>
      </c>
      <c r="J736" s="11" t="s">
        <v>933</v>
      </c>
      <c r="K736" s="11"/>
      <c r="L736" s="1"/>
    </row>
    <row r="737" spans="1:12" ht="15" customHeight="1" x14ac:dyDescent="0.25">
      <c r="B737" s="63" t="s">
        <v>15</v>
      </c>
      <c r="C737" s="82" t="s">
        <v>927</v>
      </c>
      <c r="D737" s="66" t="s">
        <v>404</v>
      </c>
      <c r="E737" s="135" t="str">
        <f t="shared" si="13"/>
        <v>Desodorante Corporal Erva Doce 100ml Refil</v>
      </c>
      <c r="F737" s="2"/>
      <c r="G737" s="130"/>
      <c r="H737" s="140" t="s">
        <v>135</v>
      </c>
      <c r="I737" s="31" t="s">
        <v>201</v>
      </c>
      <c r="J737" s="11" t="s">
        <v>933</v>
      </c>
      <c r="K737" s="11"/>
      <c r="L737" s="1"/>
    </row>
    <row r="738" spans="1:12" ht="15" customHeight="1" x14ac:dyDescent="0.25">
      <c r="A738" t="s">
        <v>934</v>
      </c>
      <c r="B738" s="63" t="s">
        <v>15</v>
      </c>
      <c r="C738" s="82" t="s">
        <v>927</v>
      </c>
      <c r="D738" s="118" t="s">
        <v>153</v>
      </c>
      <c r="E738" s="135" t="str">
        <f t="shared" si="13"/>
        <v>Desodorante Creme Erva Doce 80g Frasco</v>
      </c>
      <c r="F738" s="2"/>
      <c r="G738" s="130"/>
      <c r="H738" s="2" t="s">
        <v>935</v>
      </c>
      <c r="I738" s="31" t="s">
        <v>33</v>
      </c>
      <c r="J738" s="11" t="s">
        <v>155</v>
      </c>
      <c r="K738" s="11"/>
      <c r="L738" s="1"/>
    </row>
    <row r="739" spans="1:12" ht="15" customHeight="1" x14ac:dyDescent="0.25">
      <c r="B739" s="63" t="s">
        <v>15</v>
      </c>
      <c r="C739" s="82" t="s">
        <v>927</v>
      </c>
      <c r="D739" s="64" t="s">
        <v>936</v>
      </c>
      <c r="E739" s="135" t="str">
        <f t="shared" si="13"/>
        <v>Sabonete Cremoso Erva Doce 250ml Frasco</v>
      </c>
      <c r="F739" s="2"/>
      <c r="G739" s="130"/>
      <c r="H739" s="2" t="s">
        <v>937</v>
      </c>
      <c r="I739" s="31" t="s">
        <v>33</v>
      </c>
      <c r="J739" s="11" t="s">
        <v>938</v>
      </c>
      <c r="K739" s="11"/>
      <c r="L739" s="1"/>
    </row>
    <row r="740" spans="1:12" ht="15" customHeight="1" x14ac:dyDescent="0.25">
      <c r="B740" s="63" t="s">
        <v>15</v>
      </c>
      <c r="C740" s="82" t="s">
        <v>927</v>
      </c>
      <c r="D740" s="64" t="s">
        <v>936</v>
      </c>
      <c r="E740" s="135" t="str">
        <f t="shared" si="13"/>
        <v>Sabonete Cremoso Erva Doce 250ml Refil</v>
      </c>
      <c r="F740" s="2"/>
      <c r="G740" s="130"/>
      <c r="H740" s="2" t="s">
        <v>937</v>
      </c>
      <c r="I740" s="31" t="s">
        <v>201</v>
      </c>
      <c r="J740" s="11" t="s">
        <v>938</v>
      </c>
      <c r="K740" s="11"/>
      <c r="L740" s="1"/>
    </row>
    <row r="741" spans="1:12" ht="15" customHeight="1" x14ac:dyDescent="0.25">
      <c r="B741" s="63" t="s">
        <v>15</v>
      </c>
      <c r="C741" s="82" t="s">
        <v>927</v>
      </c>
      <c r="D741" s="64" t="s">
        <v>523</v>
      </c>
      <c r="E741" s="135" t="str">
        <f t="shared" ref="E741:E768" si="14">TRIM(CONCATENATE(D741, " ", C741, " ", F741, " ", IF(G741&gt;0, G741 &amp; "x" &amp; H741, H741), " ", I741))</f>
        <v>Sabonete em barra Erva Doce 4x90g Caixa</v>
      </c>
      <c r="F741" s="2"/>
      <c r="G741" s="130">
        <v>4</v>
      </c>
      <c r="H741" s="43" t="s">
        <v>81</v>
      </c>
      <c r="I741" s="31" t="s">
        <v>289</v>
      </c>
      <c r="J741" s="11" t="s">
        <v>939</v>
      </c>
      <c r="K741" s="11"/>
      <c r="L741" s="1"/>
    </row>
    <row r="742" spans="1:12" ht="15" customHeight="1" x14ac:dyDescent="0.25">
      <c r="B742" s="63" t="s">
        <v>15</v>
      </c>
      <c r="C742" s="82" t="s">
        <v>927</v>
      </c>
      <c r="D742" s="64" t="s">
        <v>523</v>
      </c>
      <c r="E742" s="135" t="str">
        <f t="shared" si="14"/>
        <v>Sabonete em barra Erva Doce 3x90g Caixa</v>
      </c>
      <c r="F742" s="2"/>
      <c r="G742" s="130">
        <v>3</v>
      </c>
      <c r="H742" s="43" t="s">
        <v>81</v>
      </c>
      <c r="I742" s="31" t="s">
        <v>289</v>
      </c>
      <c r="J742" s="11" t="s">
        <v>940</v>
      </c>
      <c r="K742" s="11"/>
      <c r="L742" s="1"/>
    </row>
    <row r="743" spans="1:12" ht="15" customHeight="1" x14ac:dyDescent="0.25">
      <c r="B743" s="63" t="s">
        <v>15</v>
      </c>
      <c r="C743" s="82" t="s">
        <v>927</v>
      </c>
      <c r="D743" s="64" t="s">
        <v>941</v>
      </c>
      <c r="E743" s="135" t="str">
        <f t="shared" si="14"/>
        <v>Spray de Ambiente Erva Doce 200ml Frasco</v>
      </c>
      <c r="F743" s="2"/>
      <c r="G743" s="130"/>
      <c r="H743" s="2" t="s">
        <v>32</v>
      </c>
      <c r="I743" s="31" t="s">
        <v>33</v>
      </c>
      <c r="J743" s="11"/>
      <c r="K743" s="11"/>
      <c r="L743" s="1"/>
    </row>
    <row r="744" spans="1:12" ht="15" customHeight="1" x14ac:dyDescent="0.25">
      <c r="B744" s="63" t="s">
        <v>15</v>
      </c>
      <c r="C744" s="82" t="s">
        <v>927</v>
      </c>
      <c r="D744" s="64" t="s">
        <v>941</v>
      </c>
      <c r="E744" s="135" t="str">
        <f t="shared" si="14"/>
        <v>Spray de Ambiente Erva Doce 200ml Refil</v>
      </c>
      <c r="F744" s="2"/>
      <c r="G744" s="130"/>
      <c r="H744" s="2" t="s">
        <v>32</v>
      </c>
      <c r="I744" s="31" t="s">
        <v>201</v>
      </c>
      <c r="J744" s="11"/>
      <c r="K744" s="11"/>
      <c r="L744" s="1"/>
    </row>
    <row r="745" spans="1:12" ht="15" customHeight="1" x14ac:dyDescent="0.25">
      <c r="B745" s="63" t="s">
        <v>15</v>
      </c>
      <c r="C745" s="82" t="s">
        <v>927</v>
      </c>
      <c r="D745" s="64" t="s">
        <v>306</v>
      </c>
      <c r="E745" s="135" t="str">
        <f t="shared" si="14"/>
        <v>Kit Erva Doce Difusor de Ambiente Erva Doce para Casa e Comodos 200ml Frasco</v>
      </c>
      <c r="F745" s="2" t="s">
        <v>942</v>
      </c>
      <c r="G745" s="130"/>
      <c r="H745" s="2" t="s">
        <v>32</v>
      </c>
      <c r="I745" s="31" t="s">
        <v>33</v>
      </c>
      <c r="J745" s="11"/>
      <c r="K745" s="11"/>
      <c r="L745" s="1"/>
    </row>
    <row r="746" spans="1:12" ht="15" customHeight="1" x14ac:dyDescent="0.25">
      <c r="B746" s="63" t="s">
        <v>15</v>
      </c>
      <c r="C746" s="82" t="s">
        <v>927</v>
      </c>
      <c r="D746" s="64" t="s">
        <v>306</v>
      </c>
      <c r="E746" s="135" t="str">
        <f t="shared" si="14"/>
        <v>Kit Erva Doce Difusor de Ambiente Erva Doce para Casa e Comodos 200ml Refil</v>
      </c>
      <c r="F746" s="2" t="s">
        <v>942</v>
      </c>
      <c r="G746" s="130"/>
      <c r="H746" s="2" t="s">
        <v>32</v>
      </c>
      <c r="I746" s="31" t="s">
        <v>201</v>
      </c>
      <c r="J746" s="11"/>
      <c r="K746" s="11"/>
      <c r="L746" s="1"/>
    </row>
    <row r="747" spans="1:12" ht="15" customHeight="1" x14ac:dyDescent="0.25">
      <c r="B747" s="63" t="s">
        <v>15</v>
      </c>
      <c r="C747" s="83" t="s">
        <v>943</v>
      </c>
      <c r="D747" s="119" t="s">
        <v>944</v>
      </c>
      <c r="E747" s="135" t="str">
        <f t="shared" si="14"/>
        <v>Deo Parfum Una Artisan 75ml Frasco</v>
      </c>
      <c r="F747" s="2" t="s">
        <v>945</v>
      </c>
      <c r="G747" s="130"/>
      <c r="H747" s="2" t="s">
        <v>374</v>
      </c>
      <c r="I747" s="31" t="s">
        <v>33</v>
      </c>
      <c r="J747" s="2"/>
      <c r="K747" s="11"/>
      <c r="L747" s="1"/>
    </row>
    <row r="748" spans="1:12" ht="15" customHeight="1" x14ac:dyDescent="0.25">
      <c r="B748" s="63" t="s">
        <v>15</v>
      </c>
      <c r="C748" s="83" t="s">
        <v>943</v>
      </c>
      <c r="D748" s="119" t="s">
        <v>944</v>
      </c>
      <c r="E748" s="135" t="str">
        <f t="shared" si="14"/>
        <v>Deo Parfum Una Blush 75ml Frasco</v>
      </c>
      <c r="F748" s="2" t="s">
        <v>946</v>
      </c>
      <c r="G748" s="130"/>
      <c r="H748" s="2" t="s">
        <v>374</v>
      </c>
      <c r="I748" s="31" t="s">
        <v>33</v>
      </c>
      <c r="J748" s="2"/>
      <c r="K748" s="11"/>
      <c r="L748" s="1"/>
    </row>
    <row r="749" spans="1:12" ht="15" customHeight="1" x14ac:dyDescent="0.25">
      <c r="B749" s="63" t="s">
        <v>15</v>
      </c>
      <c r="C749" s="83" t="s">
        <v>943</v>
      </c>
      <c r="D749" s="119" t="s">
        <v>944</v>
      </c>
      <c r="E749" s="135" t="str">
        <f t="shared" si="14"/>
        <v>Deo Parfum Una Brilho 75ml Frasco</v>
      </c>
      <c r="F749" s="2" t="s">
        <v>947</v>
      </c>
      <c r="G749" s="130"/>
      <c r="H749" s="2" t="s">
        <v>374</v>
      </c>
      <c r="I749" s="31" t="s">
        <v>33</v>
      </c>
      <c r="J749" s="2"/>
      <c r="K749" s="11"/>
      <c r="L749" s="1"/>
    </row>
    <row r="750" spans="1:12" ht="15" customHeight="1" x14ac:dyDescent="0.25">
      <c r="B750" s="63" t="s">
        <v>15</v>
      </c>
      <c r="C750" s="83" t="s">
        <v>943</v>
      </c>
      <c r="D750" s="119" t="s">
        <v>944</v>
      </c>
      <c r="E750" s="135" t="str">
        <f t="shared" si="14"/>
        <v>Deo Parfum Una Infinito 75ml Frasco</v>
      </c>
      <c r="F750" s="2" t="s">
        <v>948</v>
      </c>
      <c r="G750" s="130"/>
      <c r="H750" s="2" t="s">
        <v>374</v>
      </c>
      <c r="I750" s="31" t="s">
        <v>33</v>
      </c>
      <c r="J750" s="2"/>
      <c r="K750" s="11"/>
      <c r="L750" s="1"/>
    </row>
    <row r="751" spans="1:12" ht="15" customHeight="1" x14ac:dyDescent="0.25">
      <c r="B751" s="63" t="s">
        <v>15</v>
      </c>
      <c r="C751" s="83" t="s">
        <v>943</v>
      </c>
      <c r="D751" s="119" t="s">
        <v>944</v>
      </c>
      <c r="E751" s="135" t="str">
        <f t="shared" si="14"/>
        <v>Deo Parfum Una Instinct 75ml Frasco</v>
      </c>
      <c r="F751" s="2" t="s">
        <v>949</v>
      </c>
      <c r="G751" s="130"/>
      <c r="H751" s="2" t="s">
        <v>374</v>
      </c>
      <c r="I751" s="31" t="s">
        <v>33</v>
      </c>
      <c r="J751" s="2"/>
      <c r="K751" s="11"/>
      <c r="L751" s="1"/>
    </row>
    <row r="752" spans="1:12" ht="15" customHeight="1" x14ac:dyDescent="0.25">
      <c r="B752" s="63" t="s">
        <v>15</v>
      </c>
      <c r="C752" s="83" t="s">
        <v>943</v>
      </c>
      <c r="D752" s="119" t="s">
        <v>944</v>
      </c>
      <c r="E752" s="135" t="str">
        <f t="shared" si="14"/>
        <v>Deo Parfum Una Senses 75ml Frasco</v>
      </c>
      <c r="F752" s="2" t="s">
        <v>950</v>
      </c>
      <c r="G752" s="130"/>
      <c r="H752" s="2" t="s">
        <v>374</v>
      </c>
      <c r="I752" s="31" t="s">
        <v>33</v>
      </c>
      <c r="J752" s="11"/>
      <c r="K752" s="11"/>
      <c r="L752" s="1"/>
    </row>
    <row r="753" spans="1:12" ht="15" customHeight="1" x14ac:dyDescent="0.25">
      <c r="A753" t="s">
        <v>951</v>
      </c>
      <c r="B753" s="63" t="s">
        <v>15</v>
      </c>
      <c r="C753" s="83" t="s">
        <v>943</v>
      </c>
      <c r="D753" s="119" t="s">
        <v>944</v>
      </c>
      <c r="E753" s="135" t="str">
        <f t="shared" si="14"/>
        <v>Deo Parfum Una Somos 75ml Frasco</v>
      </c>
      <c r="F753" s="2" t="s">
        <v>952</v>
      </c>
      <c r="G753" s="130"/>
      <c r="H753" s="2" t="s">
        <v>374</v>
      </c>
      <c r="I753" s="31" t="s">
        <v>33</v>
      </c>
      <c r="J753" s="2"/>
      <c r="K753" s="11"/>
      <c r="L753" s="1"/>
    </row>
    <row r="754" spans="1:12" ht="15" customHeight="1" x14ac:dyDescent="0.25">
      <c r="B754" s="63" t="s">
        <v>15</v>
      </c>
      <c r="C754" s="83" t="s">
        <v>953</v>
      </c>
      <c r="D754" s="119" t="s">
        <v>944</v>
      </c>
      <c r="E754" s="135" t="str">
        <f t="shared" si="14"/>
        <v>Deo Parfum Una Una 75ml Frasco</v>
      </c>
      <c r="F754" s="2" t="s">
        <v>953</v>
      </c>
      <c r="G754" s="130"/>
      <c r="H754" s="2" t="s">
        <v>374</v>
      </c>
      <c r="I754" s="31" t="s">
        <v>33</v>
      </c>
      <c r="J754" s="11"/>
      <c r="K754" s="11"/>
      <c r="L754" s="1"/>
    </row>
    <row r="755" spans="1:12" ht="15" customHeight="1" x14ac:dyDescent="0.25">
      <c r="B755" s="63" t="s">
        <v>15</v>
      </c>
      <c r="C755" s="83" t="s">
        <v>943</v>
      </c>
      <c r="D755" s="64" t="s">
        <v>954</v>
      </c>
      <c r="E755" s="135" t="str">
        <f t="shared" si="14"/>
        <v>Hidratante Corporal Desodorante Una Una Artisan 200g Pote</v>
      </c>
      <c r="F755" s="2" t="s">
        <v>955</v>
      </c>
      <c r="G755" s="130"/>
      <c r="H755" s="2" t="s">
        <v>67</v>
      </c>
      <c r="I755" s="31" t="s">
        <v>62</v>
      </c>
      <c r="J755" s="2"/>
      <c r="K755" s="11"/>
      <c r="L755" s="1"/>
    </row>
    <row r="756" spans="1:12" ht="15" customHeight="1" x14ac:dyDescent="0.25">
      <c r="B756" s="63" t="s">
        <v>15</v>
      </c>
      <c r="C756" s="83" t="s">
        <v>943</v>
      </c>
      <c r="D756" s="64" t="s">
        <v>954</v>
      </c>
      <c r="E756" s="135" t="str">
        <f t="shared" si="14"/>
        <v>Hidratante Corporal Desodorante Una Una Somos 75ml Frasco</v>
      </c>
      <c r="F756" s="2" t="s">
        <v>956</v>
      </c>
      <c r="G756" s="130"/>
      <c r="H756" s="2" t="s">
        <v>374</v>
      </c>
      <c r="I756" s="31" t="s">
        <v>33</v>
      </c>
      <c r="J756" s="2"/>
      <c r="K756" s="11"/>
      <c r="L756" s="1"/>
    </row>
    <row r="757" spans="1:12" ht="15" customHeight="1" x14ac:dyDescent="0.25">
      <c r="B757" s="63" t="s">
        <v>15</v>
      </c>
      <c r="C757" s="83" t="s">
        <v>943</v>
      </c>
      <c r="D757" s="64" t="s">
        <v>857</v>
      </c>
      <c r="E757" s="135" t="str">
        <f t="shared" si="14"/>
        <v>Sabonete Liquido Una Una Senses</v>
      </c>
      <c r="F757" s="2" t="s">
        <v>957</v>
      </c>
      <c r="G757" s="130"/>
      <c r="H757" s="2"/>
      <c r="I757" s="31"/>
      <c r="J757" s="2"/>
      <c r="K757" s="11"/>
      <c r="L757" s="1"/>
    </row>
    <row r="758" spans="1:12" s="10" customFormat="1" ht="15" customHeight="1" x14ac:dyDescent="0.25">
      <c r="B758" s="63" t="s">
        <v>15</v>
      </c>
      <c r="C758" s="84" t="s">
        <v>958</v>
      </c>
      <c r="D758" s="69" t="s">
        <v>959</v>
      </c>
      <c r="E758" s="135" t="str">
        <f t="shared" si="14"/>
        <v>Eau de Parfum Aura Alba 75ml Frasco</v>
      </c>
      <c r="F758" s="9" t="s">
        <v>960</v>
      </c>
      <c r="G758" s="130"/>
      <c r="H758" s="9" t="s">
        <v>374</v>
      </c>
      <c r="I758" s="36" t="s">
        <v>33</v>
      </c>
      <c r="J758" s="20" t="s">
        <v>961</v>
      </c>
      <c r="K758" s="20" t="s">
        <v>962</v>
      </c>
      <c r="L758" s="17"/>
    </row>
    <row r="759" spans="1:12" s="10" customFormat="1" ht="15" customHeight="1" x14ac:dyDescent="0.25">
      <c r="B759" s="91" t="s">
        <v>15</v>
      </c>
      <c r="C759" s="129" t="s">
        <v>963</v>
      </c>
      <c r="D759" s="69" t="s">
        <v>964</v>
      </c>
      <c r="E759" s="135" t="str">
        <f t="shared" si="14"/>
        <v>Agua Colonia Águas Flor de Laranjeira 170ml Frasco</v>
      </c>
      <c r="F759" s="9" t="s">
        <v>965</v>
      </c>
      <c r="G759" s="130"/>
      <c r="H759" s="9" t="s">
        <v>966</v>
      </c>
      <c r="I759" s="36" t="s">
        <v>33</v>
      </c>
      <c r="J759" s="20"/>
      <c r="K759" s="20"/>
      <c r="L759" s="17"/>
    </row>
    <row r="760" spans="1:12" s="10" customFormat="1" ht="15" customHeight="1" x14ac:dyDescent="0.25">
      <c r="B760" s="91" t="s">
        <v>15</v>
      </c>
      <c r="C760" s="129" t="s">
        <v>963</v>
      </c>
      <c r="D760" s="69" t="s">
        <v>964</v>
      </c>
      <c r="E760" s="135" t="str">
        <f t="shared" si="14"/>
        <v>Agua Colonia Águas Lavanda 170ml Frasco</v>
      </c>
      <c r="F760" s="9" t="s">
        <v>967</v>
      </c>
      <c r="G760" s="130"/>
      <c r="H760" s="9" t="s">
        <v>966</v>
      </c>
      <c r="I760" s="36" t="s">
        <v>33</v>
      </c>
      <c r="J760" s="20"/>
      <c r="K760" s="20"/>
      <c r="L760" s="17"/>
    </row>
    <row r="761" spans="1:12" s="10" customFormat="1" ht="15" customHeight="1" x14ac:dyDescent="0.25">
      <c r="B761" s="91" t="s">
        <v>15</v>
      </c>
      <c r="C761" s="129" t="s">
        <v>963</v>
      </c>
      <c r="D761" s="69" t="s">
        <v>964</v>
      </c>
      <c r="E761" s="135" t="str">
        <f t="shared" si="14"/>
        <v>Agua Colonia Águas Lirío 170ml Frasco</v>
      </c>
      <c r="F761" s="9" t="s">
        <v>968</v>
      </c>
      <c r="G761" s="130"/>
      <c r="H761" s="9" t="s">
        <v>966</v>
      </c>
      <c r="I761" s="36" t="s">
        <v>33</v>
      </c>
      <c r="J761" s="20"/>
      <c r="K761" s="20"/>
      <c r="L761" s="17"/>
    </row>
    <row r="762" spans="1:12" s="10" customFormat="1" ht="15" customHeight="1" x14ac:dyDescent="0.25">
      <c r="B762" s="91" t="s">
        <v>15</v>
      </c>
      <c r="C762" s="129" t="s">
        <v>963</v>
      </c>
      <c r="D762" s="69" t="s">
        <v>964</v>
      </c>
      <c r="E762" s="135" t="str">
        <f t="shared" si="14"/>
        <v>Agua Colonia Águas Jabuticaba 170ml Frasco</v>
      </c>
      <c r="F762" s="9" t="s">
        <v>969</v>
      </c>
      <c r="G762" s="130"/>
      <c r="H762" s="9" t="s">
        <v>966</v>
      </c>
      <c r="I762" s="36" t="s">
        <v>33</v>
      </c>
      <c r="J762" s="20"/>
      <c r="K762" s="20"/>
      <c r="L762" s="17"/>
    </row>
    <row r="763" spans="1:12" s="10" customFormat="1" ht="15" customHeight="1" x14ac:dyDescent="0.25">
      <c r="B763" s="91" t="s">
        <v>15</v>
      </c>
      <c r="C763" s="129" t="s">
        <v>963</v>
      </c>
      <c r="D763" s="69" t="s">
        <v>964</v>
      </c>
      <c r="E763" s="135" t="str">
        <f t="shared" si="14"/>
        <v>Agua Colonia Águas Violetta 170ml Frasco</v>
      </c>
      <c r="F763" s="9" t="s">
        <v>970</v>
      </c>
      <c r="G763" s="130"/>
      <c r="H763" s="9" t="s">
        <v>966</v>
      </c>
      <c r="I763" s="36" t="s">
        <v>33</v>
      </c>
      <c r="J763" s="20"/>
      <c r="K763" s="20"/>
      <c r="L763" s="17"/>
    </row>
    <row r="764" spans="1:12" s="10" customFormat="1" ht="15" customHeight="1" x14ac:dyDescent="0.25">
      <c r="B764" s="91" t="s">
        <v>15</v>
      </c>
      <c r="C764" s="129" t="s">
        <v>963</v>
      </c>
      <c r="D764" s="69" t="s">
        <v>964</v>
      </c>
      <c r="E764" s="135" t="str">
        <f t="shared" si="14"/>
        <v>Agua Colonia Águas Framboesa 170ml Frasco</v>
      </c>
      <c r="F764" s="9" t="s">
        <v>971</v>
      </c>
      <c r="G764" s="130"/>
      <c r="H764" s="9" t="s">
        <v>966</v>
      </c>
      <c r="I764" s="36" t="s">
        <v>33</v>
      </c>
      <c r="J764" s="20"/>
      <c r="K764" s="20"/>
      <c r="L764" s="17"/>
    </row>
    <row r="765" spans="1:12" s="10" customFormat="1" ht="15" customHeight="1" x14ac:dyDescent="0.25">
      <c r="B765" s="91" t="s">
        <v>15</v>
      </c>
      <c r="C765" s="127" t="s">
        <v>972</v>
      </c>
      <c r="D765" s="96" t="s">
        <v>344</v>
      </c>
      <c r="E765" s="135" t="str">
        <f t="shared" si="14"/>
        <v>Colonia Naturé Catavento Infantil</v>
      </c>
      <c r="F765" s="103" t="s">
        <v>973</v>
      </c>
      <c r="G765" s="130"/>
      <c r="H765" s="9"/>
      <c r="I765" s="36"/>
      <c r="J765" s="20"/>
      <c r="K765" s="20"/>
      <c r="L765" s="17"/>
    </row>
    <row r="766" spans="1:12" s="10" customFormat="1" ht="15" customHeight="1" x14ac:dyDescent="0.25">
      <c r="B766" s="91" t="s">
        <v>15</v>
      </c>
      <c r="C766" s="127" t="s">
        <v>972</v>
      </c>
      <c r="D766" s="96" t="s">
        <v>344</v>
      </c>
      <c r="E766" s="135" t="str">
        <f t="shared" si="14"/>
        <v>Colonia Naturé Corre Corre Infantil</v>
      </c>
      <c r="F766" s="103" t="s">
        <v>974</v>
      </c>
      <c r="G766" s="41"/>
      <c r="H766" s="9"/>
      <c r="I766" s="36"/>
      <c r="J766" s="20"/>
      <c r="K766" s="20"/>
      <c r="L766" s="17"/>
    </row>
    <row r="767" spans="1:12" s="10" customFormat="1" ht="15" customHeight="1" x14ac:dyDescent="0.25">
      <c r="B767" s="91" t="s">
        <v>15</v>
      </c>
      <c r="C767" s="127" t="s">
        <v>972</v>
      </c>
      <c r="D767" s="96" t="s">
        <v>344</v>
      </c>
      <c r="E767" s="135" t="str">
        <f t="shared" si="14"/>
        <v>Colonia Naturé Esconde Esconde Infantil</v>
      </c>
      <c r="F767" s="103" t="s">
        <v>975</v>
      </c>
      <c r="G767" s="41"/>
      <c r="H767" s="9"/>
      <c r="I767" s="36"/>
      <c r="J767" s="20"/>
      <c r="K767" s="20"/>
      <c r="L767" s="17"/>
    </row>
    <row r="768" spans="1:12" s="10" customFormat="1" ht="15" customHeight="1" x14ac:dyDescent="0.25">
      <c r="B768" s="91" t="s">
        <v>15</v>
      </c>
      <c r="C768" s="127" t="s">
        <v>972</v>
      </c>
      <c r="D768" s="96" t="s">
        <v>344</v>
      </c>
      <c r="E768" s="135" t="str">
        <f t="shared" si="14"/>
        <v>Colonia Naturé Pula Pula Infantil</v>
      </c>
      <c r="F768" s="103" t="s">
        <v>976</v>
      </c>
      <c r="G768" s="41"/>
      <c r="H768" s="9"/>
      <c r="J768" s="20"/>
      <c r="K768" s="20"/>
      <c r="L768" s="17"/>
    </row>
    <row r="769" spans="3:12" ht="15" customHeight="1" x14ac:dyDescent="0.25">
      <c r="C769" s="22" t="s">
        <v>977</v>
      </c>
      <c r="D769" s="64"/>
      <c r="E769" s="2"/>
      <c r="F769" s="2" t="s">
        <v>978</v>
      </c>
      <c r="G769" s="39"/>
      <c r="H769" s="2"/>
      <c r="I769" s="31"/>
      <c r="J769" s="11"/>
      <c r="K769" s="11"/>
      <c r="L769" s="1"/>
    </row>
    <row r="770" spans="3:12" ht="15" customHeight="1" x14ac:dyDescent="0.25">
      <c r="C770" s="85"/>
      <c r="D770" s="64" t="s">
        <v>979</v>
      </c>
      <c r="E770" s="2" t="s">
        <v>980</v>
      </c>
      <c r="F770" s="2" t="s">
        <v>981</v>
      </c>
      <c r="G770" s="39"/>
      <c r="H770" s="2"/>
      <c r="I770" s="31"/>
      <c r="J770" s="11"/>
      <c r="K770" s="11"/>
      <c r="L770" s="1"/>
    </row>
    <row r="771" spans="3:12" ht="15" customHeight="1" x14ac:dyDescent="0.25">
      <c r="D771" s="64" t="s">
        <v>982</v>
      </c>
      <c r="E771" s="2" t="s">
        <v>982</v>
      </c>
      <c r="F771" s="2" t="s">
        <v>983</v>
      </c>
      <c r="G771" s="39"/>
      <c r="H771" s="2"/>
      <c r="I771" s="31"/>
      <c r="J771" s="2"/>
      <c r="K771" s="11"/>
      <c r="L771" s="1"/>
    </row>
    <row r="772" spans="3:12" ht="15" customHeight="1" x14ac:dyDescent="0.25">
      <c r="C772" s="85"/>
      <c r="D772" s="64" t="s">
        <v>984</v>
      </c>
      <c r="E772" s="2" t="s">
        <v>984</v>
      </c>
      <c r="F772" s="2" t="s">
        <v>985</v>
      </c>
      <c r="G772" s="39"/>
      <c r="H772" s="2"/>
      <c r="I772" s="31"/>
      <c r="J772" s="11"/>
      <c r="K772" s="11"/>
      <c r="L772" s="1"/>
    </row>
    <row r="773" spans="3:12" ht="15" customHeight="1" x14ac:dyDescent="0.25">
      <c r="C773" s="85"/>
      <c r="D773" s="64" t="s">
        <v>986</v>
      </c>
      <c r="E773" s="2" t="s">
        <v>986</v>
      </c>
      <c r="F773" s="2" t="s">
        <v>987</v>
      </c>
      <c r="G773" s="39"/>
      <c r="H773" s="2"/>
      <c r="I773" s="31"/>
      <c r="J773" s="11"/>
      <c r="K773" s="11"/>
      <c r="L773" s="1"/>
    </row>
    <row r="774" spans="3:12" ht="15" customHeight="1" x14ac:dyDescent="0.25">
      <c r="C774" s="85"/>
      <c r="D774" s="64" t="s">
        <v>988</v>
      </c>
      <c r="E774" s="2" t="s">
        <v>988</v>
      </c>
      <c r="F774" s="2" t="s">
        <v>989</v>
      </c>
      <c r="G774" s="39"/>
      <c r="H774" s="2"/>
      <c r="I774" s="31"/>
      <c r="J774" s="11"/>
      <c r="K774" s="11"/>
      <c r="L774" s="1"/>
    </row>
    <row r="775" spans="3:12" ht="15" customHeight="1" x14ac:dyDescent="0.25">
      <c r="C775" s="85"/>
      <c r="D775" s="64" t="s">
        <v>990</v>
      </c>
      <c r="E775" s="2" t="s">
        <v>991</v>
      </c>
      <c r="F775" s="2" t="s">
        <v>992</v>
      </c>
      <c r="G775" s="39"/>
      <c r="H775" s="2"/>
      <c r="I775" s="31"/>
      <c r="J775" s="11"/>
      <c r="K775" s="11"/>
      <c r="L775" s="1"/>
    </row>
    <row r="776" spans="3:12" ht="15" customHeight="1" x14ac:dyDescent="0.25">
      <c r="C776" s="85"/>
      <c r="D776" s="65"/>
      <c r="E776" s="2" t="s">
        <v>980</v>
      </c>
      <c r="F776" s="2"/>
      <c r="G776" s="39"/>
      <c r="H776" s="2"/>
      <c r="I776" s="31"/>
      <c r="J776" s="2"/>
      <c r="K776" s="11"/>
      <c r="L776" s="1"/>
    </row>
    <row r="777" spans="3:12" ht="15" customHeight="1" x14ac:dyDescent="0.25">
      <c r="C777" s="85"/>
      <c r="D777" s="65"/>
      <c r="E777" s="2" t="s">
        <v>986</v>
      </c>
      <c r="F777" s="2" t="s">
        <v>993</v>
      </c>
      <c r="G777" s="39"/>
      <c r="H777" s="2"/>
      <c r="I777" s="31"/>
      <c r="J777" s="11"/>
      <c r="K777" s="11"/>
      <c r="L777" s="1"/>
    </row>
    <row r="778" spans="3:12" ht="15" customHeight="1" x14ac:dyDescent="0.25">
      <c r="C778" s="64"/>
      <c r="D778" s="65"/>
      <c r="E778" s="2"/>
      <c r="F778" s="2"/>
      <c r="G778" s="40"/>
      <c r="H778" s="2"/>
      <c r="I778" s="33"/>
      <c r="J778" s="11"/>
      <c r="K778" s="11"/>
      <c r="L778" s="1"/>
    </row>
    <row r="779" spans="3:12" ht="15" customHeight="1" x14ac:dyDescent="0.25">
      <c r="C779" s="64"/>
      <c r="E779" s="120"/>
      <c r="F779" s="120"/>
      <c r="H779" s="2"/>
    </row>
    <row r="780" spans="3:12" ht="15" customHeight="1" x14ac:dyDescent="0.25">
      <c r="E780" s="120"/>
      <c r="F780" s="120"/>
      <c r="H780" s="2"/>
    </row>
    <row r="781" spans="3:12" ht="15" customHeight="1" x14ac:dyDescent="0.25">
      <c r="E781" s="120"/>
      <c r="F781" s="120"/>
      <c r="H781" s="2"/>
    </row>
    <row r="782" spans="3:12" ht="15" customHeight="1" x14ac:dyDescent="0.25">
      <c r="E782" s="120"/>
      <c r="F782" s="120"/>
      <c r="H782" s="2"/>
    </row>
    <row r="783" spans="3:12" ht="15" customHeight="1" x14ac:dyDescent="0.25">
      <c r="E783" s="120"/>
      <c r="F783" s="120"/>
      <c r="H783" s="2"/>
    </row>
    <row r="784" spans="3:12" ht="15" customHeight="1" x14ac:dyDescent="0.25">
      <c r="E784" s="120"/>
      <c r="F784" s="120"/>
      <c r="H784" s="2"/>
    </row>
    <row r="785" spans="5:6" ht="15" customHeight="1" x14ac:dyDescent="0.25">
      <c r="E785" s="120"/>
      <c r="F785" s="120"/>
    </row>
    <row r="786" spans="5:6" ht="15" customHeight="1" x14ac:dyDescent="0.25">
      <c r="E786" s="120"/>
      <c r="F786" s="120"/>
    </row>
    <row r="787" spans="5:6" ht="15" customHeight="1" x14ac:dyDescent="0.25">
      <c r="E787" s="120"/>
      <c r="F787" s="120"/>
    </row>
    <row r="788" spans="5:6" ht="15" customHeight="1" x14ac:dyDescent="0.25">
      <c r="E788" s="120"/>
      <c r="F788" s="120"/>
    </row>
    <row r="789" spans="5:6" ht="15" customHeight="1" x14ac:dyDescent="0.25">
      <c r="E789" s="120"/>
      <c r="F789" s="120"/>
    </row>
    <row r="790" spans="5:6" ht="15" customHeight="1" x14ac:dyDescent="0.25">
      <c r="E790" s="120"/>
      <c r="F790" s="120"/>
    </row>
    <row r="791" spans="5:6" ht="15" customHeight="1" x14ac:dyDescent="0.25">
      <c r="E791" s="120"/>
      <c r="F791" s="120"/>
    </row>
    <row r="792" spans="5:6" ht="15" customHeight="1" x14ac:dyDescent="0.25">
      <c r="E792" s="120"/>
      <c r="F792" s="120"/>
    </row>
    <row r="793" spans="5:6" ht="15" customHeight="1" x14ac:dyDescent="0.25">
      <c r="E793" s="120"/>
      <c r="F793" s="120"/>
    </row>
    <row r="794" spans="5:6" ht="15" customHeight="1" x14ac:dyDescent="0.25">
      <c r="E794" s="120"/>
      <c r="F794" s="120"/>
    </row>
    <row r="795" spans="5:6" ht="15" customHeight="1" x14ac:dyDescent="0.25">
      <c r="E795" s="120"/>
      <c r="F795" s="120"/>
    </row>
    <row r="796" spans="5:6" ht="15" customHeight="1" x14ac:dyDescent="0.25">
      <c r="E796" s="120"/>
      <c r="F796" s="120"/>
    </row>
    <row r="797" spans="5:6" ht="15" customHeight="1" x14ac:dyDescent="0.25">
      <c r="E797" s="120"/>
      <c r="F797" s="120"/>
    </row>
    <row r="798" spans="5:6" ht="15" customHeight="1" x14ac:dyDescent="0.25">
      <c r="E798" s="120"/>
      <c r="F798" s="120"/>
    </row>
    <row r="799" spans="5:6" ht="15" customHeight="1" x14ac:dyDescent="0.25">
      <c r="E799" s="120"/>
      <c r="F799" s="120"/>
    </row>
    <row r="800" spans="5:6" ht="15" customHeight="1" x14ac:dyDescent="0.25">
      <c r="E800" s="120"/>
      <c r="F800" s="120"/>
    </row>
    <row r="801" spans="5:6" ht="15" customHeight="1" x14ac:dyDescent="0.25">
      <c r="E801" s="120"/>
      <c r="F801" s="120"/>
    </row>
    <row r="802" spans="5:6" ht="15" customHeight="1" x14ac:dyDescent="0.25">
      <c r="E802" s="120"/>
      <c r="F802" s="120"/>
    </row>
    <row r="803" spans="5:6" ht="15" customHeight="1" x14ac:dyDescent="0.25">
      <c r="E803" s="120"/>
      <c r="F803" s="120"/>
    </row>
    <row r="804" spans="5:6" ht="15" customHeight="1" x14ac:dyDescent="0.25">
      <c r="E804" s="120"/>
      <c r="F804" s="120"/>
    </row>
    <row r="805" spans="5:6" ht="15" customHeight="1" x14ac:dyDescent="0.25">
      <c r="E805" s="120"/>
      <c r="F805" s="120"/>
    </row>
    <row r="806" spans="5:6" ht="15" customHeight="1" x14ac:dyDescent="0.25">
      <c r="E806" s="120"/>
      <c r="F806" s="120"/>
    </row>
    <row r="807" spans="5:6" ht="15" customHeight="1" x14ac:dyDescent="0.25">
      <c r="E807" s="120"/>
      <c r="F807" s="120"/>
    </row>
    <row r="808" spans="5:6" ht="15" customHeight="1" x14ac:dyDescent="0.25">
      <c r="E808" s="120"/>
      <c r="F808" s="120"/>
    </row>
    <row r="809" spans="5:6" ht="15" customHeight="1" x14ac:dyDescent="0.25">
      <c r="E809" s="120"/>
      <c r="F809" s="120"/>
    </row>
    <row r="810" spans="5:6" ht="15" customHeight="1" x14ac:dyDescent="0.25">
      <c r="E810" s="120"/>
      <c r="F810" s="120"/>
    </row>
    <row r="811" spans="5:6" ht="15" customHeight="1" x14ac:dyDescent="0.25">
      <c r="E811" s="120"/>
      <c r="F811" s="120"/>
    </row>
    <row r="812" spans="5:6" ht="15" customHeight="1" x14ac:dyDescent="0.25">
      <c r="E812" s="120"/>
      <c r="F812" s="120"/>
    </row>
    <row r="813" spans="5:6" ht="15" customHeight="1" x14ac:dyDescent="0.25">
      <c r="E813" s="120"/>
      <c r="F813" s="120"/>
    </row>
    <row r="814" spans="5:6" ht="15" customHeight="1" x14ac:dyDescent="0.25">
      <c r="E814" s="120"/>
      <c r="F814" s="120"/>
    </row>
    <row r="815" spans="5:6" ht="15" customHeight="1" x14ac:dyDescent="0.25">
      <c r="E815" s="120"/>
      <c r="F815" s="120"/>
    </row>
    <row r="816" spans="5:6" ht="15" customHeight="1" x14ac:dyDescent="0.25">
      <c r="E816" s="120"/>
      <c r="F816" s="120"/>
    </row>
    <row r="817" spans="5:6" ht="15" customHeight="1" x14ac:dyDescent="0.25">
      <c r="E817" s="120"/>
      <c r="F817" s="120"/>
    </row>
    <row r="818" spans="5:6" ht="15" customHeight="1" x14ac:dyDescent="0.25">
      <c r="E818" s="120"/>
      <c r="F818" s="120"/>
    </row>
    <row r="819" spans="5:6" ht="15" customHeight="1" x14ac:dyDescent="0.25">
      <c r="E819" s="120"/>
      <c r="F819" s="120"/>
    </row>
    <row r="820" spans="5:6" ht="15" customHeight="1" x14ac:dyDescent="0.25">
      <c r="E820" s="120"/>
      <c r="F820" s="120"/>
    </row>
    <row r="821" spans="5:6" ht="15" customHeight="1" x14ac:dyDescent="0.25">
      <c r="E821" s="120"/>
      <c r="F821" s="120"/>
    </row>
    <row r="822" spans="5:6" ht="15" customHeight="1" x14ac:dyDescent="0.25">
      <c r="E822" s="120"/>
      <c r="F822" s="120"/>
    </row>
    <row r="823" spans="5:6" ht="15" customHeight="1" x14ac:dyDescent="0.25">
      <c r="E823" s="120"/>
      <c r="F823" s="120"/>
    </row>
    <row r="824" spans="5:6" ht="15" customHeight="1" x14ac:dyDescent="0.25">
      <c r="E824" s="120"/>
      <c r="F824" s="120"/>
    </row>
    <row r="825" spans="5:6" ht="15" customHeight="1" x14ac:dyDescent="0.25">
      <c r="E825" s="120"/>
      <c r="F825" s="120"/>
    </row>
    <row r="826" spans="5:6" ht="15" customHeight="1" x14ac:dyDescent="0.25">
      <c r="E826" s="120"/>
      <c r="F826" s="120"/>
    </row>
    <row r="827" spans="5:6" ht="15" customHeight="1" x14ac:dyDescent="0.25">
      <c r="E827" s="120"/>
      <c r="F827" s="120"/>
    </row>
    <row r="828" spans="5:6" ht="15" customHeight="1" x14ac:dyDescent="0.25">
      <c r="E828" s="120"/>
      <c r="F828" s="120"/>
    </row>
    <row r="829" spans="5:6" ht="15" customHeight="1" x14ac:dyDescent="0.25">
      <c r="E829" s="120"/>
      <c r="F829" s="120"/>
    </row>
    <row r="830" spans="5:6" ht="15" customHeight="1" x14ac:dyDescent="0.25">
      <c r="E830" s="120"/>
      <c r="F830" s="120"/>
    </row>
    <row r="831" spans="5:6" ht="15" customHeight="1" x14ac:dyDescent="0.25">
      <c r="E831" s="120"/>
      <c r="F831" s="120"/>
    </row>
    <row r="832" spans="5:6" ht="15" customHeight="1" x14ac:dyDescent="0.25">
      <c r="E832" s="120"/>
      <c r="F832" s="120"/>
    </row>
    <row r="833" spans="5:6" ht="15" customHeight="1" x14ac:dyDescent="0.25">
      <c r="E833" s="120"/>
      <c r="F833" s="120"/>
    </row>
    <row r="834" spans="5:6" ht="15" customHeight="1" x14ac:dyDescent="0.25">
      <c r="E834" s="120"/>
      <c r="F834" s="120"/>
    </row>
    <row r="835" spans="5:6" ht="15" customHeight="1" x14ac:dyDescent="0.25">
      <c r="E835" s="120"/>
      <c r="F835" s="120"/>
    </row>
    <row r="836" spans="5:6" ht="15" customHeight="1" x14ac:dyDescent="0.25">
      <c r="E836" s="120"/>
      <c r="F836" s="120"/>
    </row>
    <row r="837" spans="5:6" ht="15" customHeight="1" x14ac:dyDescent="0.25">
      <c r="E837" s="120"/>
      <c r="F837" s="120"/>
    </row>
    <row r="838" spans="5:6" ht="15" customHeight="1" x14ac:dyDescent="0.25">
      <c r="E838" s="120"/>
      <c r="F838" s="120"/>
    </row>
    <row r="839" spans="5:6" ht="15" customHeight="1" x14ac:dyDescent="0.25">
      <c r="E839" s="120"/>
      <c r="F839" s="120"/>
    </row>
    <row r="840" spans="5:6" ht="15" customHeight="1" x14ac:dyDescent="0.25">
      <c r="E840" s="120"/>
      <c r="F840" s="120"/>
    </row>
    <row r="841" spans="5:6" ht="15" customHeight="1" x14ac:dyDescent="0.25">
      <c r="E841" s="120"/>
      <c r="F841" s="120"/>
    </row>
    <row r="842" spans="5:6" ht="15" customHeight="1" x14ac:dyDescent="0.25">
      <c r="E842" s="120"/>
      <c r="F842" s="120"/>
    </row>
    <row r="843" spans="5:6" ht="15" customHeight="1" x14ac:dyDescent="0.25">
      <c r="E843" s="120"/>
      <c r="F843" s="120"/>
    </row>
    <row r="844" spans="5:6" ht="15" customHeight="1" x14ac:dyDescent="0.25">
      <c r="E844" s="120"/>
      <c r="F844" s="120"/>
    </row>
    <row r="845" spans="5:6" ht="15" customHeight="1" x14ac:dyDescent="0.25">
      <c r="E845" s="120"/>
      <c r="F845" s="120"/>
    </row>
    <row r="846" spans="5:6" ht="15" customHeight="1" x14ac:dyDescent="0.25">
      <c r="E846" s="120"/>
      <c r="F846" s="120"/>
    </row>
    <row r="847" spans="5:6" ht="15" customHeight="1" x14ac:dyDescent="0.25">
      <c r="E847" s="120"/>
      <c r="F847" s="120"/>
    </row>
    <row r="848" spans="5:6" ht="15" customHeight="1" x14ac:dyDescent="0.25">
      <c r="E848" s="120"/>
      <c r="F848" s="120"/>
    </row>
    <row r="849" spans="5:6" ht="15" customHeight="1" x14ac:dyDescent="0.25">
      <c r="E849" s="120"/>
      <c r="F849" s="120"/>
    </row>
    <row r="850" spans="5:6" ht="15" customHeight="1" x14ac:dyDescent="0.25">
      <c r="E850" s="120"/>
      <c r="F850" s="120"/>
    </row>
    <row r="851" spans="5:6" ht="15" customHeight="1" x14ac:dyDescent="0.25">
      <c r="E851" s="120"/>
      <c r="F851" s="120"/>
    </row>
    <row r="852" spans="5:6" ht="15" customHeight="1" x14ac:dyDescent="0.25">
      <c r="E852" s="120"/>
      <c r="F852" s="120"/>
    </row>
    <row r="853" spans="5:6" ht="15" customHeight="1" x14ac:dyDescent="0.25">
      <c r="E853" s="120"/>
      <c r="F853" s="120"/>
    </row>
    <row r="854" spans="5:6" ht="15" customHeight="1" x14ac:dyDescent="0.25">
      <c r="E854" s="120"/>
      <c r="F854" s="120"/>
    </row>
    <row r="855" spans="5:6" ht="15" customHeight="1" x14ac:dyDescent="0.25">
      <c r="E855" s="120"/>
      <c r="F855" s="120"/>
    </row>
    <row r="856" spans="5:6" ht="15" customHeight="1" x14ac:dyDescent="0.25">
      <c r="E856" s="120"/>
      <c r="F856" s="120"/>
    </row>
    <row r="857" spans="5:6" ht="15" customHeight="1" x14ac:dyDescent="0.25">
      <c r="E857" s="120"/>
      <c r="F857" s="120"/>
    </row>
    <row r="858" spans="5:6" ht="15" customHeight="1" x14ac:dyDescent="0.25">
      <c r="E858" s="120"/>
      <c r="F858" s="120"/>
    </row>
    <row r="859" spans="5:6" ht="15" customHeight="1" x14ac:dyDescent="0.25">
      <c r="E859" s="120"/>
      <c r="F859" s="120"/>
    </row>
    <row r="860" spans="5:6" ht="15" customHeight="1" x14ac:dyDescent="0.25">
      <c r="E860" s="120"/>
      <c r="F860" s="120"/>
    </row>
    <row r="861" spans="5:6" ht="15" customHeight="1" x14ac:dyDescent="0.25">
      <c r="E861" s="120"/>
      <c r="F861" s="120"/>
    </row>
    <row r="862" spans="5:6" ht="15" customHeight="1" x14ac:dyDescent="0.25">
      <c r="E862" s="120"/>
      <c r="F862" s="120"/>
    </row>
    <row r="863" spans="5:6" ht="15" customHeight="1" x14ac:dyDescent="0.25">
      <c r="E863" s="120"/>
      <c r="F863" s="120"/>
    </row>
    <row r="864" spans="5:6" ht="15" customHeight="1" x14ac:dyDescent="0.25">
      <c r="E864" s="120"/>
      <c r="F864" s="120"/>
    </row>
    <row r="865" spans="5:6" ht="15" customHeight="1" x14ac:dyDescent="0.25">
      <c r="E865" s="120"/>
      <c r="F865" s="120"/>
    </row>
    <row r="866" spans="5:6" ht="15" customHeight="1" x14ac:dyDescent="0.25">
      <c r="E866" s="120"/>
      <c r="F866" s="120"/>
    </row>
    <row r="867" spans="5:6" ht="15" customHeight="1" x14ac:dyDescent="0.25">
      <c r="E867" s="120"/>
      <c r="F867" s="120"/>
    </row>
    <row r="868" spans="5:6" ht="15" customHeight="1" x14ac:dyDescent="0.25">
      <c r="E868" s="120"/>
      <c r="F868" s="120"/>
    </row>
    <row r="869" spans="5:6" ht="15" customHeight="1" x14ac:dyDescent="0.25">
      <c r="E869" s="120"/>
      <c r="F869" s="120"/>
    </row>
    <row r="870" spans="5:6" ht="15" customHeight="1" x14ac:dyDescent="0.25">
      <c r="E870" s="120"/>
      <c r="F870" s="120"/>
    </row>
    <row r="871" spans="5:6" ht="15" customHeight="1" x14ac:dyDescent="0.25">
      <c r="E871" s="120"/>
      <c r="F871" s="120"/>
    </row>
    <row r="872" spans="5:6" ht="15" customHeight="1" x14ac:dyDescent="0.25">
      <c r="E872" s="120"/>
      <c r="F872" s="120"/>
    </row>
    <row r="873" spans="5:6" ht="15" customHeight="1" x14ac:dyDescent="0.25">
      <c r="E873" s="120"/>
      <c r="F873" s="120"/>
    </row>
    <row r="874" spans="5:6" ht="15" customHeight="1" x14ac:dyDescent="0.25">
      <c r="E874" s="120"/>
      <c r="F874" s="120"/>
    </row>
    <row r="875" spans="5:6" ht="15" customHeight="1" x14ac:dyDescent="0.25">
      <c r="E875" s="120"/>
      <c r="F875" s="120"/>
    </row>
    <row r="876" spans="5:6" ht="15" customHeight="1" x14ac:dyDescent="0.25">
      <c r="E876" s="120"/>
      <c r="F876" s="120"/>
    </row>
    <row r="877" spans="5:6" ht="15" customHeight="1" x14ac:dyDescent="0.25">
      <c r="E877" s="120"/>
      <c r="F877" s="120"/>
    </row>
    <row r="878" spans="5:6" ht="15" customHeight="1" x14ac:dyDescent="0.25">
      <c r="E878" s="120"/>
      <c r="F878" s="120"/>
    </row>
    <row r="879" spans="5:6" ht="15" customHeight="1" x14ac:dyDescent="0.25">
      <c r="E879" s="120"/>
      <c r="F879" s="120"/>
    </row>
    <row r="880" spans="5:6" ht="15" customHeight="1" x14ac:dyDescent="0.25">
      <c r="E880" s="120"/>
      <c r="F880" s="120"/>
    </row>
    <row r="881" spans="5:6" ht="15" customHeight="1" x14ac:dyDescent="0.25">
      <c r="E881" s="120"/>
      <c r="F881" s="120"/>
    </row>
    <row r="882" spans="5:6" ht="15" customHeight="1" x14ac:dyDescent="0.25">
      <c r="E882" s="120"/>
      <c r="F882" s="120"/>
    </row>
    <row r="883" spans="5:6" ht="15" customHeight="1" x14ac:dyDescent="0.25">
      <c r="E883" s="120"/>
      <c r="F883" s="120"/>
    </row>
    <row r="884" spans="5:6" ht="15" customHeight="1" x14ac:dyDescent="0.25">
      <c r="E884" s="120"/>
      <c r="F884" s="120"/>
    </row>
    <row r="885" spans="5:6" ht="15" customHeight="1" x14ac:dyDescent="0.25">
      <c r="E885" s="120"/>
      <c r="F885" s="120"/>
    </row>
    <row r="886" spans="5:6" ht="15" customHeight="1" x14ac:dyDescent="0.25">
      <c r="E886" s="120"/>
      <c r="F886" s="120"/>
    </row>
    <row r="887" spans="5:6" ht="15" customHeight="1" x14ac:dyDescent="0.25">
      <c r="E887" s="120"/>
      <c r="F887" s="120"/>
    </row>
    <row r="888" spans="5:6" ht="15" customHeight="1" x14ac:dyDescent="0.25">
      <c r="E888" s="120"/>
      <c r="F888" s="120"/>
    </row>
    <row r="889" spans="5:6" ht="15" customHeight="1" x14ac:dyDescent="0.25">
      <c r="E889" s="120"/>
      <c r="F889" s="120"/>
    </row>
    <row r="890" spans="5:6" ht="15" customHeight="1" x14ac:dyDescent="0.25">
      <c r="E890" s="120"/>
      <c r="F890" s="120"/>
    </row>
    <row r="891" spans="5:6" ht="15" customHeight="1" x14ac:dyDescent="0.25">
      <c r="E891" s="120"/>
      <c r="F891" s="120"/>
    </row>
    <row r="892" spans="5:6" ht="15" customHeight="1" x14ac:dyDescent="0.25">
      <c r="E892" s="120"/>
      <c r="F892" s="120"/>
    </row>
    <row r="893" spans="5:6" ht="15" customHeight="1" x14ac:dyDescent="0.25">
      <c r="E893" s="120"/>
      <c r="F893" s="120"/>
    </row>
    <row r="894" spans="5:6" ht="15" customHeight="1" x14ac:dyDescent="0.25">
      <c r="E894" s="120"/>
      <c r="F894" s="120"/>
    </row>
    <row r="895" spans="5:6" ht="15" customHeight="1" x14ac:dyDescent="0.25">
      <c r="E895" s="120"/>
      <c r="F895" s="120"/>
    </row>
    <row r="896" spans="5:6" ht="15" customHeight="1" x14ac:dyDescent="0.25">
      <c r="E896" s="120"/>
      <c r="F896" s="120"/>
    </row>
    <row r="897" spans="5:6" ht="15" customHeight="1" x14ac:dyDescent="0.25">
      <c r="E897" s="120"/>
      <c r="F897" s="120"/>
    </row>
    <row r="898" spans="5:6" ht="15" customHeight="1" x14ac:dyDescent="0.25">
      <c r="E898" s="120"/>
      <c r="F898" s="120"/>
    </row>
    <row r="899" spans="5:6" ht="15" customHeight="1" x14ac:dyDescent="0.25">
      <c r="E899" s="120"/>
      <c r="F899" s="120"/>
    </row>
    <row r="900" spans="5:6" ht="15" customHeight="1" x14ac:dyDescent="0.25">
      <c r="E900" s="120"/>
      <c r="F900" s="120"/>
    </row>
    <row r="901" spans="5:6" ht="15" customHeight="1" x14ac:dyDescent="0.25">
      <c r="E901" s="120"/>
      <c r="F901" s="120"/>
    </row>
    <row r="902" spans="5:6" ht="15" customHeight="1" x14ac:dyDescent="0.25">
      <c r="E902" s="120"/>
      <c r="F902" s="120"/>
    </row>
    <row r="903" spans="5:6" ht="15" customHeight="1" x14ac:dyDescent="0.25">
      <c r="E903" s="120"/>
      <c r="F903" s="120"/>
    </row>
    <row r="904" spans="5:6" ht="15" customHeight="1" x14ac:dyDescent="0.25">
      <c r="E904" s="120"/>
      <c r="F904" s="120"/>
    </row>
    <row r="905" spans="5:6" ht="15" customHeight="1" x14ac:dyDescent="0.25">
      <c r="E905" s="120"/>
      <c r="F905" s="120"/>
    </row>
    <row r="906" spans="5:6" ht="15" customHeight="1" x14ac:dyDescent="0.25">
      <c r="E906" s="120"/>
      <c r="F906" s="120"/>
    </row>
    <row r="907" spans="5:6" ht="15" customHeight="1" x14ac:dyDescent="0.25">
      <c r="E907" s="120"/>
      <c r="F907" s="120"/>
    </row>
    <row r="908" spans="5:6" ht="15" customHeight="1" x14ac:dyDescent="0.25">
      <c r="E908" s="120"/>
      <c r="F908" s="120"/>
    </row>
    <row r="909" spans="5:6" ht="15" customHeight="1" x14ac:dyDescent="0.25">
      <c r="E909" s="120"/>
      <c r="F909" s="120"/>
    </row>
    <row r="910" spans="5:6" ht="15" customHeight="1" x14ac:dyDescent="0.25">
      <c r="E910" s="120"/>
      <c r="F910" s="120"/>
    </row>
    <row r="911" spans="5:6" ht="15" customHeight="1" x14ac:dyDescent="0.25">
      <c r="E911" s="120"/>
      <c r="F911" s="120"/>
    </row>
    <row r="912" spans="5:6" ht="15" customHeight="1" x14ac:dyDescent="0.25">
      <c r="E912" s="120"/>
      <c r="F912" s="120"/>
    </row>
    <row r="913" spans="5:6" ht="15" customHeight="1" x14ac:dyDescent="0.25">
      <c r="E913" s="120"/>
      <c r="F913" s="120"/>
    </row>
    <row r="914" spans="5:6" ht="15" customHeight="1" x14ac:dyDescent="0.25">
      <c r="E914" s="120"/>
      <c r="F914" s="120"/>
    </row>
    <row r="915" spans="5:6" ht="15" customHeight="1" x14ac:dyDescent="0.25">
      <c r="E915" s="120"/>
      <c r="F915" s="120"/>
    </row>
    <row r="916" spans="5:6" ht="15" customHeight="1" x14ac:dyDescent="0.25">
      <c r="E916" s="120"/>
      <c r="F916" s="120"/>
    </row>
    <row r="917" spans="5:6" ht="15" customHeight="1" x14ac:dyDescent="0.25">
      <c r="E917" s="120"/>
      <c r="F917" s="120"/>
    </row>
    <row r="918" spans="5:6" ht="15" customHeight="1" x14ac:dyDescent="0.25">
      <c r="E918" s="120"/>
      <c r="F918" s="120"/>
    </row>
    <row r="919" spans="5:6" ht="15" customHeight="1" x14ac:dyDescent="0.25">
      <c r="E919" s="120"/>
      <c r="F919" s="120"/>
    </row>
    <row r="920" spans="5:6" ht="15" customHeight="1" x14ac:dyDescent="0.25">
      <c r="E920" s="120"/>
      <c r="F920" s="120"/>
    </row>
    <row r="921" spans="5:6" ht="15" customHeight="1" x14ac:dyDescent="0.25">
      <c r="E921" s="120"/>
      <c r="F921" s="120"/>
    </row>
    <row r="922" spans="5:6" ht="15" customHeight="1" x14ac:dyDescent="0.25">
      <c r="E922" s="120"/>
      <c r="F922" s="120"/>
    </row>
    <row r="923" spans="5:6" ht="15" customHeight="1" x14ac:dyDescent="0.25">
      <c r="E923" s="120"/>
      <c r="F923" s="120"/>
    </row>
    <row r="924" spans="5:6" ht="15" customHeight="1" x14ac:dyDescent="0.25">
      <c r="E924" s="120"/>
      <c r="F924" s="120"/>
    </row>
    <row r="925" spans="5:6" ht="15" customHeight="1" x14ac:dyDescent="0.25">
      <c r="E925" s="120"/>
      <c r="F925" s="120"/>
    </row>
    <row r="926" spans="5:6" ht="15" customHeight="1" x14ac:dyDescent="0.25">
      <c r="E926" s="120"/>
      <c r="F926" s="120"/>
    </row>
    <row r="927" spans="5:6" ht="15" customHeight="1" x14ac:dyDescent="0.25">
      <c r="E927" s="120"/>
      <c r="F927" s="120"/>
    </row>
    <row r="928" spans="5:6" ht="15" customHeight="1" x14ac:dyDescent="0.25">
      <c r="E928" s="120"/>
      <c r="F928" s="120"/>
    </row>
    <row r="929" spans="5:6" ht="15" customHeight="1" x14ac:dyDescent="0.25">
      <c r="E929" s="120"/>
      <c r="F929" s="120"/>
    </row>
    <row r="930" spans="5:6" ht="15" customHeight="1" x14ac:dyDescent="0.25">
      <c r="E930" s="120"/>
      <c r="F930" s="120"/>
    </row>
    <row r="931" spans="5:6" ht="15" customHeight="1" x14ac:dyDescent="0.25">
      <c r="E931" s="120"/>
      <c r="F931" s="120"/>
    </row>
    <row r="932" spans="5:6" ht="15" customHeight="1" x14ac:dyDescent="0.25">
      <c r="E932" s="120"/>
      <c r="F932" s="120"/>
    </row>
    <row r="933" spans="5:6" ht="15" customHeight="1" x14ac:dyDescent="0.25">
      <c r="E933" s="120"/>
      <c r="F933" s="120"/>
    </row>
    <row r="934" spans="5:6" ht="15" customHeight="1" x14ac:dyDescent="0.25">
      <c r="E934" s="120"/>
      <c r="F934" s="120"/>
    </row>
    <row r="935" spans="5:6" ht="15" customHeight="1" x14ac:dyDescent="0.25">
      <c r="E935" s="120"/>
      <c r="F935" s="120"/>
    </row>
    <row r="936" spans="5:6" ht="15" customHeight="1" x14ac:dyDescent="0.25">
      <c r="E936" s="120"/>
      <c r="F936" s="120"/>
    </row>
    <row r="937" spans="5:6" ht="15" customHeight="1" x14ac:dyDescent="0.25">
      <c r="E937" s="120"/>
      <c r="F937" s="120"/>
    </row>
    <row r="938" spans="5:6" ht="15" customHeight="1" x14ac:dyDescent="0.25">
      <c r="E938" s="120"/>
      <c r="F938" s="120"/>
    </row>
    <row r="939" spans="5:6" ht="15" customHeight="1" x14ac:dyDescent="0.25">
      <c r="E939" s="120"/>
      <c r="F939" s="120"/>
    </row>
    <row r="940" spans="5:6" ht="15" customHeight="1" x14ac:dyDescent="0.25">
      <c r="E940" s="120"/>
      <c r="F940" s="120"/>
    </row>
    <row r="941" spans="5:6" ht="15" customHeight="1" x14ac:dyDescent="0.25">
      <c r="E941" s="120"/>
      <c r="F941" s="120"/>
    </row>
    <row r="942" spans="5:6" ht="15" customHeight="1" x14ac:dyDescent="0.25">
      <c r="E942" s="120"/>
      <c r="F942" s="120"/>
    </row>
    <row r="943" spans="5:6" ht="15" customHeight="1" x14ac:dyDescent="0.25">
      <c r="E943" s="120"/>
      <c r="F943" s="120"/>
    </row>
    <row r="944" spans="5:6" ht="15" customHeight="1" x14ac:dyDescent="0.25">
      <c r="E944" s="120"/>
      <c r="F944" s="120"/>
    </row>
    <row r="945" spans="5:6" ht="15" customHeight="1" x14ac:dyDescent="0.25">
      <c r="E945" s="120"/>
      <c r="F945" s="120"/>
    </row>
    <row r="946" spans="5:6" ht="15" customHeight="1" x14ac:dyDescent="0.25">
      <c r="E946" s="120"/>
      <c r="F946" s="120"/>
    </row>
    <row r="947" spans="5:6" ht="15" customHeight="1" x14ac:dyDescent="0.25">
      <c r="E947" s="120"/>
      <c r="F947" s="120"/>
    </row>
    <row r="948" spans="5:6" ht="15" customHeight="1" x14ac:dyDescent="0.25">
      <c r="E948" s="120"/>
      <c r="F948" s="120"/>
    </row>
    <row r="949" spans="5:6" ht="15" customHeight="1" x14ac:dyDescent="0.25">
      <c r="E949" s="120"/>
      <c r="F949" s="120"/>
    </row>
    <row r="950" spans="5:6" ht="15" customHeight="1" x14ac:dyDescent="0.25">
      <c r="E950" s="120"/>
      <c r="F950" s="120"/>
    </row>
    <row r="951" spans="5:6" ht="15" customHeight="1" x14ac:dyDescent="0.25">
      <c r="E951" s="120"/>
      <c r="F951" s="120"/>
    </row>
    <row r="952" spans="5:6" ht="15" customHeight="1" x14ac:dyDescent="0.25">
      <c r="E952" s="120"/>
      <c r="F952" s="120"/>
    </row>
    <row r="953" spans="5:6" ht="15" customHeight="1" x14ac:dyDescent="0.25">
      <c r="E953" s="120"/>
      <c r="F953" s="120"/>
    </row>
    <row r="954" spans="5:6" ht="15" customHeight="1" x14ac:dyDescent="0.25">
      <c r="E954" s="120"/>
      <c r="F954" s="120"/>
    </row>
    <row r="955" spans="5:6" ht="15" customHeight="1" x14ac:dyDescent="0.25">
      <c r="E955" s="120"/>
      <c r="F955" s="120"/>
    </row>
    <row r="956" spans="5:6" ht="15" customHeight="1" x14ac:dyDescent="0.25">
      <c r="E956" s="120"/>
      <c r="F956" s="120"/>
    </row>
    <row r="957" spans="5:6" ht="15" customHeight="1" x14ac:dyDescent="0.25">
      <c r="E957" s="120"/>
      <c r="F957" s="120"/>
    </row>
    <row r="958" spans="5:6" ht="15" customHeight="1" x14ac:dyDescent="0.25">
      <c r="E958" s="120"/>
      <c r="F958" s="120"/>
    </row>
    <row r="959" spans="5:6" ht="15" customHeight="1" x14ac:dyDescent="0.25">
      <c r="E959" s="120"/>
      <c r="F959" s="120"/>
    </row>
    <row r="960" spans="5:6" ht="15" customHeight="1" x14ac:dyDescent="0.25">
      <c r="E960" s="120"/>
      <c r="F960" s="120"/>
    </row>
    <row r="961" spans="5:6" ht="15" customHeight="1" x14ac:dyDescent="0.25">
      <c r="E961" s="120"/>
      <c r="F961" s="120"/>
    </row>
    <row r="962" spans="5:6" ht="15" customHeight="1" x14ac:dyDescent="0.25">
      <c r="E962" s="120"/>
      <c r="F962" s="120"/>
    </row>
    <row r="963" spans="5:6" ht="15" customHeight="1" x14ac:dyDescent="0.25">
      <c r="E963" s="120"/>
      <c r="F963" s="120"/>
    </row>
    <row r="964" spans="5:6" ht="15" customHeight="1" x14ac:dyDescent="0.25">
      <c r="E964" s="120"/>
      <c r="F964" s="120"/>
    </row>
    <row r="965" spans="5:6" ht="15" customHeight="1" x14ac:dyDescent="0.25">
      <c r="E965" s="120"/>
      <c r="F965" s="120"/>
    </row>
    <row r="966" spans="5:6" ht="15" customHeight="1" x14ac:dyDescent="0.25">
      <c r="E966" s="120"/>
      <c r="F966" s="120"/>
    </row>
    <row r="967" spans="5:6" ht="15" customHeight="1" x14ac:dyDescent="0.25">
      <c r="E967" s="120"/>
      <c r="F967" s="120"/>
    </row>
    <row r="968" spans="5:6" ht="15" customHeight="1" x14ac:dyDescent="0.25">
      <c r="E968" s="120"/>
      <c r="F968" s="120"/>
    </row>
    <row r="969" spans="5:6" ht="15" customHeight="1" x14ac:dyDescent="0.25">
      <c r="E969" s="120"/>
      <c r="F969" s="120"/>
    </row>
    <row r="970" spans="5:6" ht="15" customHeight="1" x14ac:dyDescent="0.25">
      <c r="E970" s="120"/>
      <c r="F970" s="120"/>
    </row>
    <row r="971" spans="5:6" ht="15" customHeight="1" x14ac:dyDescent="0.25">
      <c r="E971" s="120"/>
      <c r="F971" s="120"/>
    </row>
    <row r="972" spans="5:6" ht="15" customHeight="1" x14ac:dyDescent="0.25">
      <c r="E972" s="120"/>
      <c r="F972" s="120"/>
    </row>
    <row r="973" spans="5:6" ht="15" customHeight="1" x14ac:dyDescent="0.25">
      <c r="E973" s="120"/>
      <c r="F973" s="120"/>
    </row>
    <row r="974" spans="5:6" ht="15" customHeight="1" x14ac:dyDescent="0.25">
      <c r="E974" s="120"/>
      <c r="F974" s="120"/>
    </row>
    <row r="975" spans="5:6" ht="15" customHeight="1" x14ac:dyDescent="0.25">
      <c r="E975" s="120"/>
      <c r="F975" s="120"/>
    </row>
    <row r="976" spans="5:6" ht="15" customHeight="1" x14ac:dyDescent="0.25">
      <c r="E976" s="120"/>
      <c r="F976" s="120"/>
    </row>
    <row r="977" spans="5:6" ht="15" customHeight="1" x14ac:dyDescent="0.25">
      <c r="E977" s="120"/>
      <c r="F977" s="120"/>
    </row>
    <row r="978" spans="5:6" ht="15" customHeight="1" x14ac:dyDescent="0.25">
      <c r="E978" s="120"/>
      <c r="F978" s="120"/>
    </row>
    <row r="979" spans="5:6" ht="15" customHeight="1" x14ac:dyDescent="0.25">
      <c r="E979" s="120"/>
      <c r="F979" s="120"/>
    </row>
    <row r="980" spans="5:6" ht="15" customHeight="1" x14ac:dyDescent="0.25">
      <c r="E980" s="120"/>
      <c r="F980" s="120"/>
    </row>
    <row r="981" spans="5:6" ht="15" customHeight="1" x14ac:dyDescent="0.25">
      <c r="E981" s="120"/>
      <c r="F981" s="120"/>
    </row>
    <row r="982" spans="5:6" ht="15" customHeight="1" x14ac:dyDescent="0.25">
      <c r="E982" s="120"/>
      <c r="F982" s="120"/>
    </row>
    <row r="983" spans="5:6" ht="15" customHeight="1" x14ac:dyDescent="0.25">
      <c r="E983" s="120"/>
      <c r="F983" s="120"/>
    </row>
    <row r="984" spans="5:6" ht="15" customHeight="1" x14ac:dyDescent="0.25">
      <c r="E984" s="120"/>
      <c r="F984" s="120"/>
    </row>
    <row r="985" spans="5:6" ht="15" customHeight="1" x14ac:dyDescent="0.25">
      <c r="E985" s="120"/>
      <c r="F985" s="120"/>
    </row>
    <row r="986" spans="5:6" ht="15" customHeight="1" x14ac:dyDescent="0.25">
      <c r="E986" s="120"/>
      <c r="F986" s="120"/>
    </row>
    <row r="987" spans="5:6" ht="15" customHeight="1" x14ac:dyDescent="0.25">
      <c r="E987" s="120"/>
      <c r="F987" s="120"/>
    </row>
    <row r="988" spans="5:6" ht="15" customHeight="1" x14ac:dyDescent="0.25">
      <c r="E988" s="120"/>
      <c r="F988" s="120"/>
    </row>
    <row r="989" spans="5:6" ht="15" customHeight="1" x14ac:dyDescent="0.25">
      <c r="E989" s="120"/>
      <c r="F989" s="120"/>
    </row>
    <row r="990" spans="5:6" ht="15" customHeight="1" x14ac:dyDescent="0.25">
      <c r="E990" s="120"/>
      <c r="F990" s="120"/>
    </row>
    <row r="991" spans="5:6" ht="15" customHeight="1" x14ac:dyDescent="0.25">
      <c r="E991" s="120"/>
      <c r="F991" s="120"/>
    </row>
    <row r="992" spans="5:6" ht="15" customHeight="1" x14ac:dyDescent="0.25">
      <c r="E992" s="120"/>
      <c r="F992" s="120"/>
    </row>
    <row r="993" spans="5:6" ht="15" customHeight="1" x14ac:dyDescent="0.25">
      <c r="E993" s="120"/>
      <c r="F993" s="120"/>
    </row>
    <row r="994" spans="5:6" ht="15" customHeight="1" x14ac:dyDescent="0.25">
      <c r="E994" s="120"/>
      <c r="F994" s="120"/>
    </row>
    <row r="995" spans="5:6" ht="15" customHeight="1" x14ac:dyDescent="0.25">
      <c r="E995" s="120"/>
      <c r="F995" s="120"/>
    </row>
    <row r="996" spans="5:6" ht="15" customHeight="1" x14ac:dyDescent="0.25">
      <c r="E996" s="120"/>
      <c r="F996" s="120"/>
    </row>
    <row r="997" spans="5:6" ht="15" customHeight="1" x14ac:dyDescent="0.25">
      <c r="E997" s="120"/>
      <c r="F997" s="120"/>
    </row>
    <row r="998" spans="5:6" ht="15" customHeight="1" x14ac:dyDescent="0.25">
      <c r="E998" s="120"/>
      <c r="F998" s="120"/>
    </row>
    <row r="999" spans="5:6" ht="15" customHeight="1" x14ac:dyDescent="0.25">
      <c r="E999" s="120"/>
      <c r="F999" s="120"/>
    </row>
    <row r="1000" spans="5:6" ht="15" customHeight="1" x14ac:dyDescent="0.25">
      <c r="E1000" s="120"/>
      <c r="F1000" s="120"/>
    </row>
    <row r="1001" spans="5:6" ht="15" customHeight="1" x14ac:dyDescent="0.25">
      <c r="E1001" s="120"/>
      <c r="F1001" s="120"/>
    </row>
    <row r="1002" spans="5:6" ht="15" customHeight="1" x14ac:dyDescent="0.25">
      <c r="E1002" s="120"/>
      <c r="F1002" s="120"/>
    </row>
    <row r="1003" spans="5:6" ht="15" customHeight="1" x14ac:dyDescent="0.25">
      <c r="E1003" s="120"/>
      <c r="F1003" s="120"/>
    </row>
    <row r="1004" spans="5:6" ht="15" customHeight="1" x14ac:dyDescent="0.25">
      <c r="E1004" s="120"/>
      <c r="F1004" s="120"/>
    </row>
    <row r="1005" spans="5:6" ht="15" customHeight="1" x14ac:dyDescent="0.25">
      <c r="E1005" s="120"/>
      <c r="F1005" s="120"/>
    </row>
    <row r="1006" spans="5:6" ht="15" customHeight="1" x14ac:dyDescent="0.25">
      <c r="E1006" s="120"/>
      <c r="F1006" s="120"/>
    </row>
    <row r="1007" spans="5:6" ht="15" customHeight="1" x14ac:dyDescent="0.25">
      <c r="E1007" s="120"/>
      <c r="F1007" s="120"/>
    </row>
    <row r="1008" spans="5:6" ht="15" customHeight="1" x14ac:dyDescent="0.25">
      <c r="E1008" s="120"/>
      <c r="F1008" s="120"/>
    </row>
    <row r="1009" spans="5:6" ht="15" customHeight="1" x14ac:dyDescent="0.25">
      <c r="E1009" s="120"/>
      <c r="F1009" s="120"/>
    </row>
    <row r="1010" spans="5:6" ht="15" customHeight="1" x14ac:dyDescent="0.25">
      <c r="E1010" s="120"/>
      <c r="F1010" s="120"/>
    </row>
    <row r="1011" spans="5:6" ht="15" customHeight="1" x14ac:dyDescent="0.25">
      <c r="E1011" s="120"/>
      <c r="F1011" s="120"/>
    </row>
    <row r="1012" spans="5:6" ht="15" customHeight="1" x14ac:dyDescent="0.25">
      <c r="E1012" s="120"/>
      <c r="F1012" s="120"/>
    </row>
    <row r="1013" spans="5:6" ht="15" customHeight="1" x14ac:dyDescent="0.25">
      <c r="E1013" s="120"/>
      <c r="F1013" s="120"/>
    </row>
    <row r="1014" spans="5:6" ht="15" customHeight="1" x14ac:dyDescent="0.25">
      <c r="E1014" s="120"/>
      <c r="F1014" s="120"/>
    </row>
    <row r="1015" spans="5:6" ht="15" customHeight="1" x14ac:dyDescent="0.25">
      <c r="E1015" s="120"/>
      <c r="F1015" s="120"/>
    </row>
    <row r="1016" spans="5:6" ht="15" customHeight="1" x14ac:dyDescent="0.25">
      <c r="E1016" s="120"/>
      <c r="F1016" s="120"/>
    </row>
    <row r="1017" spans="5:6" ht="15" customHeight="1" x14ac:dyDescent="0.25">
      <c r="E1017" s="120"/>
      <c r="F1017" s="120"/>
    </row>
    <row r="1018" spans="5:6" ht="15" customHeight="1" x14ac:dyDescent="0.25">
      <c r="E1018" s="120"/>
      <c r="F1018" s="120"/>
    </row>
    <row r="1019" spans="5:6" ht="15" customHeight="1" x14ac:dyDescent="0.25">
      <c r="E1019" s="120"/>
      <c r="F1019" s="120"/>
    </row>
    <row r="1020" spans="5:6" ht="15" customHeight="1" x14ac:dyDescent="0.25">
      <c r="E1020" s="120"/>
      <c r="F1020" s="120"/>
    </row>
    <row r="1021" spans="5:6" ht="15" customHeight="1" x14ac:dyDescent="0.25">
      <c r="E1021" s="120"/>
      <c r="F1021" s="120"/>
    </row>
    <row r="1022" spans="5:6" ht="15" customHeight="1" x14ac:dyDescent="0.25">
      <c r="E1022" s="120"/>
      <c r="F1022" s="120"/>
    </row>
    <row r="1023" spans="5:6" ht="15" customHeight="1" x14ac:dyDescent="0.25">
      <c r="E1023" s="120"/>
      <c r="F1023" s="120"/>
    </row>
    <row r="1024" spans="5:6" ht="15" customHeight="1" x14ac:dyDescent="0.25">
      <c r="E1024" s="120"/>
      <c r="F1024" s="120"/>
    </row>
    <row r="1025" spans="5:6" ht="15" customHeight="1" x14ac:dyDescent="0.25">
      <c r="E1025" s="120"/>
      <c r="F1025" s="120"/>
    </row>
    <row r="1026" spans="5:6" ht="15" customHeight="1" x14ac:dyDescent="0.25">
      <c r="E1026" s="120"/>
      <c r="F1026" s="120"/>
    </row>
    <row r="1027" spans="5:6" ht="15" customHeight="1" x14ac:dyDescent="0.25">
      <c r="E1027" s="120"/>
      <c r="F1027" s="120"/>
    </row>
    <row r="1028" spans="5:6" ht="15" customHeight="1" x14ac:dyDescent="0.25">
      <c r="E1028" s="120"/>
      <c r="F1028" s="120"/>
    </row>
    <row r="1029" spans="5:6" ht="15" customHeight="1" x14ac:dyDescent="0.25">
      <c r="E1029" s="120"/>
      <c r="F1029" s="120"/>
    </row>
    <row r="1030" spans="5:6" ht="15" customHeight="1" x14ac:dyDescent="0.25">
      <c r="E1030" s="120"/>
      <c r="F1030" s="120"/>
    </row>
    <row r="1031" spans="5:6" ht="15" customHeight="1" x14ac:dyDescent="0.25">
      <c r="E1031" s="120"/>
      <c r="F1031" s="120"/>
    </row>
    <row r="1032" spans="5:6" ht="15" customHeight="1" x14ac:dyDescent="0.25">
      <c r="E1032" s="120"/>
      <c r="F1032" s="120"/>
    </row>
    <row r="1033" spans="5:6" ht="15" customHeight="1" x14ac:dyDescent="0.25">
      <c r="E1033" s="120"/>
      <c r="F1033" s="120"/>
    </row>
    <row r="1034" spans="5:6" ht="15" customHeight="1" x14ac:dyDescent="0.25">
      <c r="E1034" s="120"/>
      <c r="F1034" s="120"/>
    </row>
    <row r="1035" spans="5:6" ht="15" customHeight="1" x14ac:dyDescent="0.25">
      <c r="E1035" s="120"/>
      <c r="F1035" s="120"/>
    </row>
    <row r="1036" spans="5:6" ht="15" customHeight="1" x14ac:dyDescent="0.25">
      <c r="E1036" s="120"/>
      <c r="F1036" s="120"/>
    </row>
    <row r="1037" spans="5:6" ht="15" customHeight="1" x14ac:dyDescent="0.25">
      <c r="E1037" s="120"/>
      <c r="F1037" s="120"/>
    </row>
    <row r="1038" spans="5:6" ht="15" customHeight="1" x14ac:dyDescent="0.25">
      <c r="E1038" s="120"/>
      <c r="F1038" s="120"/>
    </row>
    <row r="1039" spans="5:6" ht="15" customHeight="1" x14ac:dyDescent="0.25">
      <c r="E1039" s="120"/>
      <c r="F1039" s="120"/>
    </row>
    <row r="1040" spans="5:6" ht="15" customHeight="1" x14ac:dyDescent="0.25">
      <c r="E1040" s="120"/>
      <c r="F1040" s="120"/>
    </row>
    <row r="1041" spans="5:6" ht="15" customHeight="1" x14ac:dyDescent="0.25">
      <c r="E1041" s="120"/>
      <c r="F1041" s="120"/>
    </row>
    <row r="1042" spans="5:6" ht="15" customHeight="1" x14ac:dyDescent="0.25">
      <c r="E1042" s="120"/>
      <c r="F1042" s="120"/>
    </row>
    <row r="1043" spans="5:6" ht="15" customHeight="1" x14ac:dyDescent="0.25">
      <c r="E1043" s="120"/>
      <c r="F1043" s="120"/>
    </row>
    <row r="1044" spans="5:6" ht="15" customHeight="1" x14ac:dyDescent="0.25">
      <c r="E1044" s="120"/>
      <c r="F1044" s="120"/>
    </row>
    <row r="1045" spans="5:6" ht="15" customHeight="1" x14ac:dyDescent="0.25">
      <c r="E1045" s="120"/>
      <c r="F1045" s="120"/>
    </row>
    <row r="1046" spans="5:6" ht="15" customHeight="1" x14ac:dyDescent="0.25">
      <c r="E1046" s="120"/>
      <c r="F1046" s="120"/>
    </row>
    <row r="1047" spans="5:6" ht="15" customHeight="1" x14ac:dyDescent="0.25">
      <c r="E1047" s="120"/>
      <c r="F1047" s="120"/>
    </row>
    <row r="1048" spans="5:6" ht="15" customHeight="1" x14ac:dyDescent="0.25">
      <c r="E1048" s="120"/>
      <c r="F1048" s="120"/>
    </row>
    <row r="1049" spans="5:6" ht="15" customHeight="1" x14ac:dyDescent="0.25">
      <c r="E1049" s="120"/>
      <c r="F1049" s="120"/>
    </row>
    <row r="1050" spans="5:6" ht="15" customHeight="1" x14ac:dyDescent="0.25">
      <c r="E1050" s="120"/>
      <c r="F1050" s="120"/>
    </row>
    <row r="1051" spans="5:6" ht="15" customHeight="1" x14ac:dyDescent="0.25">
      <c r="E1051" s="120"/>
      <c r="F1051" s="120"/>
    </row>
    <row r="1052" spans="5:6" ht="15" customHeight="1" x14ac:dyDescent="0.25">
      <c r="E1052" s="120"/>
      <c r="F1052" s="120"/>
    </row>
    <row r="1053" spans="5:6" ht="15" customHeight="1" x14ac:dyDescent="0.25">
      <c r="E1053" s="120"/>
      <c r="F1053" s="120"/>
    </row>
    <row r="1054" spans="5:6" ht="15" customHeight="1" x14ac:dyDescent="0.25">
      <c r="E1054" s="120"/>
      <c r="F1054" s="120"/>
    </row>
    <row r="1055" spans="5:6" ht="15" customHeight="1" x14ac:dyDescent="0.25">
      <c r="E1055" s="120"/>
      <c r="F1055" s="120"/>
    </row>
    <row r="1056" spans="5:6" ht="15" customHeight="1" x14ac:dyDescent="0.25">
      <c r="E1056" s="120"/>
      <c r="F1056" s="120"/>
    </row>
    <row r="1057" spans="5:6" ht="15" customHeight="1" x14ac:dyDescent="0.25">
      <c r="E1057" s="120"/>
      <c r="F1057" s="120"/>
    </row>
    <row r="1058" spans="5:6" ht="15" customHeight="1" x14ac:dyDescent="0.25">
      <c r="E1058" s="120"/>
      <c r="F1058" s="120"/>
    </row>
    <row r="1059" spans="5:6" ht="15" customHeight="1" x14ac:dyDescent="0.25">
      <c r="E1059" s="120"/>
      <c r="F1059" s="120"/>
    </row>
    <row r="1060" spans="5:6" ht="15" customHeight="1" x14ac:dyDescent="0.25">
      <c r="E1060" s="120"/>
      <c r="F1060" s="120"/>
    </row>
    <row r="1061" spans="5:6" ht="15" customHeight="1" x14ac:dyDescent="0.25">
      <c r="E1061" s="120"/>
      <c r="F1061" s="120"/>
    </row>
    <row r="1062" spans="5:6" ht="15" customHeight="1" x14ac:dyDescent="0.25">
      <c r="E1062" s="120"/>
      <c r="F1062" s="120"/>
    </row>
    <row r="1063" spans="5:6" ht="15" customHeight="1" x14ac:dyDescent="0.25">
      <c r="E1063" s="120"/>
      <c r="F1063" s="120"/>
    </row>
    <row r="1064" spans="5:6" ht="15" customHeight="1" x14ac:dyDescent="0.25">
      <c r="E1064" s="120"/>
      <c r="F1064" s="120"/>
    </row>
    <row r="1065" spans="5:6" ht="15" customHeight="1" x14ac:dyDescent="0.25">
      <c r="E1065" s="120"/>
      <c r="F1065" s="120"/>
    </row>
    <row r="1066" spans="5:6" ht="15" customHeight="1" x14ac:dyDescent="0.25">
      <c r="E1066" s="120"/>
      <c r="F1066" s="120"/>
    </row>
    <row r="1067" spans="5:6" ht="15" customHeight="1" x14ac:dyDescent="0.25">
      <c r="E1067" s="120"/>
      <c r="F1067" s="120"/>
    </row>
    <row r="1068" spans="5:6" ht="15" customHeight="1" x14ac:dyDescent="0.25">
      <c r="E1068" s="120"/>
      <c r="F1068" s="120"/>
    </row>
    <row r="1069" spans="5:6" ht="15" customHeight="1" x14ac:dyDescent="0.25">
      <c r="E1069" s="120"/>
      <c r="F1069" s="120"/>
    </row>
    <row r="1070" spans="5:6" ht="15" customHeight="1" x14ac:dyDescent="0.25">
      <c r="E1070" s="120"/>
      <c r="F1070" s="120"/>
    </row>
    <row r="1071" spans="5:6" ht="15" customHeight="1" x14ac:dyDescent="0.25">
      <c r="E1071" s="120"/>
      <c r="F1071" s="120"/>
    </row>
    <row r="1072" spans="5:6" ht="15" customHeight="1" x14ac:dyDescent="0.25">
      <c r="E1072" s="120"/>
      <c r="F1072" s="120"/>
    </row>
    <row r="1073" spans="5:6" ht="15" customHeight="1" x14ac:dyDescent="0.25">
      <c r="E1073" s="120"/>
      <c r="F1073" s="120"/>
    </row>
    <row r="1074" spans="5:6" ht="15" customHeight="1" x14ac:dyDescent="0.25">
      <c r="E1074" s="120"/>
      <c r="F1074" s="120"/>
    </row>
    <row r="1075" spans="5:6" ht="15" customHeight="1" x14ac:dyDescent="0.25">
      <c r="E1075" s="120"/>
      <c r="F1075" s="120"/>
    </row>
    <row r="1076" spans="5:6" ht="15" customHeight="1" x14ac:dyDescent="0.25">
      <c r="E1076" s="120"/>
      <c r="F1076" s="120"/>
    </row>
    <row r="1077" spans="5:6" ht="15" customHeight="1" x14ac:dyDescent="0.25">
      <c r="E1077" s="120"/>
      <c r="F1077" s="120"/>
    </row>
    <row r="1078" spans="5:6" ht="15" customHeight="1" x14ac:dyDescent="0.25">
      <c r="E1078" s="120"/>
      <c r="F1078" s="120"/>
    </row>
    <row r="1079" spans="5:6" ht="15" customHeight="1" x14ac:dyDescent="0.25">
      <c r="E1079" s="120"/>
      <c r="F1079" s="120"/>
    </row>
    <row r="1080" spans="5:6" ht="15" customHeight="1" x14ac:dyDescent="0.25">
      <c r="E1080" s="120"/>
      <c r="F1080" s="120"/>
    </row>
    <row r="1081" spans="5:6" ht="15" customHeight="1" x14ac:dyDescent="0.25">
      <c r="E1081" s="120"/>
      <c r="F1081" s="120"/>
    </row>
    <row r="1082" spans="5:6" ht="15" customHeight="1" x14ac:dyDescent="0.25">
      <c r="E1082" s="120"/>
      <c r="F1082" s="120"/>
    </row>
    <row r="1083" spans="5:6" ht="15" customHeight="1" x14ac:dyDescent="0.25">
      <c r="E1083" s="120"/>
      <c r="F1083" s="120"/>
    </row>
    <row r="1084" spans="5:6" ht="15" customHeight="1" x14ac:dyDescent="0.25">
      <c r="E1084" s="120"/>
      <c r="F1084" s="120"/>
    </row>
    <row r="1085" spans="5:6" ht="15" customHeight="1" x14ac:dyDescent="0.25">
      <c r="E1085" s="120"/>
      <c r="F1085" s="120"/>
    </row>
    <row r="1086" spans="5:6" ht="15" customHeight="1" x14ac:dyDescent="0.25">
      <c r="E1086" s="120"/>
      <c r="F1086" s="120"/>
    </row>
    <row r="1087" spans="5:6" ht="15" customHeight="1" x14ac:dyDescent="0.25">
      <c r="E1087" s="120"/>
      <c r="F1087" s="120"/>
    </row>
    <row r="1088" spans="5:6" ht="15" customHeight="1" x14ac:dyDescent="0.25">
      <c r="E1088" s="120"/>
      <c r="F1088" s="120"/>
    </row>
    <row r="1089" spans="5:6" ht="15" customHeight="1" x14ac:dyDescent="0.25">
      <c r="E1089" s="120"/>
      <c r="F1089" s="120"/>
    </row>
    <row r="1090" spans="5:6" ht="15" customHeight="1" x14ac:dyDescent="0.25">
      <c r="E1090" s="120"/>
      <c r="F1090" s="120"/>
    </row>
    <row r="1091" spans="5:6" ht="15" customHeight="1" x14ac:dyDescent="0.25">
      <c r="E1091" s="120"/>
      <c r="F1091" s="120"/>
    </row>
    <row r="1092" spans="5:6" ht="15" customHeight="1" x14ac:dyDescent="0.25">
      <c r="E1092" s="120"/>
      <c r="F1092" s="120"/>
    </row>
    <row r="1093" spans="5:6" ht="15" customHeight="1" x14ac:dyDescent="0.25">
      <c r="E1093" s="120"/>
      <c r="F1093" s="120"/>
    </row>
    <row r="1094" spans="5:6" ht="15" customHeight="1" x14ac:dyDescent="0.25">
      <c r="E1094" s="120"/>
      <c r="F1094" s="120"/>
    </row>
    <row r="1095" spans="5:6" ht="15" customHeight="1" x14ac:dyDescent="0.25">
      <c r="E1095" s="120"/>
      <c r="F1095" s="120"/>
    </row>
    <row r="1096" spans="5:6" ht="15" customHeight="1" x14ac:dyDescent="0.25">
      <c r="E1096" s="120"/>
      <c r="F1096" s="120"/>
    </row>
    <row r="1097" spans="5:6" ht="15" customHeight="1" x14ac:dyDescent="0.25">
      <c r="E1097" s="120"/>
      <c r="F1097" s="120"/>
    </row>
    <row r="1098" spans="5:6" ht="15" customHeight="1" x14ac:dyDescent="0.25">
      <c r="E1098" s="120"/>
      <c r="F1098" s="120"/>
    </row>
    <row r="1099" spans="5:6" ht="15" customHeight="1" x14ac:dyDescent="0.25">
      <c r="E1099" s="120"/>
      <c r="F1099" s="120"/>
    </row>
    <row r="1100" spans="5:6" ht="15" customHeight="1" x14ac:dyDescent="0.25">
      <c r="E1100" s="120"/>
      <c r="F1100" s="120"/>
    </row>
    <row r="1101" spans="5:6" ht="15" customHeight="1" x14ac:dyDescent="0.25">
      <c r="E1101" s="120"/>
      <c r="F1101" s="120"/>
    </row>
    <row r="1102" spans="5:6" ht="15" customHeight="1" x14ac:dyDescent="0.25">
      <c r="E1102" s="120"/>
      <c r="F1102" s="120"/>
    </row>
    <row r="1103" spans="5:6" ht="15" customHeight="1" x14ac:dyDescent="0.25">
      <c r="E1103" s="120"/>
      <c r="F1103" s="120"/>
    </row>
    <row r="1104" spans="5:6" ht="15" customHeight="1" x14ac:dyDescent="0.25">
      <c r="E1104" s="120"/>
      <c r="F1104" s="120"/>
    </row>
    <row r="1105" spans="5:6" ht="15" customHeight="1" x14ac:dyDescent="0.25">
      <c r="E1105" s="120"/>
      <c r="F1105" s="120"/>
    </row>
    <row r="1106" spans="5:6" ht="15" customHeight="1" x14ac:dyDescent="0.25">
      <c r="E1106" s="120"/>
      <c r="F1106" s="120"/>
    </row>
    <row r="1107" spans="5:6" ht="15" customHeight="1" x14ac:dyDescent="0.25">
      <c r="E1107" s="120"/>
      <c r="F1107" s="120"/>
    </row>
    <row r="1108" spans="5:6" ht="15" customHeight="1" x14ac:dyDescent="0.25">
      <c r="E1108" s="120"/>
      <c r="F1108" s="120"/>
    </row>
    <row r="1109" spans="5:6" ht="15" customHeight="1" x14ac:dyDescent="0.25">
      <c r="E1109" s="120"/>
      <c r="F1109" s="120"/>
    </row>
    <row r="1110" spans="5:6" ht="15" customHeight="1" x14ac:dyDescent="0.25">
      <c r="E1110" s="120"/>
      <c r="F1110" s="120"/>
    </row>
    <row r="1111" spans="5:6" ht="15" customHeight="1" x14ac:dyDescent="0.25">
      <c r="E1111" s="120"/>
      <c r="F1111" s="120"/>
    </row>
    <row r="1112" spans="5:6" ht="15" customHeight="1" x14ac:dyDescent="0.25">
      <c r="E1112" s="120"/>
      <c r="F1112" s="120"/>
    </row>
    <row r="1113" spans="5:6" ht="15" customHeight="1" x14ac:dyDescent="0.25">
      <c r="E1113" s="120"/>
      <c r="F1113" s="120"/>
    </row>
    <row r="1114" spans="5:6" ht="15" customHeight="1" x14ac:dyDescent="0.25">
      <c r="E1114" s="120"/>
      <c r="F1114" s="120"/>
    </row>
    <row r="1115" spans="5:6" ht="15" customHeight="1" x14ac:dyDescent="0.25">
      <c r="E1115" s="120"/>
      <c r="F1115" s="120"/>
    </row>
    <row r="1116" spans="5:6" ht="15" customHeight="1" x14ac:dyDescent="0.25">
      <c r="E1116" s="120"/>
      <c r="F1116" s="120"/>
    </row>
    <row r="1117" spans="5:6" ht="15" customHeight="1" x14ac:dyDescent="0.25">
      <c r="E1117" s="120"/>
      <c r="F1117" s="120"/>
    </row>
    <row r="1118" spans="5:6" ht="15" customHeight="1" x14ac:dyDescent="0.25">
      <c r="E1118" s="120"/>
      <c r="F1118" s="120"/>
    </row>
    <row r="1119" spans="5:6" ht="15" customHeight="1" x14ac:dyDescent="0.25">
      <c r="E1119" s="120"/>
      <c r="F1119" s="120"/>
    </row>
    <row r="1120" spans="5:6" ht="15" customHeight="1" x14ac:dyDescent="0.25">
      <c r="E1120" s="120"/>
      <c r="F1120" s="120"/>
    </row>
    <row r="1121" spans="5:6" ht="15" customHeight="1" x14ac:dyDescent="0.25">
      <c r="E1121" s="120"/>
      <c r="F1121" s="120"/>
    </row>
    <row r="1122" spans="5:6" ht="15" customHeight="1" x14ac:dyDescent="0.25">
      <c r="E1122" s="120"/>
      <c r="F1122" s="120"/>
    </row>
    <row r="1123" spans="5:6" ht="15" customHeight="1" x14ac:dyDescent="0.25">
      <c r="E1123" s="120"/>
      <c r="F1123" s="120"/>
    </row>
    <row r="1124" spans="5:6" ht="15" customHeight="1" x14ac:dyDescent="0.25">
      <c r="E1124" s="120"/>
      <c r="F1124" s="120"/>
    </row>
    <row r="1125" spans="5:6" ht="15" customHeight="1" x14ac:dyDescent="0.25">
      <c r="E1125" s="120"/>
      <c r="F1125" s="120"/>
    </row>
    <row r="1126" spans="5:6" ht="15" customHeight="1" x14ac:dyDescent="0.25">
      <c r="E1126" s="120"/>
      <c r="F1126" s="120"/>
    </row>
    <row r="1127" spans="5:6" ht="15" customHeight="1" x14ac:dyDescent="0.25">
      <c r="E1127" s="120"/>
      <c r="F1127" s="120"/>
    </row>
    <row r="1128" spans="5:6" ht="15" customHeight="1" x14ac:dyDescent="0.25">
      <c r="E1128" s="120"/>
      <c r="F1128" s="120"/>
    </row>
    <row r="1129" spans="5:6" ht="15" customHeight="1" x14ac:dyDescent="0.25">
      <c r="E1129" s="120"/>
      <c r="F1129" s="120"/>
    </row>
    <row r="1130" spans="5:6" ht="15" customHeight="1" x14ac:dyDescent="0.25">
      <c r="E1130" s="120"/>
      <c r="F1130" s="120"/>
    </row>
    <row r="1131" spans="5:6" ht="15" customHeight="1" x14ac:dyDescent="0.25">
      <c r="E1131" s="120"/>
      <c r="F1131" s="120"/>
    </row>
    <row r="1132" spans="5:6" ht="15" customHeight="1" x14ac:dyDescent="0.25">
      <c r="E1132" s="120"/>
      <c r="F1132" s="120"/>
    </row>
    <row r="1133" spans="5:6" ht="15" customHeight="1" x14ac:dyDescent="0.25">
      <c r="E1133" s="120"/>
      <c r="F1133" s="120"/>
    </row>
    <row r="1134" spans="5:6" ht="15" customHeight="1" x14ac:dyDescent="0.25">
      <c r="E1134" s="120"/>
      <c r="F1134" s="120"/>
    </row>
    <row r="1135" spans="5:6" ht="15" customHeight="1" x14ac:dyDescent="0.25">
      <c r="E1135" s="120"/>
      <c r="F1135" s="120"/>
    </row>
    <row r="1136" spans="5:6" ht="15" customHeight="1" x14ac:dyDescent="0.25">
      <c r="E1136" s="120"/>
      <c r="F1136" s="120"/>
    </row>
    <row r="1137" spans="5:6" ht="15" customHeight="1" x14ac:dyDescent="0.25">
      <c r="E1137" s="120"/>
      <c r="F1137" s="120"/>
    </row>
    <row r="1138" spans="5:6" ht="15" customHeight="1" x14ac:dyDescent="0.25">
      <c r="E1138" s="120"/>
      <c r="F1138" s="120"/>
    </row>
    <row r="1139" spans="5:6" ht="15" customHeight="1" x14ac:dyDescent="0.25">
      <c r="E1139" s="120"/>
      <c r="F1139" s="120"/>
    </row>
    <row r="1140" spans="5:6" ht="15" customHeight="1" x14ac:dyDescent="0.25">
      <c r="E1140" s="120"/>
      <c r="F1140" s="120"/>
    </row>
    <row r="1141" spans="5:6" ht="15" customHeight="1" x14ac:dyDescent="0.25">
      <c r="E1141" s="120"/>
      <c r="F1141" s="120"/>
    </row>
    <row r="1142" spans="5:6" ht="15" customHeight="1" x14ac:dyDescent="0.25">
      <c r="E1142" s="120"/>
      <c r="F1142" s="120"/>
    </row>
    <row r="1143" spans="5:6" ht="15" customHeight="1" x14ac:dyDescent="0.25">
      <c r="E1143" s="120"/>
      <c r="F1143" s="120"/>
    </row>
    <row r="1144" spans="5:6" ht="15" customHeight="1" x14ac:dyDescent="0.25">
      <c r="E1144" s="120"/>
      <c r="F1144" s="120"/>
    </row>
    <row r="1145" spans="5:6" ht="15" customHeight="1" x14ac:dyDescent="0.25">
      <c r="E1145" s="120"/>
      <c r="F1145" s="120"/>
    </row>
    <row r="1146" spans="5:6" ht="15" customHeight="1" x14ac:dyDescent="0.25">
      <c r="E1146" s="120"/>
      <c r="F1146" s="120"/>
    </row>
    <row r="1147" spans="5:6" ht="15" customHeight="1" x14ac:dyDescent="0.25">
      <c r="E1147" s="120"/>
      <c r="F1147" s="120"/>
    </row>
    <row r="1148" spans="5:6" ht="15" customHeight="1" x14ac:dyDescent="0.25">
      <c r="E1148" s="120"/>
      <c r="F1148" s="120"/>
    </row>
    <row r="1149" spans="5:6" ht="15" customHeight="1" x14ac:dyDescent="0.25">
      <c r="E1149" s="120"/>
      <c r="F1149" s="120"/>
    </row>
    <row r="1150" spans="5:6" ht="15" customHeight="1" x14ac:dyDescent="0.25">
      <c r="E1150" s="120"/>
      <c r="F1150" s="120"/>
    </row>
    <row r="1151" spans="5:6" ht="15" customHeight="1" x14ac:dyDescent="0.25">
      <c r="E1151" s="120"/>
      <c r="F1151" s="120"/>
    </row>
    <row r="1152" spans="5:6" ht="15" customHeight="1" x14ac:dyDescent="0.25">
      <c r="E1152" s="120"/>
      <c r="F1152" s="120"/>
    </row>
    <row r="1153" spans="5:6" ht="15" customHeight="1" x14ac:dyDescent="0.25">
      <c r="E1153" s="120"/>
      <c r="F1153" s="120"/>
    </row>
    <row r="1154" spans="5:6" ht="15" customHeight="1" x14ac:dyDescent="0.25">
      <c r="E1154" s="120"/>
      <c r="F1154" s="120"/>
    </row>
    <row r="1155" spans="5:6" ht="15" customHeight="1" x14ac:dyDescent="0.25">
      <c r="E1155" s="120"/>
      <c r="F1155" s="120"/>
    </row>
    <row r="1156" spans="5:6" ht="15" customHeight="1" x14ac:dyDescent="0.25">
      <c r="E1156" s="120"/>
      <c r="F1156" s="120"/>
    </row>
    <row r="1157" spans="5:6" ht="15" customHeight="1" x14ac:dyDescent="0.25">
      <c r="E1157" s="120"/>
      <c r="F1157" s="120"/>
    </row>
    <row r="1158" spans="5:6" ht="15" customHeight="1" x14ac:dyDescent="0.25">
      <c r="E1158" s="120"/>
      <c r="F1158" s="120"/>
    </row>
    <row r="1159" spans="5:6" ht="15" customHeight="1" x14ac:dyDescent="0.25">
      <c r="E1159" s="120"/>
      <c r="F1159" s="120"/>
    </row>
    <row r="1160" spans="5:6" ht="15" customHeight="1" x14ac:dyDescent="0.25">
      <c r="E1160" s="120"/>
      <c r="F1160" s="120"/>
    </row>
    <row r="1161" spans="5:6" ht="15" customHeight="1" x14ac:dyDescent="0.25">
      <c r="E1161" s="120"/>
      <c r="F1161" s="120"/>
    </row>
    <row r="1162" spans="5:6" ht="15" customHeight="1" x14ac:dyDescent="0.25">
      <c r="E1162" s="120"/>
      <c r="F1162" s="120"/>
    </row>
    <row r="1163" spans="5:6" ht="15" customHeight="1" x14ac:dyDescent="0.25">
      <c r="E1163" s="120"/>
      <c r="F1163" s="120"/>
    </row>
    <row r="1164" spans="5:6" ht="15" customHeight="1" x14ac:dyDescent="0.25">
      <c r="E1164" s="120"/>
      <c r="F1164" s="120"/>
    </row>
    <row r="1165" spans="5:6" ht="15" customHeight="1" x14ac:dyDescent="0.25">
      <c r="E1165" s="120"/>
      <c r="F1165" s="120"/>
    </row>
    <row r="1166" spans="5:6" ht="15" customHeight="1" x14ac:dyDescent="0.25">
      <c r="E1166" s="120"/>
      <c r="F1166" s="120"/>
    </row>
    <row r="1167" spans="5:6" ht="15" customHeight="1" x14ac:dyDescent="0.25">
      <c r="E1167" s="120"/>
      <c r="F1167" s="120"/>
    </row>
    <row r="1168" spans="5:6" ht="15" customHeight="1" x14ac:dyDescent="0.25">
      <c r="E1168" s="120"/>
      <c r="F1168" s="120"/>
    </row>
    <row r="1169" spans="5:6" ht="15" customHeight="1" x14ac:dyDescent="0.25">
      <c r="E1169" s="120"/>
      <c r="F1169" s="120"/>
    </row>
    <row r="1170" spans="5:6" ht="15" customHeight="1" x14ac:dyDescent="0.25">
      <c r="E1170" s="120"/>
      <c r="F1170" s="120"/>
    </row>
    <row r="1171" spans="5:6" ht="15" customHeight="1" x14ac:dyDescent="0.25">
      <c r="E1171" s="120"/>
      <c r="F1171" s="120"/>
    </row>
    <row r="1172" spans="5:6" ht="15" customHeight="1" x14ac:dyDescent="0.25">
      <c r="E1172" s="120"/>
      <c r="F1172" s="120"/>
    </row>
    <row r="1173" spans="5:6" ht="15" customHeight="1" x14ac:dyDescent="0.25">
      <c r="E1173" s="120"/>
      <c r="F1173" s="120"/>
    </row>
    <row r="1174" spans="5:6" ht="15" customHeight="1" x14ac:dyDescent="0.25">
      <c r="E1174" s="120"/>
      <c r="F1174" s="120"/>
    </row>
    <row r="1175" spans="5:6" ht="15" customHeight="1" x14ac:dyDescent="0.25">
      <c r="E1175" s="120"/>
      <c r="F1175" s="120"/>
    </row>
    <row r="1176" spans="5:6" ht="15" customHeight="1" x14ac:dyDescent="0.25">
      <c r="E1176" s="120"/>
      <c r="F1176" s="120"/>
    </row>
    <row r="1177" spans="5:6" ht="15" customHeight="1" x14ac:dyDescent="0.25">
      <c r="E1177" s="120"/>
      <c r="F1177" s="120"/>
    </row>
    <row r="1178" spans="5:6" ht="15" customHeight="1" x14ac:dyDescent="0.25">
      <c r="E1178" s="120"/>
      <c r="F1178" s="120"/>
    </row>
    <row r="1179" spans="5:6" ht="15" customHeight="1" x14ac:dyDescent="0.25">
      <c r="E1179" s="120"/>
      <c r="F1179" s="120"/>
    </row>
    <row r="1180" spans="5:6" ht="15" customHeight="1" x14ac:dyDescent="0.25">
      <c r="E1180" s="120"/>
      <c r="F1180" s="120"/>
    </row>
    <row r="1181" spans="5:6" ht="15" customHeight="1" x14ac:dyDescent="0.25">
      <c r="E1181" s="120"/>
      <c r="F1181" s="120"/>
    </row>
    <row r="1182" spans="5:6" ht="15" customHeight="1" x14ac:dyDescent="0.25">
      <c r="E1182" s="120"/>
      <c r="F1182" s="120"/>
    </row>
    <row r="1183" spans="5:6" ht="15" customHeight="1" x14ac:dyDescent="0.25">
      <c r="E1183" s="120"/>
      <c r="F1183" s="120"/>
    </row>
    <row r="1184" spans="5:6" ht="15" customHeight="1" x14ac:dyDescent="0.25">
      <c r="E1184" s="120"/>
      <c r="F1184" s="120"/>
    </row>
    <row r="1185" spans="5:6" ht="15" customHeight="1" x14ac:dyDescent="0.25">
      <c r="E1185" s="120"/>
      <c r="F1185" s="120"/>
    </row>
    <row r="1186" spans="5:6" ht="15" customHeight="1" x14ac:dyDescent="0.25">
      <c r="E1186" s="120"/>
      <c r="F1186" s="120"/>
    </row>
    <row r="1187" spans="5:6" ht="15" customHeight="1" x14ac:dyDescent="0.25">
      <c r="E1187" s="120"/>
      <c r="F1187" s="120"/>
    </row>
    <row r="1188" spans="5:6" ht="15" customHeight="1" x14ac:dyDescent="0.25">
      <c r="E1188" s="120"/>
      <c r="F1188" s="120"/>
    </row>
    <row r="1189" spans="5:6" ht="15" customHeight="1" x14ac:dyDescent="0.25">
      <c r="E1189" s="120"/>
      <c r="F1189" s="120"/>
    </row>
    <row r="1190" spans="5:6" ht="15" customHeight="1" x14ac:dyDescent="0.25">
      <c r="E1190" s="120"/>
      <c r="F1190" s="120"/>
    </row>
    <row r="1191" spans="5:6" ht="15" customHeight="1" x14ac:dyDescent="0.25">
      <c r="E1191" s="120"/>
      <c r="F1191" s="120"/>
    </row>
    <row r="1192" spans="5:6" ht="15" customHeight="1" x14ac:dyDescent="0.25">
      <c r="E1192" s="120"/>
      <c r="F1192" s="120"/>
    </row>
    <row r="1193" spans="5:6" ht="15" customHeight="1" x14ac:dyDescent="0.25">
      <c r="E1193" s="120"/>
      <c r="F1193" s="120"/>
    </row>
    <row r="1194" spans="5:6" ht="15" customHeight="1" x14ac:dyDescent="0.25">
      <c r="E1194" s="120"/>
      <c r="F1194" s="120"/>
    </row>
    <row r="1195" spans="5:6" ht="15" customHeight="1" x14ac:dyDescent="0.25">
      <c r="E1195" s="120"/>
      <c r="F1195" s="120"/>
    </row>
    <row r="1196" spans="5:6" ht="15" customHeight="1" x14ac:dyDescent="0.25">
      <c r="E1196" s="120"/>
      <c r="F1196" s="120"/>
    </row>
    <row r="1197" spans="5:6" ht="15" customHeight="1" x14ac:dyDescent="0.25">
      <c r="E1197" s="120"/>
      <c r="F1197" s="120"/>
    </row>
    <row r="1198" spans="5:6" ht="15" customHeight="1" x14ac:dyDescent="0.25">
      <c r="E1198" s="120"/>
      <c r="F1198" s="120"/>
    </row>
    <row r="1199" spans="5:6" ht="15" customHeight="1" x14ac:dyDescent="0.25">
      <c r="E1199" s="120"/>
      <c r="F1199" s="120"/>
    </row>
    <row r="1200" spans="5:6" ht="15" customHeight="1" x14ac:dyDescent="0.25">
      <c r="E1200" s="120"/>
      <c r="F1200" s="120"/>
    </row>
    <row r="1201" spans="5:6" ht="15" customHeight="1" x14ac:dyDescent="0.25">
      <c r="E1201" s="120"/>
      <c r="F1201" s="120"/>
    </row>
    <row r="1202" spans="5:6" ht="15" customHeight="1" x14ac:dyDescent="0.25">
      <c r="E1202" s="120"/>
      <c r="F1202" s="120"/>
    </row>
    <row r="1203" spans="5:6" ht="15" customHeight="1" x14ac:dyDescent="0.25">
      <c r="E1203" s="120"/>
      <c r="F1203" s="120"/>
    </row>
    <row r="1204" spans="5:6" ht="15" customHeight="1" x14ac:dyDescent="0.25">
      <c r="E1204" s="120"/>
      <c r="F1204" s="120"/>
    </row>
    <row r="1205" spans="5:6" ht="15" customHeight="1" x14ac:dyDescent="0.25">
      <c r="E1205" s="120"/>
      <c r="F1205" s="120"/>
    </row>
    <row r="1206" spans="5:6" ht="15" customHeight="1" x14ac:dyDescent="0.25">
      <c r="E1206" s="120"/>
      <c r="F1206" s="120"/>
    </row>
    <row r="1207" spans="5:6" ht="15" customHeight="1" x14ac:dyDescent="0.25">
      <c r="E1207" s="120"/>
      <c r="F1207" s="120"/>
    </row>
    <row r="1208" spans="5:6" ht="15" customHeight="1" x14ac:dyDescent="0.25">
      <c r="E1208" s="120"/>
      <c r="F1208" s="120"/>
    </row>
    <row r="1209" spans="5:6" ht="15" customHeight="1" x14ac:dyDescent="0.25">
      <c r="E1209" s="120"/>
      <c r="F1209" s="120"/>
    </row>
    <row r="1210" spans="5:6" ht="15" customHeight="1" x14ac:dyDescent="0.25">
      <c r="E1210" s="120"/>
      <c r="F1210" s="120"/>
    </row>
    <row r="1211" spans="5:6" ht="15" customHeight="1" x14ac:dyDescent="0.25">
      <c r="E1211" s="120"/>
      <c r="F1211" s="120"/>
    </row>
    <row r="1212" spans="5:6" ht="15" customHeight="1" x14ac:dyDescent="0.25">
      <c r="E1212" s="120"/>
      <c r="F1212" s="120"/>
    </row>
    <row r="1213" spans="5:6" ht="15" customHeight="1" x14ac:dyDescent="0.25">
      <c r="E1213" s="120"/>
      <c r="F1213" s="120"/>
    </row>
    <row r="1214" spans="5:6" ht="15" customHeight="1" x14ac:dyDescent="0.25">
      <c r="E1214" s="120"/>
      <c r="F1214" s="120"/>
    </row>
    <row r="1215" spans="5:6" ht="15" customHeight="1" x14ac:dyDescent="0.25">
      <c r="E1215" s="120"/>
      <c r="F1215" s="120"/>
    </row>
    <row r="1216" spans="5:6" ht="15" customHeight="1" x14ac:dyDescent="0.25">
      <c r="E1216" s="120"/>
      <c r="F1216" s="120"/>
    </row>
    <row r="1217" spans="5:6" ht="15" customHeight="1" x14ac:dyDescent="0.25">
      <c r="E1217" s="120"/>
      <c r="F1217" s="120"/>
    </row>
    <row r="1218" spans="5:6" ht="15" customHeight="1" x14ac:dyDescent="0.25">
      <c r="E1218" s="120"/>
      <c r="F1218" s="120"/>
    </row>
    <row r="1219" spans="5:6" ht="15" customHeight="1" x14ac:dyDescent="0.25">
      <c r="E1219" s="120"/>
      <c r="F1219" s="120"/>
    </row>
    <row r="1220" spans="5:6" ht="15" customHeight="1" x14ac:dyDescent="0.25">
      <c r="E1220" s="120"/>
      <c r="F1220" s="120"/>
    </row>
    <row r="1221" spans="5:6" ht="15" customHeight="1" x14ac:dyDescent="0.25">
      <c r="E1221" s="120"/>
      <c r="F1221" s="120"/>
    </row>
    <row r="1222" spans="5:6" ht="15" customHeight="1" x14ac:dyDescent="0.25">
      <c r="E1222" s="120"/>
      <c r="F1222" s="120"/>
    </row>
    <row r="1223" spans="5:6" ht="15" customHeight="1" x14ac:dyDescent="0.25">
      <c r="E1223" s="120"/>
      <c r="F1223" s="120"/>
    </row>
    <row r="1224" spans="5:6" ht="15" customHeight="1" x14ac:dyDescent="0.25">
      <c r="E1224" s="120"/>
      <c r="F1224" s="120"/>
    </row>
    <row r="1225" spans="5:6" ht="15" customHeight="1" x14ac:dyDescent="0.25">
      <c r="E1225" s="120"/>
      <c r="F1225" s="120"/>
    </row>
    <row r="1226" spans="5:6" ht="15" customHeight="1" x14ac:dyDescent="0.25">
      <c r="E1226" s="120"/>
      <c r="F1226" s="120"/>
    </row>
    <row r="1227" spans="5:6" ht="15" customHeight="1" x14ac:dyDescent="0.25">
      <c r="E1227" s="120"/>
      <c r="F1227" s="120"/>
    </row>
    <row r="1228" spans="5:6" ht="15" customHeight="1" x14ac:dyDescent="0.25">
      <c r="E1228" s="120"/>
      <c r="F1228" s="120"/>
    </row>
    <row r="1229" spans="5:6" ht="15" customHeight="1" x14ac:dyDescent="0.25">
      <c r="E1229" s="120"/>
      <c r="F1229" s="120"/>
    </row>
    <row r="1230" spans="5:6" ht="15" customHeight="1" x14ac:dyDescent="0.25">
      <c r="E1230" s="120"/>
      <c r="F1230" s="120"/>
    </row>
    <row r="1231" spans="5:6" ht="15" customHeight="1" x14ac:dyDescent="0.25">
      <c r="E1231" s="120"/>
      <c r="F1231" s="120"/>
    </row>
    <row r="1232" spans="5:6" ht="15" customHeight="1" x14ac:dyDescent="0.25">
      <c r="E1232" s="120"/>
      <c r="F1232" s="120"/>
    </row>
    <row r="1233" spans="5:6" ht="15" customHeight="1" x14ac:dyDescent="0.25">
      <c r="E1233" s="120"/>
      <c r="F1233" s="120"/>
    </row>
    <row r="1234" spans="5:6" ht="15" customHeight="1" x14ac:dyDescent="0.25">
      <c r="E1234" s="120"/>
      <c r="F1234" s="120"/>
    </row>
    <row r="1235" spans="5:6" ht="15" customHeight="1" x14ac:dyDescent="0.25">
      <c r="E1235" s="120"/>
      <c r="F1235" s="120"/>
    </row>
    <row r="1236" spans="5:6" ht="15" customHeight="1" x14ac:dyDescent="0.25">
      <c r="E1236" s="120"/>
      <c r="F1236" s="120"/>
    </row>
    <row r="1237" spans="5:6" ht="15" customHeight="1" x14ac:dyDescent="0.25">
      <c r="E1237" s="120"/>
      <c r="F1237" s="120"/>
    </row>
    <row r="1238" spans="5:6" ht="15" customHeight="1" x14ac:dyDescent="0.25">
      <c r="E1238" s="120"/>
      <c r="F1238" s="120"/>
    </row>
    <row r="1239" spans="5:6" ht="15" customHeight="1" x14ac:dyDescent="0.25">
      <c r="E1239" s="120"/>
      <c r="F1239" s="120"/>
    </row>
    <row r="1240" spans="5:6" ht="15" customHeight="1" x14ac:dyDescent="0.25">
      <c r="E1240" s="120"/>
      <c r="F1240" s="120"/>
    </row>
    <row r="1241" spans="5:6" ht="15" customHeight="1" x14ac:dyDescent="0.25">
      <c r="E1241" s="120"/>
      <c r="F1241" s="120"/>
    </row>
    <row r="1242" spans="5:6" ht="15" customHeight="1" x14ac:dyDescent="0.25">
      <c r="E1242" s="120"/>
      <c r="F1242" s="120"/>
    </row>
    <row r="1243" spans="5:6" ht="15" customHeight="1" x14ac:dyDescent="0.25">
      <c r="E1243" s="120"/>
      <c r="F1243" s="120"/>
    </row>
    <row r="1244" spans="5:6" ht="15" customHeight="1" x14ac:dyDescent="0.25">
      <c r="E1244" s="120"/>
      <c r="F1244" s="120"/>
    </row>
    <row r="1245" spans="5:6" ht="15" customHeight="1" x14ac:dyDescent="0.25">
      <c r="E1245" s="120"/>
      <c r="F1245" s="120"/>
    </row>
    <row r="1246" spans="5:6" ht="15" customHeight="1" x14ac:dyDescent="0.25">
      <c r="E1246" s="120"/>
      <c r="F1246" s="120"/>
    </row>
    <row r="1247" spans="5:6" ht="15" customHeight="1" x14ac:dyDescent="0.25">
      <c r="E1247" s="120"/>
      <c r="F1247" s="120"/>
    </row>
    <row r="1248" spans="5:6" ht="15" customHeight="1" x14ac:dyDescent="0.25">
      <c r="E1248" s="120"/>
      <c r="F1248" s="120"/>
    </row>
    <row r="1249" spans="5:6" ht="15" customHeight="1" x14ac:dyDescent="0.25">
      <c r="E1249" s="120"/>
      <c r="F1249" s="120"/>
    </row>
    <row r="1250" spans="5:6" ht="15" customHeight="1" x14ac:dyDescent="0.25">
      <c r="E1250" s="120"/>
      <c r="F1250" s="120"/>
    </row>
    <row r="1251" spans="5:6" ht="15" customHeight="1" x14ac:dyDescent="0.25">
      <c r="E1251" s="120"/>
      <c r="F1251" s="120"/>
    </row>
    <row r="1252" spans="5:6" ht="15" customHeight="1" x14ac:dyDescent="0.25">
      <c r="E1252" s="120"/>
      <c r="F1252" s="120"/>
    </row>
    <row r="1253" spans="5:6" ht="15" customHeight="1" x14ac:dyDescent="0.25">
      <c r="E1253" s="120"/>
      <c r="F1253" s="120"/>
    </row>
    <row r="1254" spans="5:6" ht="15" customHeight="1" x14ac:dyDescent="0.25">
      <c r="E1254" s="120"/>
      <c r="F1254" s="120"/>
    </row>
    <row r="1255" spans="5:6" ht="15" customHeight="1" x14ac:dyDescent="0.25">
      <c r="E1255" s="120"/>
      <c r="F1255" s="120"/>
    </row>
    <row r="1256" spans="5:6" ht="15" customHeight="1" x14ac:dyDescent="0.25">
      <c r="E1256" s="120"/>
      <c r="F1256" s="120"/>
    </row>
    <row r="1257" spans="5:6" ht="15" customHeight="1" x14ac:dyDescent="0.25">
      <c r="E1257" s="120"/>
      <c r="F1257" s="120"/>
    </row>
    <row r="1258" spans="5:6" ht="15" customHeight="1" x14ac:dyDescent="0.25">
      <c r="E1258" s="120"/>
      <c r="F1258" s="120"/>
    </row>
    <row r="1259" spans="5:6" ht="15" customHeight="1" x14ac:dyDescent="0.25">
      <c r="E1259" s="120"/>
      <c r="F1259" s="120"/>
    </row>
    <row r="1260" spans="5:6" ht="15" customHeight="1" x14ac:dyDescent="0.25">
      <c r="E1260" s="120"/>
      <c r="F1260" s="120"/>
    </row>
    <row r="1261" spans="5:6" ht="15" customHeight="1" x14ac:dyDescent="0.25">
      <c r="E1261" s="120"/>
      <c r="F1261" s="120"/>
    </row>
    <row r="1262" spans="5:6" ht="15" customHeight="1" x14ac:dyDescent="0.25">
      <c r="E1262" s="120"/>
      <c r="F1262" s="120"/>
    </row>
    <row r="1263" spans="5:6" ht="15" customHeight="1" x14ac:dyDescent="0.25">
      <c r="E1263" s="120"/>
      <c r="F1263" s="120"/>
    </row>
    <row r="1264" spans="5:6" ht="15" customHeight="1" x14ac:dyDescent="0.25">
      <c r="E1264" s="120"/>
      <c r="F1264" s="120"/>
    </row>
    <row r="1265" spans="5:6" ht="15" customHeight="1" x14ac:dyDescent="0.25">
      <c r="E1265" s="120"/>
      <c r="F1265" s="120"/>
    </row>
    <row r="1266" spans="5:6" ht="15" customHeight="1" x14ac:dyDescent="0.25">
      <c r="E1266" s="120"/>
      <c r="F1266" s="120"/>
    </row>
    <row r="1267" spans="5:6" ht="15" customHeight="1" x14ac:dyDescent="0.25">
      <c r="E1267" s="120"/>
      <c r="F1267" s="120"/>
    </row>
    <row r="1268" spans="5:6" ht="15" customHeight="1" x14ac:dyDescent="0.25">
      <c r="E1268" s="120"/>
      <c r="F1268" s="120"/>
    </row>
    <row r="1269" spans="5:6" ht="15" customHeight="1" x14ac:dyDescent="0.25">
      <c r="E1269" s="120"/>
      <c r="F1269" s="120"/>
    </row>
    <row r="1270" spans="5:6" ht="15" customHeight="1" x14ac:dyDescent="0.25">
      <c r="E1270" s="120"/>
      <c r="F1270" s="120"/>
    </row>
    <row r="1271" spans="5:6" ht="15" customHeight="1" x14ac:dyDescent="0.25">
      <c r="E1271" s="120"/>
      <c r="F1271" s="120"/>
    </row>
    <row r="1272" spans="5:6" ht="15" customHeight="1" x14ac:dyDescent="0.25">
      <c r="E1272" s="120"/>
      <c r="F1272" s="120"/>
    </row>
    <row r="1273" spans="5:6" ht="15" customHeight="1" x14ac:dyDescent="0.25">
      <c r="E1273" s="120"/>
      <c r="F1273" s="120"/>
    </row>
    <row r="1274" spans="5:6" ht="15" customHeight="1" x14ac:dyDescent="0.25">
      <c r="E1274" s="120"/>
      <c r="F1274" s="120"/>
    </row>
    <row r="1275" spans="5:6" ht="15" customHeight="1" x14ac:dyDescent="0.25">
      <c r="E1275" s="120"/>
      <c r="F1275" s="120"/>
    </row>
    <row r="1276" spans="5:6" ht="15" customHeight="1" x14ac:dyDescent="0.25">
      <c r="E1276" s="120"/>
      <c r="F1276" s="120"/>
    </row>
    <row r="1277" spans="5:6" ht="15" customHeight="1" x14ac:dyDescent="0.25">
      <c r="E1277" s="120"/>
      <c r="F1277" s="120"/>
    </row>
    <row r="1278" spans="5:6" ht="15" customHeight="1" x14ac:dyDescent="0.25">
      <c r="E1278" s="120"/>
      <c r="F1278" s="120"/>
    </row>
    <row r="1279" spans="5:6" ht="15" customHeight="1" x14ac:dyDescent="0.25">
      <c r="E1279" s="120"/>
      <c r="F1279" s="120"/>
    </row>
    <row r="1280" spans="5:6" ht="15" customHeight="1" x14ac:dyDescent="0.25">
      <c r="E1280" s="120"/>
      <c r="F1280" s="120"/>
    </row>
    <row r="1281" spans="5:6" ht="15" customHeight="1" x14ac:dyDescent="0.25">
      <c r="E1281" s="120"/>
      <c r="F1281" s="120"/>
    </row>
    <row r="1282" spans="5:6" ht="15" customHeight="1" x14ac:dyDescent="0.25">
      <c r="E1282" s="120"/>
      <c r="F1282" s="120"/>
    </row>
    <row r="1283" spans="5:6" ht="15" customHeight="1" x14ac:dyDescent="0.25">
      <c r="E1283" s="120"/>
      <c r="F1283" s="120"/>
    </row>
    <row r="1284" spans="5:6" ht="15" customHeight="1" x14ac:dyDescent="0.25">
      <c r="E1284" s="120"/>
      <c r="F1284" s="120"/>
    </row>
    <row r="1285" spans="5:6" ht="15" customHeight="1" x14ac:dyDescent="0.25">
      <c r="E1285" s="120"/>
      <c r="F1285" s="120"/>
    </row>
    <row r="1286" spans="5:6" ht="15" customHeight="1" x14ac:dyDescent="0.25">
      <c r="E1286" s="120"/>
      <c r="F1286" s="120"/>
    </row>
    <row r="1287" spans="5:6" ht="15" customHeight="1" x14ac:dyDescent="0.25">
      <c r="E1287" s="120"/>
      <c r="F1287" s="120"/>
    </row>
    <row r="1288" spans="5:6" ht="15" customHeight="1" x14ac:dyDescent="0.25">
      <c r="E1288" s="120"/>
      <c r="F1288" s="120"/>
    </row>
    <row r="1289" spans="5:6" ht="15" customHeight="1" x14ac:dyDescent="0.25">
      <c r="E1289" s="120"/>
      <c r="F1289" s="120"/>
    </row>
    <row r="1290" spans="5:6" ht="15" customHeight="1" x14ac:dyDescent="0.25">
      <c r="E1290" s="120"/>
      <c r="F1290" s="120"/>
    </row>
    <row r="1291" spans="5:6" ht="15" customHeight="1" x14ac:dyDescent="0.25">
      <c r="E1291" s="120"/>
      <c r="F1291" s="120"/>
    </row>
    <row r="1292" spans="5:6" ht="15" customHeight="1" x14ac:dyDescent="0.25">
      <c r="E1292" s="120"/>
      <c r="F1292" s="120"/>
    </row>
    <row r="1293" spans="5:6" ht="15" customHeight="1" x14ac:dyDescent="0.25">
      <c r="E1293" s="120"/>
      <c r="F1293" s="120"/>
    </row>
    <row r="1294" spans="5:6" ht="15" customHeight="1" x14ac:dyDescent="0.25">
      <c r="E1294" s="120"/>
      <c r="F1294" s="120"/>
    </row>
    <row r="1295" spans="5:6" ht="15" customHeight="1" x14ac:dyDescent="0.25">
      <c r="E1295" s="120"/>
      <c r="F1295" s="120"/>
    </row>
    <row r="1296" spans="5:6" ht="15" customHeight="1" x14ac:dyDescent="0.25">
      <c r="E1296" s="120"/>
      <c r="F1296" s="120"/>
    </row>
    <row r="1297" spans="5:6" ht="15" customHeight="1" x14ac:dyDescent="0.25">
      <c r="E1297" s="120"/>
      <c r="F1297" s="120"/>
    </row>
    <row r="1298" spans="5:6" ht="15" customHeight="1" x14ac:dyDescent="0.25">
      <c r="E1298" s="120"/>
      <c r="F1298" s="120"/>
    </row>
    <row r="1299" spans="5:6" ht="15" customHeight="1" x14ac:dyDescent="0.25">
      <c r="E1299" s="120"/>
      <c r="F1299" s="120"/>
    </row>
    <row r="1300" spans="5:6" ht="15" customHeight="1" x14ac:dyDescent="0.25">
      <c r="E1300" s="120"/>
      <c r="F1300" s="120"/>
    </row>
    <row r="1301" spans="5:6" ht="15" customHeight="1" x14ac:dyDescent="0.25">
      <c r="E1301" s="120"/>
      <c r="F1301" s="120"/>
    </row>
    <row r="1302" spans="5:6" ht="15" customHeight="1" x14ac:dyDescent="0.25">
      <c r="E1302" s="120"/>
      <c r="F1302" s="120"/>
    </row>
    <row r="1303" spans="5:6" ht="15" customHeight="1" x14ac:dyDescent="0.25">
      <c r="E1303" s="120"/>
      <c r="F1303" s="120"/>
    </row>
    <row r="1304" spans="5:6" ht="15" customHeight="1" x14ac:dyDescent="0.25">
      <c r="E1304" s="120"/>
      <c r="F1304" s="120"/>
    </row>
    <row r="1305" spans="5:6" ht="15" customHeight="1" x14ac:dyDescent="0.25">
      <c r="E1305" s="120"/>
      <c r="F1305" s="120"/>
    </row>
    <row r="1306" spans="5:6" ht="15" customHeight="1" x14ac:dyDescent="0.25">
      <c r="E1306" s="120"/>
      <c r="F1306" s="120"/>
    </row>
    <row r="1307" spans="5:6" ht="15" customHeight="1" x14ac:dyDescent="0.25">
      <c r="E1307" s="120"/>
      <c r="F1307" s="120"/>
    </row>
    <row r="1308" spans="5:6" ht="15" customHeight="1" x14ac:dyDescent="0.25">
      <c r="E1308" s="120"/>
      <c r="F1308" s="120"/>
    </row>
    <row r="1309" spans="5:6" ht="15" customHeight="1" x14ac:dyDescent="0.25">
      <c r="E1309" s="120"/>
      <c r="F1309" s="120"/>
    </row>
    <row r="1310" spans="5:6" ht="15" customHeight="1" x14ac:dyDescent="0.25">
      <c r="E1310" s="120"/>
      <c r="F1310" s="120"/>
    </row>
    <row r="1311" spans="5:6" ht="15" customHeight="1" x14ac:dyDescent="0.25">
      <c r="E1311" s="120"/>
      <c r="F1311" s="120"/>
    </row>
    <row r="1312" spans="5:6" ht="15" customHeight="1" x14ac:dyDescent="0.25">
      <c r="E1312" s="120"/>
      <c r="F1312" s="120"/>
    </row>
    <row r="1313" spans="5:6" ht="15" customHeight="1" x14ac:dyDescent="0.25">
      <c r="E1313" s="120"/>
      <c r="F1313" s="120"/>
    </row>
    <row r="1314" spans="5:6" ht="15" customHeight="1" x14ac:dyDescent="0.25">
      <c r="E1314" s="120"/>
      <c r="F1314" s="120"/>
    </row>
    <row r="1315" spans="5:6" ht="15" customHeight="1" x14ac:dyDescent="0.25">
      <c r="E1315" s="120"/>
      <c r="F1315" s="120"/>
    </row>
    <row r="1316" spans="5:6" ht="15" customHeight="1" x14ac:dyDescent="0.25">
      <c r="E1316" s="120"/>
      <c r="F1316" s="120"/>
    </row>
    <row r="1317" spans="5:6" ht="15" customHeight="1" x14ac:dyDescent="0.25">
      <c r="E1317" s="120"/>
      <c r="F1317" s="120"/>
    </row>
    <row r="1318" spans="5:6" ht="15" customHeight="1" x14ac:dyDescent="0.25">
      <c r="E1318" s="120"/>
      <c r="F1318" s="120"/>
    </row>
    <row r="1319" spans="5:6" ht="15" customHeight="1" x14ac:dyDescent="0.25">
      <c r="E1319" s="120"/>
      <c r="F1319" s="120"/>
    </row>
    <row r="1320" spans="5:6" ht="15" customHeight="1" x14ac:dyDescent="0.25">
      <c r="E1320" s="120"/>
      <c r="F1320" s="120"/>
    </row>
    <row r="1321" spans="5:6" ht="15" customHeight="1" x14ac:dyDescent="0.25">
      <c r="E1321" s="120"/>
      <c r="F1321" s="120"/>
    </row>
    <row r="1322" spans="5:6" ht="15" customHeight="1" x14ac:dyDescent="0.25">
      <c r="E1322" s="120"/>
      <c r="F1322" s="120"/>
    </row>
    <row r="1323" spans="5:6" ht="15" customHeight="1" x14ac:dyDescent="0.25">
      <c r="E1323" s="120"/>
      <c r="F1323" s="120"/>
    </row>
    <row r="1324" spans="5:6" ht="15" customHeight="1" x14ac:dyDescent="0.25">
      <c r="E1324" s="120"/>
      <c r="F1324" s="120"/>
    </row>
    <row r="1325" spans="5:6" ht="15" customHeight="1" x14ac:dyDescent="0.25">
      <c r="E1325" s="120"/>
      <c r="F1325" s="120"/>
    </row>
    <row r="1326" spans="5:6" ht="15" customHeight="1" x14ac:dyDescent="0.25">
      <c r="E1326" s="120"/>
      <c r="F1326" s="120"/>
    </row>
    <row r="1327" spans="5:6" ht="15" customHeight="1" x14ac:dyDescent="0.25">
      <c r="E1327" s="120"/>
      <c r="F1327" s="120"/>
    </row>
    <row r="1328" spans="5:6" ht="15" customHeight="1" x14ac:dyDescent="0.25">
      <c r="E1328" s="120"/>
      <c r="F1328" s="120"/>
    </row>
    <row r="1329" spans="5:6" ht="15" customHeight="1" x14ac:dyDescent="0.25">
      <c r="E1329" s="120"/>
      <c r="F1329" s="120"/>
    </row>
    <row r="1330" spans="5:6" ht="15" customHeight="1" x14ac:dyDescent="0.25">
      <c r="E1330" s="120"/>
      <c r="F1330" s="120"/>
    </row>
    <row r="1331" spans="5:6" ht="15" customHeight="1" x14ac:dyDescent="0.25">
      <c r="E1331" s="120"/>
      <c r="F1331" s="120"/>
    </row>
    <row r="1332" spans="5:6" ht="15" customHeight="1" x14ac:dyDescent="0.25">
      <c r="E1332" s="120"/>
      <c r="F1332" s="120"/>
    </row>
    <row r="1333" spans="5:6" ht="15" customHeight="1" x14ac:dyDescent="0.25">
      <c r="E1333" s="120"/>
      <c r="F1333" s="120"/>
    </row>
    <row r="1334" spans="5:6" ht="15" customHeight="1" x14ac:dyDescent="0.25">
      <c r="E1334" s="120"/>
      <c r="F1334" s="120"/>
    </row>
    <row r="1335" spans="5:6" ht="15" customHeight="1" x14ac:dyDescent="0.25">
      <c r="E1335" s="120"/>
      <c r="F1335" s="120"/>
    </row>
    <row r="1336" spans="5:6" ht="15" customHeight="1" x14ac:dyDescent="0.25">
      <c r="E1336" s="120"/>
      <c r="F1336" s="120"/>
    </row>
    <row r="1337" spans="5:6" ht="15" customHeight="1" x14ac:dyDescent="0.25">
      <c r="E1337" s="120"/>
      <c r="F1337" s="120"/>
    </row>
    <row r="1338" spans="5:6" ht="15" customHeight="1" x14ac:dyDescent="0.25">
      <c r="E1338" s="120"/>
      <c r="F1338" s="120"/>
    </row>
    <row r="1339" spans="5:6" ht="15" customHeight="1" x14ac:dyDescent="0.25">
      <c r="E1339" s="120"/>
      <c r="F1339" s="120"/>
    </row>
    <row r="1340" spans="5:6" ht="15" customHeight="1" x14ac:dyDescent="0.25">
      <c r="E1340" s="120"/>
      <c r="F1340" s="120"/>
    </row>
    <row r="1341" spans="5:6" ht="15" customHeight="1" x14ac:dyDescent="0.25">
      <c r="E1341" s="120"/>
      <c r="F1341" s="120"/>
    </row>
    <row r="1342" spans="5:6" ht="15" customHeight="1" x14ac:dyDescent="0.25">
      <c r="E1342" s="120"/>
      <c r="F1342" s="120"/>
    </row>
    <row r="1343" spans="5:6" ht="15" customHeight="1" x14ac:dyDescent="0.25">
      <c r="E1343" s="120"/>
      <c r="F1343" s="120"/>
    </row>
    <row r="1344" spans="5:6" ht="15" customHeight="1" x14ac:dyDescent="0.25">
      <c r="E1344" s="120"/>
      <c r="F1344" s="120"/>
    </row>
    <row r="1345" spans="5:6" ht="15" customHeight="1" x14ac:dyDescent="0.25">
      <c r="E1345" s="120"/>
      <c r="F1345" s="120"/>
    </row>
    <row r="1346" spans="5:6" ht="15" customHeight="1" x14ac:dyDescent="0.25">
      <c r="E1346" s="120"/>
      <c r="F1346" s="120"/>
    </row>
    <row r="1347" spans="5:6" ht="15" customHeight="1" x14ac:dyDescent="0.25">
      <c r="E1347" s="120"/>
      <c r="F1347" s="120"/>
    </row>
    <row r="1348" spans="5:6" ht="15" customHeight="1" x14ac:dyDescent="0.25">
      <c r="E1348" s="120"/>
      <c r="F1348" s="120"/>
    </row>
    <row r="1349" spans="5:6" ht="15" customHeight="1" x14ac:dyDescent="0.25">
      <c r="E1349" s="120"/>
      <c r="F1349" s="120"/>
    </row>
    <row r="1350" spans="5:6" ht="15" customHeight="1" x14ac:dyDescent="0.25">
      <c r="E1350" s="120"/>
      <c r="F1350" s="120"/>
    </row>
    <row r="1351" spans="5:6" ht="15" customHeight="1" x14ac:dyDescent="0.25">
      <c r="E1351" s="120"/>
      <c r="F1351" s="120"/>
    </row>
    <row r="1352" spans="5:6" ht="15" customHeight="1" x14ac:dyDescent="0.25">
      <c r="E1352" s="120"/>
      <c r="F1352" s="120"/>
    </row>
    <row r="1353" spans="5:6" ht="15" customHeight="1" x14ac:dyDescent="0.25">
      <c r="E1353" s="120"/>
      <c r="F1353" s="120"/>
    </row>
    <row r="1354" spans="5:6" ht="15" customHeight="1" x14ac:dyDescent="0.25">
      <c r="E1354" s="120"/>
      <c r="F1354" s="120"/>
    </row>
    <row r="1355" spans="5:6" ht="15" customHeight="1" x14ac:dyDescent="0.25">
      <c r="E1355" s="120"/>
      <c r="F1355" s="120"/>
    </row>
    <row r="1356" spans="5:6" ht="15" customHeight="1" x14ac:dyDescent="0.25">
      <c r="E1356" s="120"/>
      <c r="F1356" s="120"/>
    </row>
    <row r="1357" spans="5:6" ht="15" customHeight="1" x14ac:dyDescent="0.25">
      <c r="E1357" s="120"/>
      <c r="F1357" s="120"/>
    </row>
    <row r="1358" spans="5:6" ht="15" customHeight="1" x14ac:dyDescent="0.25">
      <c r="E1358" s="120"/>
      <c r="F1358" s="120"/>
    </row>
    <row r="1359" spans="5:6" ht="15" customHeight="1" x14ac:dyDescent="0.25">
      <c r="E1359" s="120"/>
      <c r="F1359" s="120"/>
    </row>
    <row r="1360" spans="5:6" ht="15" customHeight="1" x14ac:dyDescent="0.25">
      <c r="E1360" s="120"/>
      <c r="F1360" s="120"/>
    </row>
    <row r="1361" spans="5:6" ht="15" customHeight="1" x14ac:dyDescent="0.25">
      <c r="E1361" s="120"/>
      <c r="F1361" s="120"/>
    </row>
    <row r="1362" spans="5:6" ht="15" customHeight="1" x14ac:dyDescent="0.25">
      <c r="E1362" s="120"/>
      <c r="F1362" s="120"/>
    </row>
    <row r="1363" spans="5:6" ht="15" customHeight="1" x14ac:dyDescent="0.25">
      <c r="E1363" s="120"/>
      <c r="F1363" s="120"/>
    </row>
    <row r="1364" spans="5:6" ht="15" customHeight="1" x14ac:dyDescent="0.25">
      <c r="E1364" s="120"/>
      <c r="F1364" s="120"/>
    </row>
    <row r="1365" spans="5:6" ht="15" customHeight="1" x14ac:dyDescent="0.25">
      <c r="E1365" s="120"/>
      <c r="F1365" s="120"/>
    </row>
    <row r="1366" spans="5:6" ht="15" customHeight="1" x14ac:dyDescent="0.25">
      <c r="E1366" s="120"/>
      <c r="F1366" s="120"/>
    </row>
    <row r="1367" spans="5:6" ht="15" customHeight="1" x14ac:dyDescent="0.25">
      <c r="E1367" s="120"/>
      <c r="F1367" s="120"/>
    </row>
    <row r="1368" spans="5:6" ht="15" customHeight="1" x14ac:dyDescent="0.25">
      <c r="E1368" s="120"/>
      <c r="F1368" s="120"/>
    </row>
    <row r="1369" spans="5:6" ht="15" customHeight="1" x14ac:dyDescent="0.25">
      <c r="E1369" s="120"/>
      <c r="F1369" s="120"/>
    </row>
    <row r="1370" spans="5:6" ht="15" customHeight="1" x14ac:dyDescent="0.25">
      <c r="E1370" s="120"/>
      <c r="F1370" s="120"/>
    </row>
    <row r="1371" spans="5:6" ht="15" customHeight="1" x14ac:dyDescent="0.25">
      <c r="E1371" s="120"/>
      <c r="F1371" s="120"/>
    </row>
    <row r="1372" spans="5:6" ht="15" customHeight="1" x14ac:dyDescent="0.25">
      <c r="E1372" s="120"/>
      <c r="F1372" s="120"/>
    </row>
    <row r="1373" spans="5:6" ht="15" customHeight="1" x14ac:dyDescent="0.25">
      <c r="E1373" s="120"/>
      <c r="F1373" s="120"/>
    </row>
    <row r="1374" spans="5:6" ht="15" customHeight="1" x14ac:dyDescent="0.25">
      <c r="E1374" s="120"/>
      <c r="F1374" s="120"/>
    </row>
    <row r="1375" spans="5:6" ht="15" customHeight="1" x14ac:dyDescent="0.25">
      <c r="E1375" s="120"/>
      <c r="F1375" s="120"/>
    </row>
    <row r="1376" spans="5:6" ht="15" customHeight="1" x14ac:dyDescent="0.25">
      <c r="E1376" s="120"/>
      <c r="F1376" s="120"/>
    </row>
    <row r="1377" spans="5:6" ht="15" customHeight="1" x14ac:dyDescent="0.25">
      <c r="E1377" s="120"/>
      <c r="F1377" s="120"/>
    </row>
    <row r="1378" spans="5:6" ht="15" customHeight="1" x14ac:dyDescent="0.25">
      <c r="E1378" s="120"/>
      <c r="F1378" s="120"/>
    </row>
    <row r="1379" spans="5:6" ht="15" customHeight="1" x14ac:dyDescent="0.25">
      <c r="E1379" s="120"/>
      <c r="F1379" s="120"/>
    </row>
    <row r="1380" spans="5:6" ht="15" customHeight="1" x14ac:dyDescent="0.25">
      <c r="E1380" s="120"/>
      <c r="F1380" s="120"/>
    </row>
    <row r="1381" spans="5:6" ht="15" customHeight="1" x14ac:dyDescent="0.25">
      <c r="E1381" s="120"/>
      <c r="F1381" s="120"/>
    </row>
    <row r="1382" spans="5:6" ht="15" customHeight="1" x14ac:dyDescent="0.25">
      <c r="E1382" s="120"/>
      <c r="F1382" s="120"/>
    </row>
    <row r="1383" spans="5:6" ht="15" customHeight="1" x14ac:dyDescent="0.25">
      <c r="E1383" s="120"/>
      <c r="F1383" s="120"/>
    </row>
    <row r="1384" spans="5:6" ht="15" customHeight="1" x14ac:dyDescent="0.25">
      <c r="E1384" s="120"/>
      <c r="F1384" s="120"/>
    </row>
    <row r="1385" spans="5:6" ht="15" customHeight="1" x14ac:dyDescent="0.25">
      <c r="E1385" s="120"/>
      <c r="F1385" s="120"/>
    </row>
    <row r="1386" spans="5:6" ht="15" customHeight="1" x14ac:dyDescent="0.25">
      <c r="E1386" s="120"/>
      <c r="F1386" s="120"/>
    </row>
    <row r="1387" spans="5:6" ht="15" customHeight="1" x14ac:dyDescent="0.25">
      <c r="E1387" s="120"/>
      <c r="F1387" s="120"/>
    </row>
    <row r="1388" spans="5:6" ht="15" customHeight="1" x14ac:dyDescent="0.25">
      <c r="E1388" s="120"/>
      <c r="F1388" s="120"/>
    </row>
    <row r="1389" spans="5:6" ht="15" customHeight="1" x14ac:dyDescent="0.25">
      <c r="E1389" s="120"/>
      <c r="F1389" s="120"/>
    </row>
    <row r="1390" spans="5:6" ht="15" customHeight="1" x14ac:dyDescent="0.25">
      <c r="E1390" s="120"/>
      <c r="F1390" s="120"/>
    </row>
    <row r="1391" spans="5:6" ht="15" customHeight="1" x14ac:dyDescent="0.25">
      <c r="E1391" s="120"/>
      <c r="F1391" s="120"/>
    </row>
    <row r="1392" spans="5:6" ht="15" customHeight="1" x14ac:dyDescent="0.25">
      <c r="E1392" s="120"/>
      <c r="F1392" s="120"/>
    </row>
    <row r="1393" spans="5:6" ht="15" customHeight="1" x14ac:dyDescent="0.25">
      <c r="E1393" s="120"/>
      <c r="F1393" s="120"/>
    </row>
    <row r="1394" spans="5:6" ht="15" customHeight="1" x14ac:dyDescent="0.25">
      <c r="E1394" s="120"/>
      <c r="F1394" s="120"/>
    </row>
    <row r="1395" spans="5:6" ht="15" customHeight="1" x14ac:dyDescent="0.25">
      <c r="E1395" s="120"/>
      <c r="F1395" s="120"/>
    </row>
    <row r="1396" spans="5:6" ht="15" customHeight="1" x14ac:dyDescent="0.25">
      <c r="E1396" s="120"/>
      <c r="F1396" s="120"/>
    </row>
    <row r="1397" spans="5:6" ht="15" customHeight="1" x14ac:dyDescent="0.25">
      <c r="E1397" s="120"/>
      <c r="F1397" s="120"/>
    </row>
    <row r="1398" spans="5:6" ht="15" customHeight="1" x14ac:dyDescent="0.25">
      <c r="E1398" s="120"/>
      <c r="F1398" s="120"/>
    </row>
    <row r="1399" spans="5:6" ht="15" customHeight="1" x14ac:dyDescent="0.25">
      <c r="E1399" s="120"/>
      <c r="F1399" s="120"/>
    </row>
    <row r="1400" spans="5:6" ht="15" customHeight="1" x14ac:dyDescent="0.25">
      <c r="E1400" s="120"/>
      <c r="F1400" s="120"/>
    </row>
    <row r="1401" spans="5:6" ht="15" customHeight="1" x14ac:dyDescent="0.25">
      <c r="E1401" s="120"/>
      <c r="F1401" s="120"/>
    </row>
    <row r="1402" spans="5:6" ht="15" customHeight="1" x14ac:dyDescent="0.25">
      <c r="E1402" s="120"/>
      <c r="F1402" s="120"/>
    </row>
    <row r="1403" spans="5:6" ht="15" customHeight="1" x14ac:dyDescent="0.25">
      <c r="E1403" s="120"/>
      <c r="F1403" s="120"/>
    </row>
    <row r="1404" spans="5:6" ht="15" customHeight="1" x14ac:dyDescent="0.25">
      <c r="E1404" s="120"/>
      <c r="F1404" s="120"/>
    </row>
    <row r="1405" spans="5:6" ht="15" customHeight="1" x14ac:dyDescent="0.25">
      <c r="E1405" s="120"/>
      <c r="F1405" s="120"/>
    </row>
    <row r="1406" spans="5:6" ht="15" customHeight="1" x14ac:dyDescent="0.25">
      <c r="E1406" s="120"/>
      <c r="F1406" s="120"/>
    </row>
    <row r="1407" spans="5:6" ht="15" customHeight="1" x14ac:dyDescent="0.25">
      <c r="E1407" s="120"/>
      <c r="F1407" s="120"/>
    </row>
    <row r="1408" spans="5:6" ht="15" customHeight="1" x14ac:dyDescent="0.25">
      <c r="E1408" s="120"/>
      <c r="F1408" s="120"/>
    </row>
    <row r="1409" spans="5:6" ht="15" customHeight="1" x14ac:dyDescent="0.25">
      <c r="E1409" s="120"/>
      <c r="F1409" s="120"/>
    </row>
    <row r="1410" spans="5:6" ht="15" customHeight="1" x14ac:dyDescent="0.25">
      <c r="E1410" s="120"/>
      <c r="F1410" s="120"/>
    </row>
    <row r="1411" spans="5:6" ht="15" customHeight="1" x14ac:dyDescent="0.25">
      <c r="E1411" s="120"/>
      <c r="F1411" s="120"/>
    </row>
    <row r="1412" spans="5:6" ht="15" customHeight="1" x14ac:dyDescent="0.25">
      <c r="E1412" s="120"/>
      <c r="F1412" s="120"/>
    </row>
    <row r="1413" spans="5:6" ht="15" customHeight="1" x14ac:dyDescent="0.25">
      <c r="E1413" s="120"/>
      <c r="F1413" s="120"/>
    </row>
    <row r="1414" spans="5:6" ht="15" customHeight="1" x14ac:dyDescent="0.25">
      <c r="E1414" s="120"/>
      <c r="F1414" s="120"/>
    </row>
    <row r="1415" spans="5:6" ht="15" customHeight="1" x14ac:dyDescent="0.25">
      <c r="E1415" s="120"/>
      <c r="F1415" s="120"/>
    </row>
    <row r="1416" spans="5:6" ht="15" customHeight="1" x14ac:dyDescent="0.25">
      <c r="E1416" s="120"/>
      <c r="F1416" s="120"/>
    </row>
    <row r="1417" spans="5:6" ht="15" customHeight="1" x14ac:dyDescent="0.25">
      <c r="E1417" s="120"/>
      <c r="F1417" s="120"/>
    </row>
    <row r="1418" spans="5:6" ht="15" customHeight="1" x14ac:dyDescent="0.25">
      <c r="E1418" s="120"/>
      <c r="F1418" s="120"/>
    </row>
    <row r="1419" spans="5:6" ht="15" customHeight="1" x14ac:dyDescent="0.25">
      <c r="E1419" s="120"/>
      <c r="F1419" s="120"/>
    </row>
    <row r="1420" spans="5:6" ht="15" customHeight="1" x14ac:dyDescent="0.25">
      <c r="E1420" s="120"/>
      <c r="F1420" s="120"/>
    </row>
    <row r="1421" spans="5:6" ht="15" customHeight="1" x14ac:dyDescent="0.25">
      <c r="E1421" s="120"/>
      <c r="F1421" s="120"/>
    </row>
    <row r="1422" spans="5:6" ht="15" customHeight="1" x14ac:dyDescent="0.25">
      <c r="E1422" s="120"/>
      <c r="F1422" s="120"/>
    </row>
    <row r="1423" spans="5:6" ht="15" customHeight="1" x14ac:dyDescent="0.25">
      <c r="E1423" s="120"/>
      <c r="F1423" s="120"/>
    </row>
    <row r="1424" spans="5:6" ht="15" customHeight="1" x14ac:dyDescent="0.25">
      <c r="E1424" s="120"/>
      <c r="F1424" s="120"/>
    </row>
    <row r="1425" spans="5:6" ht="15" customHeight="1" x14ac:dyDescent="0.25">
      <c r="E1425" s="120"/>
      <c r="F1425" s="120"/>
    </row>
    <row r="1426" spans="5:6" ht="15" customHeight="1" x14ac:dyDescent="0.25">
      <c r="E1426" s="120"/>
      <c r="F1426" s="120"/>
    </row>
    <row r="1427" spans="5:6" ht="15" customHeight="1" x14ac:dyDescent="0.25">
      <c r="E1427" s="120"/>
      <c r="F1427" s="120"/>
    </row>
    <row r="1428" spans="5:6" ht="15" customHeight="1" x14ac:dyDescent="0.25">
      <c r="E1428" s="120"/>
      <c r="F1428" s="120"/>
    </row>
    <row r="1429" spans="5:6" ht="15" customHeight="1" x14ac:dyDescent="0.25">
      <c r="E1429" s="120"/>
      <c r="F1429" s="120"/>
    </row>
    <row r="1430" spans="5:6" ht="15" customHeight="1" x14ac:dyDescent="0.25">
      <c r="E1430" s="120"/>
      <c r="F1430" s="120"/>
    </row>
    <row r="1431" spans="5:6" ht="15" customHeight="1" x14ac:dyDescent="0.25">
      <c r="E1431" s="120"/>
      <c r="F1431" s="120"/>
    </row>
    <row r="1432" spans="5:6" ht="15" customHeight="1" x14ac:dyDescent="0.25">
      <c r="E1432" s="120"/>
      <c r="F1432" s="120"/>
    </row>
    <row r="1433" spans="5:6" ht="15" customHeight="1" x14ac:dyDescent="0.25">
      <c r="E1433" s="120"/>
      <c r="F1433" s="120"/>
    </row>
    <row r="1434" spans="5:6" ht="15" customHeight="1" x14ac:dyDescent="0.25">
      <c r="E1434" s="120"/>
      <c r="F1434" s="120"/>
    </row>
    <row r="1435" spans="5:6" ht="15" customHeight="1" x14ac:dyDescent="0.25">
      <c r="E1435" s="120"/>
      <c r="F1435" s="120"/>
    </row>
    <row r="1436" spans="5:6" ht="15" customHeight="1" x14ac:dyDescent="0.25">
      <c r="E1436" s="120"/>
      <c r="F1436" s="120"/>
    </row>
    <row r="1437" spans="5:6" ht="15" customHeight="1" x14ac:dyDescent="0.25">
      <c r="E1437" s="120"/>
      <c r="F1437" s="120"/>
    </row>
    <row r="1438" spans="5:6" ht="15" customHeight="1" x14ac:dyDescent="0.25">
      <c r="E1438" s="120"/>
      <c r="F1438" s="120"/>
    </row>
    <row r="1439" spans="5:6" ht="15" customHeight="1" x14ac:dyDescent="0.25">
      <c r="E1439" s="120"/>
      <c r="F1439" s="120"/>
    </row>
    <row r="1440" spans="5:6" ht="15" customHeight="1" x14ac:dyDescent="0.25">
      <c r="E1440" s="120"/>
      <c r="F1440" s="120"/>
    </row>
    <row r="1441" spans="5:6" ht="15" customHeight="1" x14ac:dyDescent="0.25">
      <c r="E1441" s="120"/>
      <c r="F1441" s="120"/>
    </row>
    <row r="1442" spans="5:6" ht="15" customHeight="1" x14ac:dyDescent="0.25">
      <c r="E1442" s="120"/>
      <c r="F1442" s="120"/>
    </row>
    <row r="1443" spans="5:6" ht="15" customHeight="1" x14ac:dyDescent="0.25">
      <c r="E1443" s="120"/>
      <c r="F1443" s="120"/>
    </row>
    <row r="1444" spans="5:6" ht="15" customHeight="1" x14ac:dyDescent="0.25">
      <c r="E1444" s="120"/>
      <c r="F1444" s="120"/>
    </row>
    <row r="1445" spans="5:6" ht="15" customHeight="1" x14ac:dyDescent="0.25">
      <c r="E1445" s="120"/>
      <c r="F1445" s="120"/>
    </row>
    <row r="1446" spans="5:6" ht="15" customHeight="1" x14ac:dyDescent="0.25">
      <c r="E1446" s="120"/>
      <c r="F1446" s="120"/>
    </row>
    <row r="1447" spans="5:6" ht="15" customHeight="1" x14ac:dyDescent="0.25">
      <c r="E1447" s="120"/>
      <c r="F1447" s="120"/>
    </row>
    <row r="1448" spans="5:6" ht="15" customHeight="1" x14ac:dyDescent="0.25">
      <c r="E1448" s="120"/>
      <c r="F1448" s="120"/>
    </row>
    <row r="1449" spans="5:6" ht="15" customHeight="1" x14ac:dyDescent="0.25">
      <c r="E1449" s="120"/>
      <c r="F1449" s="120"/>
    </row>
    <row r="1450" spans="5:6" ht="15" customHeight="1" x14ac:dyDescent="0.25">
      <c r="E1450" s="120"/>
      <c r="F1450" s="120"/>
    </row>
    <row r="1451" spans="5:6" ht="15" customHeight="1" x14ac:dyDescent="0.25">
      <c r="E1451" s="120"/>
      <c r="F1451" s="120"/>
    </row>
    <row r="1452" spans="5:6" ht="15" customHeight="1" x14ac:dyDescent="0.25">
      <c r="E1452" s="120"/>
      <c r="F1452" s="120"/>
    </row>
    <row r="1453" spans="5:6" ht="15" customHeight="1" x14ac:dyDescent="0.25">
      <c r="E1453" s="120"/>
      <c r="F1453" s="120"/>
    </row>
    <row r="1454" spans="5:6" ht="15" customHeight="1" x14ac:dyDescent="0.25">
      <c r="E1454" s="120"/>
      <c r="F1454" s="120"/>
    </row>
    <row r="1455" spans="5:6" ht="15" customHeight="1" x14ac:dyDescent="0.25">
      <c r="E1455" s="120"/>
      <c r="F1455" s="120"/>
    </row>
    <row r="1456" spans="5:6" ht="15" customHeight="1" x14ac:dyDescent="0.25">
      <c r="E1456" s="120"/>
      <c r="F1456" s="120"/>
    </row>
    <row r="1457" spans="5:6" ht="15" customHeight="1" x14ac:dyDescent="0.25">
      <c r="E1457" s="120"/>
      <c r="F1457" s="120"/>
    </row>
    <row r="1458" spans="5:6" ht="15" customHeight="1" x14ac:dyDescent="0.25">
      <c r="E1458" s="120"/>
      <c r="F1458" s="120"/>
    </row>
    <row r="1459" spans="5:6" ht="15" customHeight="1" x14ac:dyDescent="0.25">
      <c r="E1459" s="120"/>
      <c r="F1459" s="120"/>
    </row>
    <row r="1460" spans="5:6" ht="15" customHeight="1" x14ac:dyDescent="0.25">
      <c r="E1460" s="120"/>
      <c r="F1460" s="120"/>
    </row>
    <row r="1461" spans="5:6" ht="15" customHeight="1" x14ac:dyDescent="0.25">
      <c r="E1461" s="120"/>
      <c r="F1461" s="120"/>
    </row>
    <row r="1462" spans="5:6" ht="15" customHeight="1" x14ac:dyDescent="0.25">
      <c r="E1462" s="120"/>
      <c r="F1462" s="120"/>
    </row>
    <row r="1463" spans="5:6" ht="15" customHeight="1" x14ac:dyDescent="0.25">
      <c r="E1463" s="120"/>
      <c r="F1463" s="120"/>
    </row>
    <row r="1464" spans="5:6" ht="15" customHeight="1" x14ac:dyDescent="0.25">
      <c r="E1464" s="120"/>
      <c r="F1464" s="120"/>
    </row>
    <row r="1465" spans="5:6" ht="15" customHeight="1" x14ac:dyDescent="0.25">
      <c r="E1465" s="120"/>
      <c r="F1465" s="120"/>
    </row>
    <row r="1466" spans="5:6" ht="15" customHeight="1" x14ac:dyDescent="0.25">
      <c r="E1466" s="120"/>
      <c r="F1466" s="120"/>
    </row>
    <row r="1467" spans="5:6" ht="15" customHeight="1" x14ac:dyDescent="0.25">
      <c r="E1467" s="120"/>
      <c r="F1467" s="120"/>
    </row>
    <row r="1468" spans="5:6" ht="15" customHeight="1" x14ac:dyDescent="0.25">
      <c r="E1468" s="120"/>
      <c r="F1468" s="120"/>
    </row>
    <row r="1469" spans="5:6" ht="15" customHeight="1" x14ac:dyDescent="0.25">
      <c r="E1469" s="120"/>
      <c r="F1469" s="120"/>
    </row>
    <row r="1470" spans="5:6" ht="15" customHeight="1" x14ac:dyDescent="0.25">
      <c r="E1470" s="120"/>
      <c r="F1470" s="120"/>
    </row>
    <row r="1471" spans="5:6" ht="15" customHeight="1" x14ac:dyDescent="0.25">
      <c r="E1471" s="120"/>
      <c r="F1471" s="120"/>
    </row>
    <row r="1472" spans="5:6" ht="15" customHeight="1" x14ac:dyDescent="0.25">
      <c r="E1472" s="120"/>
      <c r="F1472" s="120"/>
    </row>
    <row r="1473" spans="5:6" ht="15" customHeight="1" x14ac:dyDescent="0.25">
      <c r="E1473" s="120"/>
      <c r="F1473" s="120"/>
    </row>
    <row r="1474" spans="5:6" ht="15" customHeight="1" x14ac:dyDescent="0.25">
      <c r="E1474" s="120"/>
      <c r="F1474" s="120"/>
    </row>
    <row r="1475" spans="5:6" ht="15" customHeight="1" x14ac:dyDescent="0.25">
      <c r="E1475" s="120"/>
      <c r="F1475" s="120"/>
    </row>
    <row r="1476" spans="5:6" ht="15" customHeight="1" x14ac:dyDescent="0.25">
      <c r="E1476" s="120"/>
      <c r="F1476" s="120"/>
    </row>
    <row r="1477" spans="5:6" ht="15" customHeight="1" x14ac:dyDescent="0.25">
      <c r="E1477" s="120"/>
      <c r="F1477" s="120"/>
    </row>
    <row r="1478" spans="5:6" ht="15" customHeight="1" x14ac:dyDescent="0.25">
      <c r="E1478" s="120"/>
      <c r="F1478" s="120"/>
    </row>
    <row r="1479" spans="5:6" ht="15" customHeight="1" x14ac:dyDescent="0.25">
      <c r="E1479" s="120"/>
      <c r="F1479" s="120"/>
    </row>
    <row r="1480" spans="5:6" ht="15" customHeight="1" x14ac:dyDescent="0.25">
      <c r="E1480" s="120"/>
      <c r="F1480" s="120"/>
    </row>
    <row r="1481" spans="5:6" ht="15" customHeight="1" x14ac:dyDescent="0.25">
      <c r="E1481" s="120"/>
      <c r="F1481" s="120"/>
    </row>
    <row r="1482" spans="5:6" ht="15" customHeight="1" x14ac:dyDescent="0.25">
      <c r="E1482" s="120"/>
      <c r="F1482" s="120"/>
    </row>
    <row r="1483" spans="5:6" ht="15" customHeight="1" x14ac:dyDescent="0.25">
      <c r="E1483" s="120"/>
      <c r="F1483" s="120"/>
    </row>
    <row r="1484" spans="5:6" ht="15" customHeight="1" x14ac:dyDescent="0.25">
      <c r="E1484" s="120"/>
      <c r="F1484" s="120"/>
    </row>
    <row r="1485" spans="5:6" ht="15" customHeight="1" x14ac:dyDescent="0.25">
      <c r="E1485" s="120"/>
      <c r="F1485" s="120"/>
    </row>
    <row r="1486" spans="5:6" ht="15" customHeight="1" x14ac:dyDescent="0.25">
      <c r="E1486" s="120"/>
      <c r="F1486" s="120"/>
    </row>
    <row r="1487" spans="5:6" ht="15" customHeight="1" x14ac:dyDescent="0.25">
      <c r="E1487" s="120"/>
      <c r="F1487" s="120"/>
    </row>
    <row r="1488" spans="5:6" ht="15" customHeight="1" x14ac:dyDescent="0.25">
      <c r="E1488" s="120"/>
      <c r="F1488" s="120"/>
    </row>
    <row r="1489" spans="5:6" ht="15" customHeight="1" x14ac:dyDescent="0.25">
      <c r="E1489" s="120"/>
      <c r="F1489" s="120"/>
    </row>
    <row r="1490" spans="5:6" ht="15" customHeight="1" x14ac:dyDescent="0.25">
      <c r="E1490" s="120"/>
      <c r="F1490" s="120"/>
    </row>
    <row r="1491" spans="5:6" ht="15" customHeight="1" x14ac:dyDescent="0.25">
      <c r="E1491" s="120"/>
      <c r="F1491" s="120"/>
    </row>
    <row r="1492" spans="5:6" ht="15" customHeight="1" x14ac:dyDescent="0.25">
      <c r="E1492" s="120"/>
      <c r="F1492" s="120"/>
    </row>
    <row r="1493" spans="5:6" ht="15" customHeight="1" x14ac:dyDescent="0.25">
      <c r="E1493" s="120"/>
      <c r="F1493" s="120"/>
    </row>
    <row r="1494" spans="5:6" ht="15" customHeight="1" x14ac:dyDescent="0.25">
      <c r="E1494" s="120"/>
      <c r="F1494" s="120"/>
    </row>
    <row r="1495" spans="5:6" ht="15" customHeight="1" x14ac:dyDescent="0.25">
      <c r="E1495" s="120"/>
      <c r="F1495" s="120"/>
    </row>
    <row r="1496" spans="5:6" ht="15" customHeight="1" x14ac:dyDescent="0.25">
      <c r="E1496" s="120"/>
      <c r="F1496" s="120"/>
    </row>
    <row r="1497" spans="5:6" ht="15" customHeight="1" x14ac:dyDescent="0.25">
      <c r="E1497" s="120"/>
      <c r="F1497" s="120"/>
    </row>
    <row r="1498" spans="5:6" ht="15" customHeight="1" x14ac:dyDescent="0.25">
      <c r="E1498" s="120"/>
      <c r="F1498" s="120"/>
    </row>
    <row r="1499" spans="5:6" ht="15" customHeight="1" x14ac:dyDescent="0.25">
      <c r="E1499" s="120"/>
      <c r="F1499" s="120"/>
    </row>
    <row r="1500" spans="5:6" ht="15" customHeight="1" x14ac:dyDescent="0.25">
      <c r="E1500" s="120"/>
      <c r="F1500" s="120"/>
    </row>
    <row r="1501" spans="5:6" ht="15" customHeight="1" x14ac:dyDescent="0.25">
      <c r="E1501" s="120"/>
      <c r="F1501" s="120"/>
    </row>
    <row r="1502" spans="5:6" ht="15" customHeight="1" x14ac:dyDescent="0.25">
      <c r="E1502" s="120"/>
      <c r="F1502" s="120"/>
    </row>
    <row r="1503" spans="5:6" ht="15" customHeight="1" x14ac:dyDescent="0.25">
      <c r="E1503" s="120"/>
      <c r="F1503" s="120"/>
    </row>
    <row r="1504" spans="5:6" ht="15" customHeight="1" x14ac:dyDescent="0.25">
      <c r="E1504" s="120"/>
      <c r="F1504" s="120"/>
    </row>
    <row r="1505" spans="5:6" ht="15" customHeight="1" x14ac:dyDescent="0.25">
      <c r="E1505" s="120"/>
      <c r="F1505" s="120"/>
    </row>
    <row r="1506" spans="5:6" ht="15" customHeight="1" x14ac:dyDescent="0.25">
      <c r="E1506" s="120"/>
      <c r="F1506" s="120"/>
    </row>
    <row r="1507" spans="5:6" ht="15" customHeight="1" x14ac:dyDescent="0.25">
      <c r="E1507" s="120"/>
      <c r="F1507" s="120"/>
    </row>
    <row r="1508" spans="5:6" ht="15" customHeight="1" x14ac:dyDescent="0.25">
      <c r="E1508" s="120"/>
      <c r="F1508" s="120"/>
    </row>
    <row r="1509" spans="5:6" ht="15" customHeight="1" x14ac:dyDescent="0.25">
      <c r="E1509" s="120"/>
      <c r="F1509" s="120"/>
    </row>
    <row r="1510" spans="5:6" ht="15" customHeight="1" x14ac:dyDescent="0.25">
      <c r="E1510" s="120"/>
      <c r="F1510" s="120"/>
    </row>
    <row r="1511" spans="5:6" ht="15" customHeight="1" x14ac:dyDescent="0.25">
      <c r="E1511" s="120"/>
      <c r="F1511" s="120"/>
    </row>
    <row r="1512" spans="5:6" ht="15" customHeight="1" x14ac:dyDescent="0.25">
      <c r="E1512" s="120"/>
      <c r="F1512" s="120"/>
    </row>
    <row r="1513" spans="5:6" ht="15" customHeight="1" x14ac:dyDescent="0.25">
      <c r="E1513" s="120"/>
      <c r="F1513" s="120"/>
    </row>
    <row r="1514" spans="5:6" ht="15" customHeight="1" x14ac:dyDescent="0.25">
      <c r="E1514" s="120"/>
      <c r="F1514" s="120"/>
    </row>
    <row r="1515" spans="5:6" ht="15" customHeight="1" x14ac:dyDescent="0.25">
      <c r="E1515" s="120"/>
      <c r="F1515" s="120"/>
    </row>
    <row r="1516" spans="5:6" ht="15" customHeight="1" x14ac:dyDescent="0.25">
      <c r="E1516" s="120"/>
      <c r="F1516" s="120"/>
    </row>
    <row r="1517" spans="5:6" ht="15" customHeight="1" x14ac:dyDescent="0.25">
      <c r="E1517" s="120"/>
      <c r="F1517" s="120"/>
    </row>
    <row r="1518" spans="5:6" ht="15" customHeight="1" x14ac:dyDescent="0.25">
      <c r="E1518" s="120"/>
      <c r="F1518" s="120"/>
    </row>
    <row r="1519" spans="5:6" ht="15" customHeight="1" x14ac:dyDescent="0.25">
      <c r="E1519" s="120"/>
      <c r="F1519" s="120"/>
    </row>
    <row r="1520" spans="5:6" ht="15" customHeight="1" x14ac:dyDescent="0.25">
      <c r="E1520" s="120"/>
      <c r="F1520" s="120"/>
    </row>
    <row r="1521" spans="5:6" ht="15" customHeight="1" x14ac:dyDescent="0.25">
      <c r="E1521" s="120"/>
      <c r="F1521" s="120"/>
    </row>
    <row r="1522" spans="5:6" ht="15" customHeight="1" x14ac:dyDescent="0.25">
      <c r="E1522" s="120"/>
      <c r="F1522" s="120"/>
    </row>
    <row r="1523" spans="5:6" ht="15" customHeight="1" x14ac:dyDescent="0.25">
      <c r="E1523" s="120"/>
      <c r="F1523" s="120"/>
    </row>
    <row r="1524" spans="5:6" ht="15" customHeight="1" x14ac:dyDescent="0.25">
      <c r="E1524" s="120"/>
      <c r="F1524" s="120"/>
    </row>
    <row r="1525" spans="5:6" ht="15" customHeight="1" x14ac:dyDescent="0.25">
      <c r="E1525" s="120"/>
      <c r="F1525" s="120"/>
    </row>
    <row r="1526" spans="5:6" ht="15" customHeight="1" x14ac:dyDescent="0.25">
      <c r="E1526" s="120"/>
      <c r="F1526" s="120"/>
    </row>
    <row r="1527" spans="5:6" ht="15" customHeight="1" x14ac:dyDescent="0.25">
      <c r="E1527" s="120"/>
      <c r="F1527" s="120"/>
    </row>
    <row r="1528" spans="5:6" ht="15" customHeight="1" x14ac:dyDescent="0.25">
      <c r="E1528" s="120"/>
      <c r="F1528" s="120"/>
    </row>
    <row r="1529" spans="5:6" ht="15" customHeight="1" x14ac:dyDescent="0.25">
      <c r="E1529" s="120"/>
      <c r="F1529" s="120"/>
    </row>
    <row r="1530" spans="5:6" ht="15" customHeight="1" x14ac:dyDescent="0.25">
      <c r="E1530" s="120"/>
      <c r="F1530" s="120"/>
    </row>
    <row r="1531" spans="5:6" ht="15" customHeight="1" x14ac:dyDescent="0.25">
      <c r="E1531" s="120"/>
      <c r="F1531" s="120"/>
    </row>
    <row r="1532" spans="5:6" ht="15" customHeight="1" x14ac:dyDescent="0.25">
      <c r="E1532" s="120"/>
      <c r="F1532" s="120"/>
    </row>
    <row r="1533" spans="5:6" ht="15" customHeight="1" x14ac:dyDescent="0.25">
      <c r="E1533" s="120"/>
      <c r="F1533" s="120"/>
    </row>
    <row r="1534" spans="5:6" ht="15" customHeight="1" x14ac:dyDescent="0.25">
      <c r="E1534" s="120"/>
      <c r="F1534" s="120"/>
    </row>
    <row r="1535" spans="5:6" ht="15" customHeight="1" x14ac:dyDescent="0.25">
      <c r="E1535" s="120"/>
      <c r="F1535" s="120"/>
    </row>
    <row r="1536" spans="5:6" ht="15" customHeight="1" x14ac:dyDescent="0.25">
      <c r="E1536" s="120"/>
      <c r="F1536" s="120"/>
    </row>
    <row r="1537" spans="5:6" ht="15" customHeight="1" x14ac:dyDescent="0.25">
      <c r="E1537" s="120"/>
      <c r="F1537" s="120"/>
    </row>
    <row r="1538" spans="5:6" ht="15" customHeight="1" x14ac:dyDescent="0.25">
      <c r="E1538" s="120"/>
      <c r="F1538" s="120"/>
    </row>
    <row r="1539" spans="5:6" ht="15" customHeight="1" x14ac:dyDescent="0.25">
      <c r="E1539" s="120"/>
      <c r="F1539" s="120"/>
    </row>
    <row r="1540" spans="5:6" ht="15" customHeight="1" x14ac:dyDescent="0.25">
      <c r="E1540" s="120"/>
      <c r="F1540" s="120"/>
    </row>
    <row r="1541" spans="5:6" ht="15" customHeight="1" x14ac:dyDescent="0.25">
      <c r="E1541" s="120"/>
      <c r="F1541" s="120"/>
    </row>
    <row r="1542" spans="5:6" ht="15" customHeight="1" x14ac:dyDescent="0.25">
      <c r="E1542" s="120"/>
      <c r="F1542" s="120"/>
    </row>
    <row r="1543" spans="5:6" ht="15" customHeight="1" x14ac:dyDescent="0.25">
      <c r="E1543" s="120"/>
      <c r="F1543" s="120"/>
    </row>
    <row r="1544" spans="5:6" ht="15" customHeight="1" x14ac:dyDescent="0.25">
      <c r="E1544" s="120"/>
      <c r="F1544" s="120"/>
    </row>
    <row r="1545" spans="5:6" ht="15" customHeight="1" x14ac:dyDescent="0.25">
      <c r="E1545" s="120"/>
      <c r="F1545" s="120"/>
    </row>
    <row r="1546" spans="5:6" ht="15" customHeight="1" x14ac:dyDescent="0.25">
      <c r="E1546" s="120"/>
      <c r="F1546" s="120"/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workbookViewId="0">
      <selection activeCell="D3" sqref="D3"/>
    </sheetView>
  </sheetViews>
  <sheetFormatPr defaultRowHeight="12.75" x14ac:dyDescent="0.2"/>
  <cols>
    <col min="2" max="2" width="32.85546875" style="144" customWidth="1"/>
    <col min="3" max="3" width="73.140625" style="144" customWidth="1"/>
  </cols>
  <sheetData>
    <row r="1" spans="1:13" x14ac:dyDescent="0.2">
      <c r="A1" s="155" t="s">
        <v>994</v>
      </c>
      <c r="B1" s="155" t="s">
        <v>995</v>
      </c>
      <c r="C1" s="155" t="s">
        <v>4</v>
      </c>
      <c r="D1" s="155" t="s">
        <v>996</v>
      </c>
      <c r="E1" s="155" t="s">
        <v>997</v>
      </c>
      <c r="F1" s="156" t="s">
        <v>998</v>
      </c>
      <c r="G1" s="155" t="s">
        <v>999</v>
      </c>
      <c r="H1" s="155" t="s">
        <v>1000</v>
      </c>
      <c r="I1" s="155" t="s">
        <v>1001</v>
      </c>
      <c r="J1" s="155" t="s">
        <v>1002</v>
      </c>
      <c r="K1" s="155" t="s">
        <v>1003</v>
      </c>
      <c r="L1" s="155" t="s">
        <v>1004</v>
      </c>
      <c r="M1" s="155" t="s">
        <v>1005</v>
      </c>
    </row>
    <row r="2" spans="1:13" x14ac:dyDescent="0.2">
      <c r="A2" s="174">
        <v>45992.598823182867</v>
      </c>
      <c r="B2" t="s">
        <v>14</v>
      </c>
      <c r="C2" t="s">
        <v>1006</v>
      </c>
      <c r="D2" t="s">
        <v>1007</v>
      </c>
      <c r="E2" t="s">
        <v>1008</v>
      </c>
      <c r="F2">
        <v>5</v>
      </c>
      <c r="G2">
        <v>320</v>
      </c>
      <c r="H2">
        <v>379.5</v>
      </c>
      <c r="I2" t="s">
        <v>1009</v>
      </c>
      <c r="J2" t="s">
        <v>1010</v>
      </c>
      <c r="K2" s="174">
        <v>45992.999988425923</v>
      </c>
      <c r="L2" t="s">
        <v>1011</v>
      </c>
      <c r="M2" t="s">
        <v>1012</v>
      </c>
    </row>
    <row r="3" spans="1:13" x14ac:dyDescent="0.2">
      <c r="A3" s="174">
        <v>45992.599028078701</v>
      </c>
      <c r="B3" t="s">
        <v>14</v>
      </c>
      <c r="C3" t="s">
        <v>1006</v>
      </c>
      <c r="D3" t="s">
        <v>1021</v>
      </c>
      <c r="E3" t="s">
        <v>1013</v>
      </c>
      <c r="F3">
        <v>-1</v>
      </c>
      <c r="G3">
        <v>-64</v>
      </c>
      <c r="H3">
        <v>75.900000000000006</v>
      </c>
      <c r="J3" t="s">
        <v>1010</v>
      </c>
      <c r="K3" t="s">
        <v>1014</v>
      </c>
      <c r="L3" t="s">
        <v>1011</v>
      </c>
      <c r="M3" t="s">
        <v>1015</v>
      </c>
    </row>
    <row r="4" spans="1:13" x14ac:dyDescent="0.2">
      <c r="A4" s="174">
        <v>45993.599028067132</v>
      </c>
      <c r="B4" t="s">
        <v>53</v>
      </c>
      <c r="C4" t="str">
        <f>VLOOKUP(B4,Produtos!$A:$E,5,FALSE)</f>
        <v>Hidrante Desodorante Corporal Tododia Capim Limão e Hortelã 400ml Refil</v>
      </c>
      <c r="D4" t="s">
        <v>1007</v>
      </c>
      <c r="E4" t="s">
        <v>1008</v>
      </c>
      <c r="F4">
        <v>1</v>
      </c>
      <c r="G4">
        <v>21.23</v>
      </c>
      <c r="H4">
        <v>0</v>
      </c>
      <c r="J4" t="s">
        <v>1010</v>
      </c>
      <c r="L4" t="s">
        <v>1011</v>
      </c>
    </row>
    <row r="5" spans="1:13" x14ac:dyDescent="0.2">
      <c r="A5" s="174">
        <v>45994.599028067132</v>
      </c>
      <c r="B5" t="s">
        <v>57</v>
      </c>
      <c r="C5" t="str">
        <f>VLOOKUP(B5,Produtos!$A:$E,5,FALSE)</f>
        <v>Hidrante Desodorante Corporal Tododia Flor de Gengibre e Tangerina 400ml Refil</v>
      </c>
      <c r="D5" t="s">
        <v>1007</v>
      </c>
      <c r="E5" t="s">
        <v>1008</v>
      </c>
      <c r="F5">
        <v>1</v>
      </c>
      <c r="G5">
        <v>21.23</v>
      </c>
      <c r="H5">
        <v>0</v>
      </c>
      <c r="J5" t="s">
        <v>1010</v>
      </c>
      <c r="L5" t="s">
        <v>1011</v>
      </c>
    </row>
    <row r="6" spans="1:13" x14ac:dyDescent="0.2">
      <c r="A6" s="174">
        <v>45995.599028067132</v>
      </c>
      <c r="B6" t="s">
        <v>731</v>
      </c>
      <c r="C6" t="str">
        <f>VLOOKUP(B6,Produtos!$A:$E,5,FALSE)</f>
        <v>Deo Parfum Homem Essence 25ml Miniatura</v>
      </c>
      <c r="D6" t="s">
        <v>1007</v>
      </c>
      <c r="E6" t="s">
        <v>1008</v>
      </c>
      <c r="F6">
        <v>3</v>
      </c>
      <c r="G6">
        <v>91.76</v>
      </c>
      <c r="H6">
        <v>0</v>
      </c>
      <c r="J6" t="s">
        <v>1010</v>
      </c>
      <c r="L6" t="s">
        <v>1011</v>
      </c>
    </row>
    <row r="7" spans="1:13" x14ac:dyDescent="0.2">
      <c r="A7" s="174">
        <v>45996.599028067132</v>
      </c>
      <c r="B7" t="s">
        <v>769</v>
      </c>
      <c r="C7" t="str">
        <f>VLOOKUP(B7,Produtos!$A:$E,5,FALSE)</f>
        <v>Desodorante Corporal Homem Essence 100ml Frasco</v>
      </c>
      <c r="D7" t="s">
        <v>1007</v>
      </c>
      <c r="E7" t="s">
        <v>1008</v>
      </c>
      <c r="F7">
        <v>3</v>
      </c>
      <c r="G7">
        <v>236.06</v>
      </c>
      <c r="H7">
        <v>0</v>
      </c>
      <c r="J7" t="s">
        <v>1010</v>
      </c>
      <c r="L7" t="s">
        <v>1011</v>
      </c>
    </row>
    <row r="8" spans="1:13" x14ac:dyDescent="0.2">
      <c r="A8" s="174">
        <v>45997.599028067132</v>
      </c>
      <c r="B8" t="s">
        <v>367</v>
      </c>
      <c r="C8" t="str">
        <f>VLOOKUP(B8,Produtos!$A:$E,5,FALSE)</f>
        <v>Shampoo 3 em 1 Humor Humor A Dois Masculino 100ml Frasco</v>
      </c>
      <c r="D8" t="s">
        <v>1007</v>
      </c>
      <c r="E8" t="s">
        <v>1008</v>
      </c>
      <c r="F8">
        <v>3</v>
      </c>
      <c r="G8">
        <v>36.950000000000003</v>
      </c>
      <c r="H8">
        <v>0</v>
      </c>
      <c r="J8" t="s">
        <v>1010</v>
      </c>
      <c r="L8" t="s">
        <v>1011</v>
      </c>
    </row>
    <row r="9" spans="1:13" x14ac:dyDescent="0.2">
      <c r="A9" s="174">
        <v>45998.599028067132</v>
      </c>
      <c r="B9" t="s">
        <v>767</v>
      </c>
      <c r="C9" t="str">
        <f>VLOOKUP(B9,Produtos!$A:$E,5,FALSE)</f>
        <v>Desodorante Corporal Homem Especiarias 100ml Frasco</v>
      </c>
      <c r="D9" t="s">
        <v>1007</v>
      </c>
      <c r="E9" t="s">
        <v>1008</v>
      </c>
      <c r="F9">
        <v>3</v>
      </c>
      <c r="G9">
        <v>59.95</v>
      </c>
      <c r="H9">
        <v>0</v>
      </c>
      <c r="J9" t="s">
        <v>1010</v>
      </c>
      <c r="L9" t="s">
        <v>1011</v>
      </c>
    </row>
    <row r="10" spans="1:13" x14ac:dyDescent="0.2">
      <c r="A10" s="174">
        <v>45999.599028067132</v>
      </c>
      <c r="B10" t="s">
        <v>385</v>
      </c>
      <c r="C10" t="str">
        <f>VLOOKUP(B10,Produtos!$A:$E,5,FALSE)</f>
        <v>Colonia Humor A Dois Masculino 75ml Frasco</v>
      </c>
      <c r="D10" t="s">
        <v>1007</v>
      </c>
      <c r="E10" t="s">
        <v>1008</v>
      </c>
      <c r="F10">
        <v>3</v>
      </c>
      <c r="G10">
        <v>177.13</v>
      </c>
      <c r="H10">
        <v>0</v>
      </c>
      <c r="J10" t="s">
        <v>1010</v>
      </c>
      <c r="L10" t="s">
        <v>1011</v>
      </c>
    </row>
    <row r="11" spans="1:13" x14ac:dyDescent="0.2">
      <c r="A11" s="174">
        <v>46000.599028067132</v>
      </c>
      <c r="B11" t="s">
        <v>855</v>
      </c>
      <c r="C11" t="str">
        <f>VLOOKUP(B11,Produtos!$A:$E,5,FALSE)</f>
        <v>Colonia Biografia Masculino 100ml Frasco</v>
      </c>
      <c r="D11" t="s">
        <v>1007</v>
      </c>
      <c r="E11" t="s">
        <v>1008</v>
      </c>
      <c r="F11">
        <v>3</v>
      </c>
      <c r="G11">
        <v>204.52</v>
      </c>
      <c r="H11">
        <v>0</v>
      </c>
      <c r="J11" t="s">
        <v>1010</v>
      </c>
      <c r="L11" t="s">
        <v>1011</v>
      </c>
    </row>
    <row r="12" spans="1:13" x14ac:dyDescent="0.2">
      <c r="A12" s="174">
        <v>46001.599028067132</v>
      </c>
      <c r="B12" t="s">
        <v>859</v>
      </c>
      <c r="C12" t="str">
        <f>VLOOKUP(B12,Produtos!$A:$E,5,FALSE)</f>
        <v>Desodorante Corporal Perfumado Biografia inspire 100ml Frasco</v>
      </c>
      <c r="D12" t="s">
        <v>1007</v>
      </c>
      <c r="E12" t="s">
        <v>1008</v>
      </c>
      <c r="F12">
        <v>3</v>
      </c>
      <c r="G12">
        <v>56.37</v>
      </c>
      <c r="H12">
        <v>0</v>
      </c>
      <c r="J12" t="s">
        <v>1010</v>
      </c>
      <c r="L12" t="s">
        <v>1011</v>
      </c>
    </row>
    <row r="13" spans="1:13" x14ac:dyDescent="0.2">
      <c r="A13" s="174">
        <v>46003.599028067132</v>
      </c>
      <c r="B13" t="s">
        <v>777</v>
      </c>
      <c r="C13" t="str">
        <f>VLOOKUP(B13,Produtos!$A:$E,5,FALSE)</f>
        <v>Desodorante Antitranspirante Roll-on Homem Dom 75ml Frasco</v>
      </c>
      <c r="D13" t="s">
        <v>1007</v>
      </c>
      <c r="E13" t="s">
        <v>1008</v>
      </c>
      <c r="F13">
        <v>3</v>
      </c>
      <c r="G13">
        <v>38.950000000000003</v>
      </c>
      <c r="H13">
        <v>0</v>
      </c>
      <c r="J13" t="s">
        <v>1010</v>
      </c>
      <c r="L13" t="s">
        <v>1011</v>
      </c>
    </row>
    <row r="14" spans="1:13" x14ac:dyDescent="0.2">
      <c r="A14" s="174">
        <v>46005.599028067132</v>
      </c>
      <c r="B14" t="s">
        <v>326</v>
      </c>
      <c r="C14" t="str">
        <f>VLOOKUP(B14,Produtos!$A:$E,5,FALSE)</f>
        <v>Shampoo Ekos Patuá 300ml Refil</v>
      </c>
      <c r="D14" t="s">
        <v>1007</v>
      </c>
      <c r="E14" t="s">
        <v>1008</v>
      </c>
      <c r="F14">
        <v>2</v>
      </c>
      <c r="G14">
        <v>31.25</v>
      </c>
      <c r="H14">
        <v>0</v>
      </c>
      <c r="J14" t="s">
        <v>1010</v>
      </c>
      <c r="L14" t="s">
        <v>1011</v>
      </c>
    </row>
    <row r="15" spans="1:13" x14ac:dyDescent="0.2">
      <c r="A15" s="174">
        <v>46006.599028067132</v>
      </c>
      <c r="B15" t="s">
        <v>848</v>
      </c>
      <c r="C15" t="str">
        <f>VLOOKUP(B15,Produtos!$A:$E,5,FALSE)</f>
        <v>Colonia Biografia Caminhos Feminino 100ml Frasco</v>
      </c>
      <c r="D15" t="s">
        <v>1007</v>
      </c>
      <c r="E15" t="s">
        <v>1008</v>
      </c>
      <c r="F15">
        <v>2</v>
      </c>
      <c r="G15">
        <v>194.34</v>
      </c>
      <c r="H15">
        <v>0</v>
      </c>
      <c r="J15" t="s">
        <v>1010</v>
      </c>
      <c r="L15" t="s">
        <v>1011</v>
      </c>
    </row>
    <row r="16" spans="1:13" x14ac:dyDescent="0.2">
      <c r="A16" s="174">
        <v>46007.599028067132</v>
      </c>
      <c r="B16" t="s">
        <v>403</v>
      </c>
      <c r="C16" t="str">
        <f>VLOOKUP(B16,Produtos!$A:$E,5,FALSE)</f>
        <v>Desodorante Corporal Humor Meu Primeiro Humor 100ml Frasco</v>
      </c>
      <c r="D16" t="s">
        <v>1007</v>
      </c>
      <c r="E16" t="s">
        <v>1008</v>
      </c>
      <c r="F16">
        <v>2</v>
      </c>
      <c r="G16" s="157">
        <v>100.54</v>
      </c>
      <c r="H16">
        <v>0</v>
      </c>
      <c r="J16" t="s">
        <v>1010</v>
      </c>
      <c r="L16" t="s">
        <v>1011</v>
      </c>
    </row>
    <row r="17" spans="1:12" x14ac:dyDescent="0.2">
      <c r="A17" s="174">
        <v>46008.599028067132</v>
      </c>
      <c r="B17" t="s">
        <v>94</v>
      </c>
      <c r="C17" t="str">
        <f>VLOOKUP(B17,Produtos!$A:$E,5,FALSE)</f>
        <v>Sabonete em barra puro vegetal Tododia Cereja e Avelã 5x90g Caixa</v>
      </c>
      <c r="D17" t="s">
        <v>1007</v>
      </c>
      <c r="E17" t="s">
        <v>1008</v>
      </c>
      <c r="F17">
        <v>1</v>
      </c>
      <c r="G17">
        <v>20.04</v>
      </c>
      <c r="H17">
        <v>0</v>
      </c>
      <c r="J17" t="s">
        <v>1010</v>
      </c>
      <c r="L17" t="s">
        <v>1011</v>
      </c>
    </row>
    <row r="18" spans="1:12" x14ac:dyDescent="0.2">
      <c r="A18" s="174">
        <v>46009.599028067132</v>
      </c>
      <c r="B18" t="s">
        <v>88</v>
      </c>
      <c r="C18" t="str">
        <f>VLOOKUP(B18,Produtos!$A:$E,5,FALSE)</f>
        <v>Sabonete em barra puro vegetal Tododia Ameixa e Flor de Baunilha 5x90g Caixa</v>
      </c>
      <c r="D18" t="s">
        <v>1007</v>
      </c>
      <c r="E18" t="s">
        <v>1008</v>
      </c>
      <c r="F18">
        <v>1</v>
      </c>
      <c r="G18">
        <v>17.13</v>
      </c>
      <c r="H18">
        <v>0</v>
      </c>
      <c r="J18" t="s">
        <v>1010</v>
      </c>
      <c r="L18" t="s">
        <v>1011</v>
      </c>
    </row>
    <row r="19" spans="1:12" x14ac:dyDescent="0.2">
      <c r="A19" s="174">
        <v>46010.599028067132</v>
      </c>
      <c r="B19" t="s">
        <v>886</v>
      </c>
      <c r="C19" t="str">
        <f>VLOOKUP(B19,Produtos!$A:$E,5,FALSE)</f>
        <v>Sabonete Liquido Mamãe e Bebê Para o Bebê Verde 0a3 anos 200ml Refil</v>
      </c>
      <c r="D19" t="s">
        <v>1007</v>
      </c>
      <c r="E19" t="s">
        <v>1008</v>
      </c>
      <c r="F19">
        <v>1</v>
      </c>
      <c r="G19">
        <v>32.6</v>
      </c>
      <c r="H19">
        <v>0</v>
      </c>
      <c r="J19" t="s">
        <v>1010</v>
      </c>
      <c r="L19" t="s">
        <v>1011</v>
      </c>
    </row>
    <row r="20" spans="1:12" x14ac:dyDescent="0.2">
      <c r="A20" s="174">
        <v>46011.599028067132</v>
      </c>
      <c r="B20" t="s">
        <v>881</v>
      </c>
      <c r="C20" t="str">
        <f>VLOOKUP(B20,Produtos!$A:$E,5,FALSE)</f>
        <v>Sabonete Liquido Mamãe e Bebê Para o Bebê Verde 0a3 anos 50ml Frasco</v>
      </c>
      <c r="D20" t="s">
        <v>1007</v>
      </c>
      <c r="E20" t="s">
        <v>1008</v>
      </c>
      <c r="F20">
        <v>5</v>
      </c>
      <c r="G20">
        <v>42.02</v>
      </c>
      <c r="H20">
        <v>0</v>
      </c>
      <c r="J20" t="s">
        <v>1010</v>
      </c>
      <c r="L20" t="s">
        <v>1011</v>
      </c>
    </row>
    <row r="21" spans="1:12" x14ac:dyDescent="0.2">
      <c r="A21" s="174">
        <v>46012.599028067132</v>
      </c>
      <c r="B21" t="s">
        <v>861</v>
      </c>
      <c r="C21" t="str">
        <f>VLOOKUP(B21,Produtos!$A:$E,5,FALSE)</f>
        <v>Desodorante Corporal Perfumado Biografia Feminino 100ml Refil</v>
      </c>
      <c r="D21" t="s">
        <v>1007</v>
      </c>
      <c r="E21" t="s">
        <v>1008</v>
      </c>
      <c r="F21">
        <v>3</v>
      </c>
      <c r="G21">
        <v>6.3</v>
      </c>
      <c r="H21">
        <v>0</v>
      </c>
      <c r="J21" t="s">
        <v>1010</v>
      </c>
      <c r="L21" t="s">
        <v>1011</v>
      </c>
    </row>
    <row r="22" spans="1:12" x14ac:dyDescent="0.2">
      <c r="A22" s="174">
        <v>46015.599028067132</v>
      </c>
      <c r="B22" t="s">
        <v>328</v>
      </c>
      <c r="C22" t="str">
        <f>VLOOKUP(B22,Produtos!$A:$E,5,FALSE)</f>
        <v>Condicionador Ekos Patuá 300ml Refil</v>
      </c>
      <c r="D22" t="s">
        <v>1007</v>
      </c>
      <c r="E22" t="s">
        <v>1008</v>
      </c>
      <c r="F22">
        <v>1</v>
      </c>
      <c r="G22">
        <v>19.73</v>
      </c>
      <c r="H22">
        <v>0</v>
      </c>
      <c r="J22" t="s">
        <v>1010</v>
      </c>
      <c r="L22" t="s">
        <v>1011</v>
      </c>
    </row>
    <row r="23" spans="1:12" x14ac:dyDescent="0.2">
      <c r="A23" s="174">
        <v>46016.599028067132</v>
      </c>
      <c r="B23" t="s">
        <v>107</v>
      </c>
      <c r="C23" t="str">
        <f>VLOOKUP(B23,Produtos!$A:$E,5,FALSE)</f>
        <v>Sabonete em barra puro vegetal Tododia Tâmara e Canela 5x90g Caixa</v>
      </c>
      <c r="D23" t="s">
        <v>1007</v>
      </c>
      <c r="E23" t="s">
        <v>1008</v>
      </c>
      <c r="F23">
        <v>1</v>
      </c>
      <c r="G23">
        <v>16.329999999999998</v>
      </c>
      <c r="H23">
        <v>0</v>
      </c>
      <c r="J23" t="s">
        <v>1010</v>
      </c>
      <c r="L23" t="s">
        <v>1011</v>
      </c>
    </row>
    <row r="24" spans="1:12" x14ac:dyDescent="0.2">
      <c r="A24" s="174">
        <v>46017.599028067132</v>
      </c>
      <c r="B24" t="s">
        <v>86</v>
      </c>
      <c r="C24" t="str">
        <f>VLOOKUP(B24,Produtos!$A:$E,5,FALSE)</f>
        <v>Sabonete em barra puro vegetal Tododia Alecrim e Sálvia 5x90g Caixa</v>
      </c>
      <c r="D24" t="s">
        <v>1007</v>
      </c>
      <c r="E24" t="s">
        <v>1008</v>
      </c>
      <c r="F24">
        <v>1</v>
      </c>
      <c r="G24">
        <v>16.329999999999998</v>
      </c>
      <c r="H24">
        <v>0</v>
      </c>
      <c r="J24" t="s">
        <v>1010</v>
      </c>
      <c r="L24" t="s">
        <v>1011</v>
      </c>
    </row>
    <row r="25" spans="1:12" x14ac:dyDescent="0.2">
      <c r="A25" s="174">
        <v>46018.599028067132</v>
      </c>
      <c r="B25" t="s">
        <v>88</v>
      </c>
      <c r="C25" t="str">
        <f>VLOOKUP(B25,Produtos!$A:$E,5,FALSE)</f>
        <v>Sabonete em barra puro vegetal Tododia Ameixa e Flor de Baunilha 5x90g Caixa</v>
      </c>
      <c r="D25" t="s">
        <v>1007</v>
      </c>
      <c r="E25" t="s">
        <v>1008</v>
      </c>
      <c r="F25">
        <v>1</v>
      </c>
      <c r="G25">
        <v>16.329999999999998</v>
      </c>
      <c r="H25">
        <v>0</v>
      </c>
      <c r="J25" t="s">
        <v>1010</v>
      </c>
      <c r="L25" t="s">
        <v>1011</v>
      </c>
    </row>
    <row r="26" spans="1:12" x14ac:dyDescent="0.2">
      <c r="A26" s="174">
        <v>46019.599028067132</v>
      </c>
      <c r="B26" t="s">
        <v>180</v>
      </c>
      <c r="C26" t="str">
        <f>VLOOKUP(B26,Produtos!$A:$E,5,FALSE)</f>
        <v>Sabonete em Barra Tododia Todonoite 5x80g Caixa</v>
      </c>
      <c r="D26" t="s">
        <v>1007</v>
      </c>
      <c r="E26" t="s">
        <v>1008</v>
      </c>
      <c r="F26">
        <v>1</v>
      </c>
      <c r="G26">
        <v>16.329999999999998</v>
      </c>
      <c r="H26">
        <v>0</v>
      </c>
      <c r="J26" t="s">
        <v>1010</v>
      </c>
      <c r="L26" t="s">
        <v>1011</v>
      </c>
    </row>
    <row r="27" spans="1:12" x14ac:dyDescent="0.2">
      <c r="A27" s="174">
        <v>46020.599028067132</v>
      </c>
      <c r="B27" t="s">
        <v>89</v>
      </c>
      <c r="C27" t="str">
        <f>VLOOKUP(B27,Produtos!$A:$E,5,FALSE)</f>
        <v>Sabonete em barra puro vegetal Tododia Amora Vermelha e Jabuticaba 5x90g Caixa</v>
      </c>
      <c r="D27" t="s">
        <v>1007</v>
      </c>
      <c r="E27" t="s">
        <v>1008</v>
      </c>
      <c r="F27">
        <v>2</v>
      </c>
      <c r="G27">
        <v>32.47</v>
      </c>
      <c r="H27">
        <v>0</v>
      </c>
      <c r="J27" t="s">
        <v>1010</v>
      </c>
      <c r="L27" t="s">
        <v>1011</v>
      </c>
    </row>
    <row r="28" spans="1:12" x14ac:dyDescent="0.2">
      <c r="A28" s="174">
        <v>46021.599028067132</v>
      </c>
      <c r="B28" t="s">
        <v>103</v>
      </c>
      <c r="C28" t="str">
        <f>VLOOKUP(B28,Produtos!$A:$E,5,FALSE)</f>
        <v>Sabonete em barra puro vegetal Tododia Macadamia 5x90g Caixa</v>
      </c>
      <c r="D28" t="s">
        <v>1007</v>
      </c>
      <c r="E28" t="s">
        <v>1008</v>
      </c>
      <c r="F28">
        <v>2</v>
      </c>
      <c r="G28">
        <v>32.47</v>
      </c>
      <c r="H28">
        <v>0</v>
      </c>
      <c r="J28" t="s">
        <v>1010</v>
      </c>
      <c r="L28" t="s">
        <v>1011</v>
      </c>
    </row>
    <row r="29" spans="1:12" x14ac:dyDescent="0.2">
      <c r="A29" s="174">
        <v>46022.599028067132</v>
      </c>
      <c r="B29" t="s">
        <v>88</v>
      </c>
      <c r="C29" t="str">
        <f>VLOOKUP(B29,Produtos!$A:$E,5,FALSE)</f>
        <v>Sabonete em barra puro vegetal Tododia Ameixa e Flor de Baunilha 5x90g Caixa</v>
      </c>
      <c r="D29" t="s">
        <v>1007</v>
      </c>
      <c r="E29" t="s">
        <v>1008</v>
      </c>
      <c r="F29">
        <v>2</v>
      </c>
      <c r="G29">
        <v>32.47</v>
      </c>
      <c r="H29">
        <v>0</v>
      </c>
      <c r="J29" t="s">
        <v>1010</v>
      </c>
      <c r="L29" t="s">
        <v>1011</v>
      </c>
    </row>
    <row r="30" spans="1:12" x14ac:dyDescent="0.2">
      <c r="A30" s="174">
        <v>46023.599028067132</v>
      </c>
      <c r="B30" t="s">
        <v>86</v>
      </c>
      <c r="C30" t="str">
        <f>VLOOKUP(B30,Produtos!$A:$E,5,FALSE)</f>
        <v>Sabonete em barra puro vegetal Tododia Alecrim e Sálvia 5x90g Caixa</v>
      </c>
      <c r="D30" t="s">
        <v>1007</v>
      </c>
      <c r="E30" t="s">
        <v>1008</v>
      </c>
      <c r="F30">
        <v>2</v>
      </c>
      <c r="G30">
        <v>32.47</v>
      </c>
      <c r="H30">
        <v>0</v>
      </c>
      <c r="J30" t="s">
        <v>1010</v>
      </c>
      <c r="L30" t="s">
        <v>1011</v>
      </c>
    </row>
    <row r="31" spans="1:12" x14ac:dyDescent="0.2">
      <c r="A31" s="174">
        <v>46024.599028067132</v>
      </c>
      <c r="B31" t="s">
        <v>52</v>
      </c>
      <c r="C31" t="str">
        <f>VLOOKUP(B31,Produtos!$A:$E,5,FALSE)</f>
        <v>Hidrante Desodorante Corporal Tododia Ameixa e Flor de Baunilha 400ml Refil</v>
      </c>
      <c r="D31" t="s">
        <v>1007</v>
      </c>
      <c r="E31" t="s">
        <v>1008</v>
      </c>
      <c r="F31">
        <v>1</v>
      </c>
      <c r="G31">
        <v>15.62</v>
      </c>
      <c r="H31">
        <v>0</v>
      </c>
      <c r="J31" t="s">
        <v>1010</v>
      </c>
      <c r="L31" t="s">
        <v>1011</v>
      </c>
    </row>
    <row r="32" spans="1:12" x14ac:dyDescent="0.2">
      <c r="A32" s="174">
        <v>46025.599028067132</v>
      </c>
      <c r="B32" t="s">
        <v>152</v>
      </c>
      <c r="C32" t="str">
        <f>VLOOKUP(B32,Produtos!$A:$E,5,FALSE)</f>
        <v>Desodorante Creme Tododia Ameixa e Flor de Baunilha 80g Frasco</v>
      </c>
      <c r="D32" t="s">
        <v>1007</v>
      </c>
      <c r="E32" t="s">
        <v>1008</v>
      </c>
      <c r="F32">
        <v>1</v>
      </c>
      <c r="G32">
        <v>11.48</v>
      </c>
      <c r="H32">
        <v>0</v>
      </c>
      <c r="J32" t="s">
        <v>1010</v>
      </c>
      <c r="L32" t="s">
        <v>1011</v>
      </c>
    </row>
    <row r="33" spans="1:12" x14ac:dyDescent="0.2">
      <c r="A33" s="174">
        <v>46026.599028067132</v>
      </c>
      <c r="B33" t="s">
        <v>870</v>
      </c>
      <c r="C33" t="str">
        <f>VLOOKUP(B33,Produtos!$A:$E,5,FALSE)</f>
        <v>Agua Colonia Mamae Mamãe e Bebê Rosinha / Para Mamãe 100ml Frasco</v>
      </c>
      <c r="D33" t="s">
        <v>1007</v>
      </c>
      <c r="E33" t="s">
        <v>1008</v>
      </c>
      <c r="F33">
        <v>4</v>
      </c>
      <c r="G33">
        <v>123.29</v>
      </c>
      <c r="H33">
        <v>0</v>
      </c>
      <c r="J33" t="s">
        <v>1010</v>
      </c>
      <c r="L33" t="s">
        <v>1011</v>
      </c>
    </row>
    <row r="34" spans="1:12" x14ac:dyDescent="0.2">
      <c r="A34" s="174">
        <v>46027.599028067132</v>
      </c>
      <c r="B34" t="s">
        <v>659</v>
      </c>
      <c r="C34" t="str">
        <f>VLOOKUP(B34,Produtos!$A:$E,5,FALSE)</f>
        <v>Desodorante Corporal Kaiak Oceano Masculino 100ml Refil</v>
      </c>
      <c r="D34" t="s">
        <v>1007</v>
      </c>
      <c r="E34" t="s">
        <v>1008</v>
      </c>
      <c r="F34">
        <v>1</v>
      </c>
      <c r="G34">
        <v>71.239999999999995</v>
      </c>
      <c r="H34">
        <v>0</v>
      </c>
      <c r="J34" t="s">
        <v>1010</v>
      </c>
      <c r="L34" t="s">
        <v>1011</v>
      </c>
    </row>
    <row r="35" spans="1:12" x14ac:dyDescent="0.2">
      <c r="A35" s="174">
        <v>46028.599028067132</v>
      </c>
      <c r="B35" t="s">
        <v>143</v>
      </c>
      <c r="C35" t="str">
        <f>VLOOKUP(B35,Produtos!$A:$E,5,FALSE)</f>
        <v>Desodorante Antitranspirante Roll-on Tododia Algodão 70ml Frasco</v>
      </c>
      <c r="D35" t="s">
        <v>1007</v>
      </c>
      <c r="E35" t="s">
        <v>1008</v>
      </c>
      <c r="F35">
        <v>4</v>
      </c>
      <c r="G35">
        <v>65.39</v>
      </c>
      <c r="H35">
        <v>0</v>
      </c>
      <c r="J35" t="s">
        <v>1010</v>
      </c>
      <c r="L35" t="s">
        <v>1011</v>
      </c>
    </row>
    <row r="36" spans="1:12" x14ac:dyDescent="0.2">
      <c r="A36" s="174">
        <v>46029.599028067132</v>
      </c>
      <c r="B36" t="s">
        <v>148</v>
      </c>
      <c r="C36" t="str">
        <f>VLOOKUP(B36,Produtos!$A:$E,5,FALSE)</f>
        <v>Desodorante Antitranspirante Roll-on Tododia Macadania 70ml Frasco</v>
      </c>
      <c r="D36" t="s">
        <v>1007</v>
      </c>
      <c r="E36" t="s">
        <v>1008</v>
      </c>
      <c r="F36">
        <v>6</v>
      </c>
      <c r="G36">
        <v>97.98</v>
      </c>
      <c r="H36">
        <v>0</v>
      </c>
      <c r="J36" t="s">
        <v>1010</v>
      </c>
      <c r="L36" t="s">
        <v>1011</v>
      </c>
    </row>
    <row r="37" spans="1:12" x14ac:dyDescent="0.2">
      <c r="A37" s="174">
        <v>46030.599028067132</v>
      </c>
      <c r="B37" t="s">
        <v>139</v>
      </c>
      <c r="C37" t="str">
        <f>VLOOKUP(B37,Produtos!$A:$E,5,FALSE)</f>
        <v>Desodorante Antitranspirante Roll-on Tododia Aclarar 70ml Frasco</v>
      </c>
      <c r="D37" t="s">
        <v>1007</v>
      </c>
      <c r="E37" t="s">
        <v>1008</v>
      </c>
      <c r="F37">
        <v>2</v>
      </c>
      <c r="G37">
        <v>32.79</v>
      </c>
      <c r="H37">
        <v>0</v>
      </c>
      <c r="J37" t="s">
        <v>1010</v>
      </c>
      <c r="L37" t="s">
        <v>1011</v>
      </c>
    </row>
    <row r="38" spans="1:12" x14ac:dyDescent="0.2">
      <c r="A38" s="174">
        <v>46031.599028067132</v>
      </c>
      <c r="B38" t="s">
        <v>934</v>
      </c>
      <c r="C38" t="str">
        <f>VLOOKUP(B38,Produtos!$A:$E,5,FALSE)</f>
        <v>Desodorante Creme Erva Doce 80g Frasco</v>
      </c>
      <c r="D38" t="s">
        <v>1007</v>
      </c>
      <c r="E38" t="s">
        <v>1008</v>
      </c>
      <c r="F38">
        <v>3</v>
      </c>
      <c r="G38">
        <v>40.89</v>
      </c>
      <c r="H38">
        <v>0</v>
      </c>
      <c r="J38" t="s">
        <v>1010</v>
      </c>
      <c r="L38" t="s">
        <v>1011</v>
      </c>
    </row>
    <row r="39" spans="1:12" x14ac:dyDescent="0.2">
      <c r="A39" s="174">
        <v>46032.599028067132</v>
      </c>
      <c r="B39" t="s">
        <v>771</v>
      </c>
      <c r="C39" t="str">
        <f>VLOOKUP(B39,Produtos!$A:$E,5,FALSE)</f>
        <v>Desodorante Corporal Homem Sagaz 100ml Frasco</v>
      </c>
      <c r="D39" t="s">
        <v>1007</v>
      </c>
      <c r="E39" t="s">
        <v>1008</v>
      </c>
      <c r="F39">
        <v>1</v>
      </c>
      <c r="G39">
        <v>30.95</v>
      </c>
      <c r="H39">
        <v>0</v>
      </c>
      <c r="J39" t="s">
        <v>1010</v>
      </c>
      <c r="L39" t="s">
        <v>1011</v>
      </c>
    </row>
    <row r="40" spans="1:12" x14ac:dyDescent="0.2">
      <c r="A40" s="174">
        <v>46033.599028067132</v>
      </c>
      <c r="B40" t="s">
        <v>413</v>
      </c>
      <c r="C40" t="str">
        <f>VLOOKUP(B40,Produtos!$A:$E,5,FALSE)</f>
        <v>Sabonete em Barra Humor A Rigor 1x90g Caixa</v>
      </c>
      <c r="D40" t="s">
        <v>1007</v>
      </c>
      <c r="E40" t="s">
        <v>1008</v>
      </c>
      <c r="F40">
        <v>1</v>
      </c>
      <c r="G40">
        <v>5.91</v>
      </c>
      <c r="H40">
        <v>0</v>
      </c>
      <c r="J40" t="s">
        <v>1010</v>
      </c>
      <c r="L40" t="s">
        <v>1011</v>
      </c>
    </row>
    <row r="41" spans="1:12" x14ac:dyDescent="0.2">
      <c r="A41" s="174">
        <v>46034.599028067132</v>
      </c>
      <c r="B41" t="s">
        <v>536</v>
      </c>
      <c r="C41" t="str">
        <f>VLOOKUP(B41,Produtos!$A:$E,5,FALSE)</f>
        <v>Colonia Luna Absoluta Feminino 75ml Frasco</v>
      </c>
      <c r="D41" t="s">
        <v>1007</v>
      </c>
      <c r="E41" t="s">
        <v>1008</v>
      </c>
      <c r="F41">
        <v>1</v>
      </c>
      <c r="G41">
        <v>69.55</v>
      </c>
      <c r="H41">
        <v>0</v>
      </c>
      <c r="J41" t="s">
        <v>1010</v>
      </c>
      <c r="L41" t="s">
        <v>1011</v>
      </c>
    </row>
    <row r="42" spans="1:12" x14ac:dyDescent="0.2">
      <c r="A42" s="174">
        <v>46035.599028067132</v>
      </c>
      <c r="B42" t="s">
        <v>951</v>
      </c>
      <c r="C42" t="str">
        <f>VLOOKUP(B42,Produtos!$A:$E,5,FALSE)</f>
        <v>Deo Parfum Una Somos 75ml Frasco</v>
      </c>
      <c r="D42" t="s">
        <v>1007</v>
      </c>
      <c r="E42" t="s">
        <v>1008</v>
      </c>
      <c r="F42">
        <v>2</v>
      </c>
      <c r="G42">
        <v>280.08999999999997</v>
      </c>
      <c r="H42">
        <v>0</v>
      </c>
      <c r="J42" t="s">
        <v>1010</v>
      </c>
      <c r="L42" t="s">
        <v>1011</v>
      </c>
    </row>
    <row r="43" spans="1:12" x14ac:dyDescent="0.2">
      <c r="A43" s="174">
        <v>46036.599028067132</v>
      </c>
      <c r="B43" t="s">
        <v>753</v>
      </c>
      <c r="C43" t="str">
        <f>VLOOKUP(B43,Produtos!$A:$E,5,FALSE)</f>
        <v>Deo Parfum Homem Sagaz 100ml Frasco</v>
      </c>
      <c r="D43" t="s">
        <v>1007</v>
      </c>
      <c r="E43" t="s">
        <v>1008</v>
      </c>
      <c r="F43">
        <v>1</v>
      </c>
      <c r="G43">
        <v>80.28</v>
      </c>
      <c r="H43">
        <v>0</v>
      </c>
      <c r="J43" t="s">
        <v>1010</v>
      </c>
      <c r="L43" t="s">
        <v>1011</v>
      </c>
    </row>
    <row r="44" spans="1:12" x14ac:dyDescent="0.2">
      <c r="A44" s="174">
        <v>46037.599028067132</v>
      </c>
      <c r="B44" t="s">
        <v>462</v>
      </c>
      <c r="C44" t="str">
        <f>VLOOKUP(B44,Produtos!$A:$E,5,FALSE)</f>
        <v>Deo Parfum Essencial Único Masculino 100ml Refil</v>
      </c>
      <c r="D44" t="s">
        <v>1007</v>
      </c>
      <c r="E44" t="s">
        <v>1008</v>
      </c>
      <c r="F44">
        <v>1</v>
      </c>
      <c r="G44">
        <v>130.5</v>
      </c>
      <c r="H44">
        <v>0</v>
      </c>
      <c r="J44" t="s">
        <v>1010</v>
      </c>
      <c r="L44" t="s">
        <v>1011</v>
      </c>
    </row>
    <row r="45" spans="1:12" x14ac:dyDescent="0.2">
      <c r="A45" s="174">
        <v>46038.599028067132</v>
      </c>
      <c r="B45" t="s">
        <v>569</v>
      </c>
      <c r="C45" t="str">
        <f>VLOOKUP(B45,Produtos!$A:$E,5,FALSE)</f>
        <v>Hidratante Desodorante Perfumado Luna Confiante 300ml Refil</v>
      </c>
      <c r="D45" t="s">
        <v>1007</v>
      </c>
      <c r="E45" t="s">
        <v>1008</v>
      </c>
      <c r="F45">
        <v>2</v>
      </c>
      <c r="G45">
        <v>83.09</v>
      </c>
      <c r="H45">
        <v>0</v>
      </c>
      <c r="J45" t="s">
        <v>1010</v>
      </c>
      <c r="L45" t="s">
        <v>1011</v>
      </c>
    </row>
    <row r="46" spans="1:12" x14ac:dyDescent="0.2">
      <c r="A46" s="174">
        <v>46039.599028067132</v>
      </c>
      <c r="B46" t="s">
        <v>54</v>
      </c>
      <c r="C46" t="str">
        <f>VLOOKUP(B46,Produtos!$A:$E,5,FALSE)</f>
        <v>Hidrante Desodorante Corporal Tododia Cereja e Avela 400ml Refil</v>
      </c>
      <c r="D46" t="s">
        <v>1007</v>
      </c>
      <c r="E46" t="s">
        <v>1008</v>
      </c>
      <c r="F46">
        <v>2</v>
      </c>
      <c r="G46">
        <v>53.12</v>
      </c>
      <c r="H46">
        <v>0</v>
      </c>
      <c r="J46" t="s">
        <v>1010</v>
      </c>
      <c r="L46" t="s">
        <v>1011</v>
      </c>
    </row>
    <row r="47" spans="1:12" x14ac:dyDescent="0.2">
      <c r="A47" s="174">
        <v>46040.599028067132</v>
      </c>
      <c r="B47" t="s">
        <v>506</v>
      </c>
      <c r="C47" t="str">
        <f>VLOOKUP(B47,Produtos!$A:$E,5,FALSE)</f>
        <v>Creme de Barbear Essencial Essencial 75g Frasco</v>
      </c>
      <c r="D47" t="s">
        <v>1007</v>
      </c>
      <c r="E47" t="s">
        <v>1008</v>
      </c>
      <c r="F47">
        <v>3</v>
      </c>
      <c r="G47">
        <v>49.82</v>
      </c>
      <c r="H47">
        <v>0</v>
      </c>
      <c r="J47" t="s">
        <v>1010</v>
      </c>
      <c r="L47" t="s">
        <v>1011</v>
      </c>
    </row>
    <row r="48" spans="1:12" x14ac:dyDescent="0.2">
      <c r="A48" s="174">
        <v>46042.599028067132</v>
      </c>
      <c r="B48" t="s">
        <v>731</v>
      </c>
      <c r="C48" t="str">
        <f>VLOOKUP(B48,Produtos!$A:$E,5,FALSE)</f>
        <v>Deo Parfum Homem Essence 25ml Miniatura</v>
      </c>
      <c r="D48" t="s">
        <v>1007</v>
      </c>
      <c r="E48" t="s">
        <v>1008</v>
      </c>
      <c r="F48">
        <v>3</v>
      </c>
      <c r="G48">
        <v>90.76</v>
      </c>
      <c r="H48">
        <v>0</v>
      </c>
      <c r="J48" t="s">
        <v>1010</v>
      </c>
      <c r="L48" t="s">
        <v>1011</v>
      </c>
    </row>
    <row r="49" spans="1:12" x14ac:dyDescent="0.2">
      <c r="A49" s="174">
        <v>46043.599028067132</v>
      </c>
      <c r="B49" t="s">
        <v>786</v>
      </c>
      <c r="C49" t="str">
        <f>VLOOKUP(B49,Produtos!$A:$E,5,FALSE)</f>
        <v>Shampoo Antiqueda Homem Masculino 300ml Frasco</v>
      </c>
      <c r="D49" t="s">
        <v>1007</v>
      </c>
      <c r="E49" t="s">
        <v>1008</v>
      </c>
      <c r="F49">
        <v>1</v>
      </c>
      <c r="G49">
        <v>33.99</v>
      </c>
      <c r="H49">
        <v>0</v>
      </c>
      <c r="J49" t="s">
        <v>1010</v>
      </c>
      <c r="L49" t="s">
        <v>1011</v>
      </c>
    </row>
    <row r="50" spans="1:12" x14ac:dyDescent="0.2">
      <c r="A50" s="174">
        <v>46045.599028067132</v>
      </c>
      <c r="B50" t="s">
        <v>710</v>
      </c>
      <c r="C50" t="str">
        <f>VLOOKUP(B50,Produtos!$A:$E,5,FALSE)</f>
        <v>Sabonete em Barra Ilia Sortido 3x90g Caixa</v>
      </c>
      <c r="D50" t="s">
        <v>1007</v>
      </c>
      <c r="E50" t="s">
        <v>1008</v>
      </c>
      <c r="F50">
        <v>2</v>
      </c>
      <c r="G50">
        <v>44.82</v>
      </c>
      <c r="H50">
        <v>0</v>
      </c>
      <c r="J50" t="s">
        <v>1010</v>
      </c>
      <c r="L50" t="s">
        <v>1011</v>
      </c>
    </row>
    <row r="51" spans="1:12" x14ac:dyDescent="0.2">
      <c r="A51" s="174">
        <v>46046.599028067132</v>
      </c>
      <c r="B51" t="s">
        <v>907</v>
      </c>
      <c r="C51" t="str">
        <f>VLOOKUP(B51,Produtos!$A:$E,5,FALSE)</f>
        <v>Hidratante Corporal Mamãe e Bebê Relaxante Roxinho 0a3 anos 200ml Frasco</v>
      </c>
      <c r="D51" t="s">
        <v>1007</v>
      </c>
      <c r="E51" t="s">
        <v>1008</v>
      </c>
      <c r="F51">
        <v>1</v>
      </c>
      <c r="G51">
        <v>29.52</v>
      </c>
      <c r="H51">
        <v>0</v>
      </c>
      <c r="J51" t="s">
        <v>1010</v>
      </c>
      <c r="L51" t="s">
        <v>1011</v>
      </c>
    </row>
    <row r="52" spans="1:12" x14ac:dyDescent="0.2">
      <c r="A52" s="174">
        <v>46047.599028067132</v>
      </c>
      <c r="B52" t="s">
        <v>461</v>
      </c>
      <c r="C52" t="str">
        <f>VLOOKUP(B52,Produtos!$A:$E,5,FALSE)</f>
        <v>Deo Parfum Essencial Masculino 100ml Refil</v>
      </c>
      <c r="D52" t="s">
        <v>1007</v>
      </c>
      <c r="E52" t="s">
        <v>1008</v>
      </c>
      <c r="F52">
        <v>3</v>
      </c>
      <c r="G52">
        <v>272.33999999999997</v>
      </c>
      <c r="H52">
        <v>0</v>
      </c>
      <c r="J52" t="s">
        <v>1010</v>
      </c>
      <c r="L52" t="s">
        <v>1011</v>
      </c>
    </row>
    <row r="53" spans="1:12" x14ac:dyDescent="0.2">
      <c r="A53" s="174">
        <v>46048.599028067132</v>
      </c>
      <c r="B53" t="s">
        <v>675</v>
      </c>
      <c r="C53" t="str">
        <f>VLOOKUP(B53,Produtos!$A:$E,5,FALSE)</f>
        <v>Sabonete em Barra Kaiak Corpo e Barba 1x90g Caixa</v>
      </c>
      <c r="D53" t="s">
        <v>1007</v>
      </c>
      <c r="E53" t="s">
        <v>1008</v>
      </c>
      <c r="F53">
        <v>2</v>
      </c>
      <c r="G53">
        <v>8.4700000000000006</v>
      </c>
      <c r="H53">
        <v>0</v>
      </c>
      <c r="J53" t="s">
        <v>1010</v>
      </c>
      <c r="L53" t="s">
        <v>1011</v>
      </c>
    </row>
    <row r="54" spans="1:12" x14ac:dyDescent="0.2">
      <c r="A54" s="174">
        <v>46050.599028067132</v>
      </c>
      <c r="B54" t="s">
        <v>497</v>
      </c>
      <c r="C54" t="str">
        <f>VLOOKUP(B54,Produtos!$A:$E,5,FALSE)</f>
        <v>Desodorante Coporal Essencial Masculino 100ml Refil</v>
      </c>
      <c r="D54" t="s">
        <v>1007</v>
      </c>
      <c r="E54" t="s">
        <v>1008</v>
      </c>
      <c r="F54">
        <v>3</v>
      </c>
      <c r="G54">
        <v>67.41</v>
      </c>
      <c r="H54">
        <v>0</v>
      </c>
      <c r="J54" t="s">
        <v>1010</v>
      </c>
      <c r="L54" t="s">
        <v>1011</v>
      </c>
    </row>
    <row r="55" spans="1:12" x14ac:dyDescent="0.2">
      <c r="A55" s="174">
        <v>46051.599028067132</v>
      </c>
      <c r="B55" t="s">
        <v>650</v>
      </c>
      <c r="C55" t="str">
        <f>VLOOKUP(B55,Produtos!$A:$E,5,FALSE)</f>
        <v>Sabonete Loquido em Gel Kaiak Masculino 200ml Frasco</v>
      </c>
      <c r="D55" t="s">
        <v>1007</v>
      </c>
      <c r="E55" t="s">
        <v>1008</v>
      </c>
      <c r="F55">
        <v>3</v>
      </c>
      <c r="G55">
        <v>34.79</v>
      </c>
      <c r="H55">
        <v>0</v>
      </c>
      <c r="J55" t="s">
        <v>1010</v>
      </c>
      <c r="L55" t="s">
        <v>1011</v>
      </c>
    </row>
    <row r="56" spans="1:12" x14ac:dyDescent="0.2">
      <c r="A56" s="174">
        <v>46052.599028067132</v>
      </c>
      <c r="B56" t="s">
        <v>658</v>
      </c>
      <c r="C56" t="str">
        <f>VLOOKUP(B56,Produtos!$A:$E,5,FALSE)</f>
        <v>Desodorante Corporal Kaiak Masculino 100ml Refil</v>
      </c>
      <c r="D56" t="s">
        <v>1007</v>
      </c>
      <c r="E56" t="s">
        <v>1008</v>
      </c>
      <c r="F56">
        <v>3</v>
      </c>
      <c r="G56">
        <v>49.34</v>
      </c>
      <c r="H56">
        <v>0</v>
      </c>
      <c r="J56" t="s">
        <v>1010</v>
      </c>
      <c r="L56" t="s">
        <v>1011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2.75" x14ac:dyDescent="0.2"/>
  <sheetData>
    <row r="1" spans="1:6" x14ac:dyDescent="0.2">
      <c r="A1" s="175" t="s">
        <v>1016</v>
      </c>
      <c r="B1" s="175" t="s">
        <v>5</v>
      </c>
      <c r="C1" s="175" t="s">
        <v>1017</v>
      </c>
      <c r="D1" s="175" t="s">
        <v>1018</v>
      </c>
      <c r="E1" s="175" t="s">
        <v>1019</v>
      </c>
      <c r="F1" s="175" t="s">
        <v>1001</v>
      </c>
    </row>
    <row r="2" spans="1:6" x14ac:dyDescent="0.2">
      <c r="A2" t="s">
        <v>1020</v>
      </c>
      <c r="B2" t="s">
        <v>1021</v>
      </c>
      <c r="C2" t="s">
        <v>1022</v>
      </c>
      <c r="D2" t="s">
        <v>1023</v>
      </c>
      <c r="E2" t="s">
        <v>1024</v>
      </c>
      <c r="F2" t="s">
        <v>1025</v>
      </c>
    </row>
    <row r="3" spans="1:6" x14ac:dyDescent="0.2">
      <c r="A3" t="s">
        <v>1026</v>
      </c>
      <c r="B3" t="s">
        <v>1027</v>
      </c>
      <c r="C3" t="s">
        <v>1028</v>
      </c>
      <c r="D3" t="s">
        <v>1029</v>
      </c>
      <c r="E3" t="s">
        <v>1030</v>
      </c>
      <c r="F3" t="s">
        <v>1031</v>
      </c>
    </row>
    <row r="4" spans="1:6" x14ac:dyDescent="0.2">
      <c r="A4" t="s">
        <v>1032</v>
      </c>
      <c r="B4" t="s">
        <v>1033</v>
      </c>
      <c r="C4" t="s">
        <v>1034</v>
      </c>
      <c r="D4" t="s">
        <v>1034</v>
      </c>
      <c r="E4" t="s">
        <v>1035</v>
      </c>
      <c r="F4" t="s">
        <v>1036</v>
      </c>
    </row>
    <row r="5" spans="1:6" x14ac:dyDescent="0.2">
      <c r="A5" t="s">
        <v>1037</v>
      </c>
      <c r="B5" t="s">
        <v>1038</v>
      </c>
      <c r="F5" t="s">
        <v>1039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A24" sqref="A24"/>
    </sheetView>
  </sheetViews>
  <sheetFormatPr defaultRowHeight="12.75" x14ac:dyDescent="0.2"/>
  <cols>
    <col min="1" max="1" width="49.140625" style="144" customWidth="1"/>
    <col min="2" max="2" width="28.140625" style="144" customWidth="1"/>
  </cols>
  <sheetData>
    <row r="1" spans="1:2" ht="18" customHeight="1" x14ac:dyDescent="0.25">
      <c r="A1" s="110" t="s">
        <v>1040</v>
      </c>
      <c r="B1" s="176">
        <f>SUMIFS(Movimento!H:H, Movimento!E:E, "SAÍDA", Movimento!J:J, "PAGO")</f>
        <v>75.900000000000006</v>
      </c>
    </row>
    <row r="2" spans="1:2" ht="18" customHeight="1" x14ac:dyDescent="0.25">
      <c r="A2" s="110" t="s">
        <v>1041</v>
      </c>
      <c r="B2" s="177">
        <f>SUMIFS(Movimento!G:G, Movimento!E:E, "SAÍDA") * -1</f>
        <v>64</v>
      </c>
    </row>
    <row r="3" spans="1:2" ht="18" customHeight="1" x14ac:dyDescent="0.25">
      <c r="A3" s="110" t="s">
        <v>1042</v>
      </c>
      <c r="B3" s="177">
        <f>B1 - B2</f>
        <v>11.900000000000006</v>
      </c>
    </row>
    <row r="4" spans="1:2" ht="18" customHeight="1" x14ac:dyDescent="0.25">
      <c r="A4" s="110" t="s">
        <v>1043</v>
      </c>
      <c r="B4" s="112">
        <f>(B3 / B1)</f>
        <v>0.15678524374176556</v>
      </c>
    </row>
    <row r="5" spans="1:2" ht="18" customHeight="1" x14ac:dyDescent="0.25">
      <c r="A5" s="110" t="s">
        <v>1044</v>
      </c>
      <c r="B5" s="111">
        <f>SUMIFS(Movimento!F:F, Movimento!J:J, "A RECEBER") * -1</f>
        <v>0</v>
      </c>
    </row>
    <row r="6" spans="1:2" ht="18" customHeight="1" x14ac:dyDescent="0.25">
      <c r="A6" s="110" t="s">
        <v>1045</v>
      </c>
      <c r="B6" s="177">
        <f>SUMIFS(Movimento!H:H, Movimento!J:J, "A RECEBER")</f>
        <v>0</v>
      </c>
    </row>
    <row r="7" spans="1:2" ht="18" customHeight="1" x14ac:dyDescent="0.25">
      <c r="A7" s="110" t="s">
        <v>1046</v>
      </c>
      <c r="B7" s="111">
        <f>SUM(Movimento!F:F)</f>
        <v>117</v>
      </c>
    </row>
    <row r="8" spans="1:2" ht="18" customHeight="1" x14ac:dyDescent="0.25">
      <c r="A8" s="110" t="s">
        <v>1047</v>
      </c>
      <c r="B8" s="177">
        <f>SUM(Movimento!G:G)</f>
        <v>3732.7299999999996</v>
      </c>
    </row>
    <row r="9" spans="1:2" ht="18" customHeight="1" x14ac:dyDescent="0.25">
      <c r="A9" s="110" t="s">
        <v>1048</v>
      </c>
      <c r="B9" s="177">
        <f>B1- B8</f>
        <v>-3656.8299999999995</v>
      </c>
    </row>
  </sheetData>
  <conditionalFormatting sqref="B9">
    <cfRule type="cellIs" dxfId="1" priority="3" operator="lessThan">
      <formula>0</formula>
    </cfRule>
    <cfRule type="cellIs" dxfId="0" priority="4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Produtos</vt:lpstr>
      <vt:lpstr>Movimento</vt:lpstr>
      <vt:lpstr>Clientes</vt:lpstr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Yudji Kondo</cp:lastModifiedBy>
  <dcterms:created xsi:type="dcterms:W3CDTF">2025-08-12T18:12:27Z</dcterms:created>
  <dcterms:modified xsi:type="dcterms:W3CDTF">2025-12-26T23:00:34Z</dcterms:modified>
</cp:coreProperties>
</file>