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Movimento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Relatori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&quot;\ #,##0.00;[Red]\-&quot;R$&quot;\ #,##0.00"/>
    <numFmt numFmtId="165" formatCode="&quot;R$&quot;\ #,##0;[Red]\-&quot;R$&quot;\ #,##0"/>
    <numFmt numFmtId="166" formatCode="_-[$R$-416]\ * #,##0.00_-;\-[$R$-416]\ * #,##0.00_-;_-[$R$-416]\ * &quot;-&quot;??_-;_-@_-"/>
    <numFmt numFmtId="167" formatCode="_-&quot;R$&quot;\ * #,##0.00_-;\-&quot;R$&quot;\ * #,##0.00_-;_-&quot;R$&quot;\ * &quot;-&quot;??_-;_-@_-"/>
    <numFmt numFmtId="168" formatCode="yyyy\-mm\-dd\ hh:mm:ss"/>
  </numFmts>
  <fonts count="42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color rgb="FF000000"/>
      <sz val="11"/>
      <scheme val="minor"/>
    </font>
    <font>
      <name val="Arial"/>
      <b val="1"/>
      <color theme="1"/>
      <sz val="11"/>
      <scheme val="minor"/>
    </font>
    <font>
      <name val="Arial"/>
      <color theme="1"/>
      <sz val="11"/>
      <scheme val="minor"/>
    </font>
    <font>
      <name val="Arial"/>
      <family val="2"/>
      <color rgb="FF000000"/>
      <sz val="11"/>
      <scheme val="minor"/>
    </font>
    <font>
      <name val="Arial"/>
      <b val="1"/>
      <color rgb="FF000000"/>
      <sz val="11"/>
      <scheme val="minor"/>
    </font>
    <font>
      <name val="Arial"/>
      <charset val="1"/>
      <color rgb="FF000000"/>
      <sz val="11"/>
    </font>
    <font>
      <name val="Arial"/>
      <color rgb="FFFF0000"/>
      <sz val="10"/>
      <scheme val="minor"/>
    </font>
    <font>
      <name val="Arial"/>
      <color rgb="FFFF0000"/>
      <sz val="11"/>
      <scheme val="minor"/>
    </font>
    <font>
      <name val="Arial"/>
      <color theme="0"/>
      <sz val="12"/>
      <scheme val="minor"/>
    </font>
    <font>
      <name val="Arial"/>
      <color theme="0"/>
      <sz val="10"/>
      <scheme val="minor"/>
    </font>
    <font>
      <name val="Arial"/>
      <color theme="1"/>
      <sz val="11"/>
      <scheme val="major"/>
    </font>
    <font>
      <name val="Arial"/>
      <color rgb="FF000000"/>
      <sz val="11"/>
      <scheme val="major"/>
    </font>
    <font>
      <name val="Arial"/>
      <charset val="1"/>
      <family val="2"/>
      <color theme="1"/>
      <sz val="11"/>
    </font>
    <font>
      <name val="Arial"/>
      <color theme="1"/>
      <sz val="12"/>
      <scheme val="major"/>
    </font>
    <font>
      <name val="Arial"/>
      <color rgb="FF242424"/>
      <sz val="11"/>
      <scheme val="major"/>
    </font>
    <font>
      <name val="Arial"/>
      <color rgb="FF000000"/>
      <sz val="11"/>
    </font>
    <font>
      <name val="Arial"/>
      <color rgb="FF000000"/>
      <sz val="12"/>
      <scheme val="major"/>
    </font>
    <font>
      <name val="Arial"/>
      <color rgb="FF040C28"/>
      <sz val="12"/>
      <scheme val="minor"/>
    </font>
    <font>
      <name val="Arial"/>
      <color rgb="FF1A1313"/>
      <sz val="11"/>
      <scheme val="minor"/>
    </font>
    <font>
      <name val="Arial"/>
      <family val="2"/>
      <b val="1"/>
      <color theme="1"/>
      <sz val="11"/>
      <scheme val="minor"/>
    </font>
    <font>
      <name val="Arial"/>
      <b val="1"/>
      <color rgb="FF000000"/>
      <sz val="11"/>
      <scheme val="major"/>
    </font>
    <font>
      <name val="Arial"/>
      <family val="2"/>
      <b val="1"/>
      <color rgb="FF000000"/>
      <sz val="11"/>
      <scheme val="minor"/>
    </font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11"/>
    </font>
    <font>
      <name val="Bahnschrift SemiBold SemiConden"/>
      <family val="2"/>
      <color theme="3" tint="0.1499984740745262"/>
      <sz val="14"/>
    </font>
    <font>
      <name val="Arial"/>
      <family val="2"/>
      <color rgb="FF000000"/>
      <sz val="14"/>
      <scheme val="minor"/>
    </font>
    <font>
      <name val="Arial"/>
      <b val="1"/>
      <sz val="10"/>
    </font>
    <font>
      <name val="Arial"/>
      <b val="1"/>
      <sz val="10"/>
    </font>
    <font>
      <b val="1"/>
    </font>
  </fonts>
  <fills count="29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"/>
      </left>
      <right/>
      <top style="thin">
        <color theme="0" tint="-0.149998474074526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7">
    <xf numFmtId="0" fontId="33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98">
    <xf numFmtId="0" fontId="0" fillId="0" borderId="0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13" fillId="3" borderId="3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3" fillId="5" borderId="5" applyAlignment="1" pivotButton="0" quotePrefix="0" xfId="0">
      <alignment horizontal="center"/>
    </xf>
    <xf numFmtId="0" fontId="13" fillId="7" borderId="3" applyAlignment="1" pivotButton="0" quotePrefix="0" xfId="0">
      <alignment horizontal="center"/>
    </xf>
    <xf numFmtId="0" fontId="13" fillId="8" borderId="3" applyAlignment="1" pivotButton="0" quotePrefix="0" xfId="0">
      <alignment horizontal="center"/>
    </xf>
    <xf numFmtId="0" fontId="0" fillId="8" borderId="0" pivotButton="0" quotePrefix="0" xfId="0"/>
    <xf numFmtId="0" fontId="11" fillId="0" borderId="3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13" fillId="0" borderId="9" applyAlignment="1" pivotButton="0" quotePrefix="0" xfId="0">
      <alignment horizontal="center"/>
    </xf>
    <xf numFmtId="0" fontId="13" fillId="8" borderId="9" applyAlignment="1" pivotButton="0" quotePrefix="0" xfId="0">
      <alignment horizontal="center"/>
    </xf>
    <xf numFmtId="0" fontId="13" fillId="9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0" fillId="8" borderId="3" pivotButton="0" quotePrefix="0" xfId="0"/>
    <xf numFmtId="0" fontId="0" fillId="12" borderId="0" pivotButton="0" quotePrefix="0" xfId="0"/>
    <xf numFmtId="0" fontId="12" fillId="8" borderId="0" applyAlignment="1" pivotButton="0" quotePrefix="0" xfId="0">
      <alignment horizontal="center" vertical="top"/>
    </xf>
    <xf numFmtId="0" fontId="11" fillId="8" borderId="3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3" fillId="8" borderId="3" applyAlignment="1" pivotButton="0" quotePrefix="0" xfId="0">
      <alignment horizontal="center"/>
    </xf>
    <xf numFmtId="0" fontId="23" fillId="8" borderId="8" applyAlignment="1" pivotButton="0" quotePrefix="0" xfId="0">
      <alignment horizontal="center"/>
    </xf>
    <xf numFmtId="0" fontId="23" fillId="8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23" fillId="8" borderId="1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8" borderId="11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8" fillId="8" borderId="3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5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/>
    </xf>
    <xf numFmtId="0" fontId="11" fillId="0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3" fillId="8" borderId="13" applyAlignment="1" pivotButton="0" quotePrefix="0" xfId="0">
      <alignment horizontal="center"/>
    </xf>
    <xf numFmtId="0" fontId="13" fillId="0" borderId="14" applyAlignment="1" pivotButton="0" quotePrefix="0" xfId="0">
      <alignment horizontal="center"/>
    </xf>
    <xf numFmtId="0" fontId="13" fillId="0" borderId="15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8" borderId="4" applyAlignment="1" pivotButton="0" quotePrefix="0" xfId="0">
      <alignment horizontal="center"/>
    </xf>
    <xf numFmtId="0" fontId="21" fillId="0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17" fillId="8" borderId="3" pivotButton="0" quotePrefix="0" xfId="0"/>
    <xf numFmtId="0" fontId="18" fillId="8" borderId="3" applyAlignment="1" pivotButton="0" quotePrefix="0" xfId="0">
      <alignment horizontal="center"/>
    </xf>
    <xf numFmtId="0" fontId="17" fillId="8" borderId="0" pivotButton="0" quotePrefix="0" xfId="0"/>
    <xf numFmtId="0" fontId="29" fillId="8" borderId="3" applyAlignment="1" pivotButton="0" quotePrefix="0" xfId="0">
      <alignment horizontal="center"/>
    </xf>
    <xf numFmtId="0" fontId="11" fillId="0" borderId="3" pivotButton="0" quotePrefix="0" xfId="0"/>
    <xf numFmtId="0" fontId="30" fillId="8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30" fillId="0" borderId="3" applyAlignment="1" pivotButton="0" quotePrefix="0" xfId="0">
      <alignment horizontal="center"/>
    </xf>
    <xf numFmtId="0" fontId="12" fillId="5" borderId="3" applyAlignment="1" pivotButton="0" quotePrefix="0" xfId="0">
      <alignment horizontal="center"/>
    </xf>
    <xf numFmtId="0" fontId="12" fillId="8" borderId="3" applyAlignment="1" pivotButton="0" quotePrefix="0" xfId="0">
      <alignment horizontal="center"/>
    </xf>
    <xf numFmtId="0" fontId="15" fillId="8" borderId="3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8" fillId="4" borderId="3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8" fillId="11" borderId="3" applyAlignment="1" pivotButton="0" quotePrefix="0" xfId="0">
      <alignment horizontal="center"/>
    </xf>
    <xf numFmtId="0" fontId="8" fillId="13" borderId="3" applyAlignment="1" pivotButton="0" quotePrefix="0" xfId="0">
      <alignment horizontal="center"/>
    </xf>
    <xf numFmtId="0" fontId="8" fillId="14" borderId="3" applyAlignment="1" pivotButton="0" quotePrefix="0" xfId="0">
      <alignment horizontal="center"/>
    </xf>
    <xf numFmtId="0" fontId="8" fillId="16" borderId="3" applyAlignment="1" pivotButton="0" quotePrefix="0" xfId="0">
      <alignment horizontal="center"/>
    </xf>
    <xf numFmtId="0" fontId="19" fillId="15" borderId="3" applyAlignment="1" pivotButton="0" quotePrefix="0" xfId="0">
      <alignment horizontal="center"/>
    </xf>
    <xf numFmtId="0" fontId="20" fillId="17" borderId="3" applyAlignment="1" pivotButton="0" quotePrefix="0" xfId="0">
      <alignment horizontal="center"/>
    </xf>
    <xf numFmtId="0" fontId="20" fillId="18" borderId="3" applyAlignment="1" pivotButton="0" quotePrefix="0" xfId="0">
      <alignment horizontal="center"/>
    </xf>
    <xf numFmtId="0" fontId="8" fillId="21" borderId="3" applyAlignment="1" pivotButton="0" quotePrefix="0" xfId="0">
      <alignment horizontal="center"/>
    </xf>
    <xf numFmtId="0" fontId="8" fillId="22" borderId="3" applyAlignment="1" pivotButton="0" quotePrefix="0" xfId="0">
      <alignment horizontal="center"/>
    </xf>
    <xf numFmtId="0" fontId="0" fillId="24" borderId="3" applyAlignment="1" pivotButton="0" quotePrefix="0" xfId="0">
      <alignment horizontal="center"/>
    </xf>
    <xf numFmtId="0" fontId="0" fillId="25" borderId="3" applyAlignment="1" pivotButton="0" quotePrefix="0" xfId="0">
      <alignment horizontal="center"/>
    </xf>
    <xf numFmtId="0" fontId="0" fillId="26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8" borderId="3" applyAlignment="1" pivotButton="0" quotePrefix="0" xfId="0">
      <alignment horizontal="center"/>
    </xf>
    <xf numFmtId="0" fontId="7" fillId="8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8" borderId="3" applyAlignment="1" pivotButton="0" quotePrefix="0" xfId="0">
      <alignment horizontal="center" vertical="center"/>
    </xf>
    <xf numFmtId="0" fontId="32" fillId="8" borderId="3" applyAlignment="1" pivotButton="0" quotePrefix="0" xfId="0">
      <alignment horizontal="center"/>
    </xf>
    <xf numFmtId="0" fontId="10" fillId="16" borderId="3" applyAlignment="1" pivotButton="0" quotePrefix="0" xfId="0">
      <alignment horizontal="center"/>
    </xf>
    <xf numFmtId="0" fontId="32" fillId="0" borderId="3" applyAlignment="1" pivotButton="0" quotePrefix="0" xfId="0">
      <alignment horizontal="center"/>
    </xf>
    <xf numFmtId="0" fontId="4" fillId="8" borderId="3" applyAlignment="1" pivotButton="0" quotePrefix="0" xfId="0">
      <alignment horizontal="center"/>
    </xf>
    <xf numFmtId="0" fontId="30" fillId="8" borderId="3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34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 vertical="center"/>
    </xf>
    <xf numFmtId="0" fontId="35" fillId="19" borderId="0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/>
    </xf>
    <xf numFmtId="0" fontId="36" fillId="2" borderId="16" applyAlignment="1" pivotButton="0" quotePrefix="0" xfId="0">
      <alignment horizontal="center"/>
    </xf>
    <xf numFmtId="0" fontId="37" fillId="28" borderId="0" pivotButton="0" quotePrefix="0" xfId="0"/>
    <xf numFmtId="0" fontId="38" fillId="0" borderId="0" pivotButton="0" quotePrefix="0" xfId="0"/>
    <xf numFmtId="9" fontId="38" fillId="0" borderId="0" pivotButton="0" quotePrefix="0" xfId="1"/>
    <xf numFmtId="0" fontId="34" fillId="2" borderId="0" pivotButton="0" quotePrefix="0" xfId="0"/>
    <xf numFmtId="0" fontId="0" fillId="0" borderId="0" applyAlignment="1" pivotButton="0" quotePrefix="0" xfId="0">
      <alignment wrapText="1"/>
    </xf>
    <xf numFmtId="0" fontId="39" fillId="0" borderId="17" applyAlignment="1" pivotButton="0" quotePrefix="0" xfId="0">
      <alignment horizontal="center" vertical="top"/>
    </xf>
    <xf numFmtId="0" fontId="9" fillId="23" borderId="3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0" fillId="2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31" fillId="8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3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2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24" fillId="0" borderId="0" applyAlignment="1" pivotButton="0" quotePrefix="0" xfId="0">
      <alignment horizontal="center"/>
    </xf>
    <xf numFmtId="0" fontId="23" fillId="0" borderId="0" pivotButton="0" quotePrefix="0" xfId="0"/>
    <xf numFmtId="0" fontId="27" fillId="20" borderId="0" applyAlignment="1" pivotButton="0" quotePrefix="0" xfId="0">
      <alignment horizontal="center" wrapText="1"/>
    </xf>
    <xf numFmtId="0" fontId="25" fillId="0" borderId="0" pivotButton="0" quotePrefix="0" xfId="0"/>
    <xf numFmtId="0" fontId="0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center"/>
    </xf>
    <xf numFmtId="164" fontId="11" fillId="8" borderId="0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165" fontId="14" fillId="0" borderId="3" applyAlignment="1" pivotButton="0" quotePrefix="0" xfId="0">
      <alignment horizontal="center"/>
    </xf>
    <xf numFmtId="164" fontId="11" fillId="0" borderId="6" applyAlignment="1" pivotButton="0" quotePrefix="0" xfId="0">
      <alignment horizontal="center"/>
    </xf>
    <xf numFmtId="164" fontId="11" fillId="0" borderId="8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164" fontId="13" fillId="5" borderId="3" applyAlignment="1" pivotButton="0" quotePrefix="0" xfId="0">
      <alignment horizontal="center"/>
    </xf>
    <xf numFmtId="164" fontId="13" fillId="0" borderId="3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1" fillId="0" borderId="5" applyAlignment="1" pivotButton="0" quotePrefix="0" xfId="0">
      <alignment horizontal="center" vertical="center"/>
    </xf>
    <xf numFmtId="164" fontId="13" fillId="8" borderId="3" applyAlignment="1" pivotButton="0" quotePrefix="0" xfId="0">
      <alignment horizontal="center"/>
    </xf>
    <xf numFmtId="164" fontId="11" fillId="8" borderId="3" applyAlignment="1" pivotButton="0" quotePrefix="0" xfId="0">
      <alignment horizontal="center"/>
    </xf>
    <xf numFmtId="164" fontId="11" fillId="0" borderId="4" applyAlignment="1" pivotButton="0" quotePrefix="0" xfId="0">
      <alignment horizontal="center"/>
    </xf>
    <xf numFmtId="165" fontId="11" fillId="0" borderId="3" applyAlignment="1" pivotButton="0" quotePrefix="0" xfId="0">
      <alignment horizontal="center"/>
    </xf>
    <xf numFmtId="0" fontId="40" fillId="0" borderId="18" applyAlignment="1" pivotButton="0" quotePrefix="0" xfId="0">
      <alignment horizontal="center" vertical="top"/>
    </xf>
    <xf numFmtId="166" fontId="38" fillId="0" borderId="0" pivotButton="0" quotePrefix="0" xfId="0"/>
    <xf numFmtId="167" fontId="38" fillId="0" borderId="0" pivotButton="0" quotePrefix="0" xfId="2"/>
    <xf numFmtId="168" fontId="0" fillId="0" borderId="0" pivotButton="0" quotePrefix="0" xfId="0"/>
    <xf numFmtId="0" fontId="39" fillId="0" borderId="18" applyAlignment="1" pivotButton="0" quotePrefix="0" xfId="0">
      <alignment horizontal="center" vertical="top"/>
    </xf>
    <xf numFmtId="0" fontId="9" fillId="0" borderId="0" pivotButton="0" quotePrefix="0" xfId="0"/>
    <xf numFmtId="164" fontId="11" fillId="0" borderId="0" applyAlignment="1" pivotButton="0" quotePrefix="0" xfId="0">
      <alignment horizontal="center"/>
    </xf>
    <xf numFmtId="164" fontId="11" fillId="8" borderId="0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165" fontId="14" fillId="0" borderId="3" applyAlignment="1" pivotButton="0" quotePrefix="0" xfId="0">
      <alignment horizontal="center"/>
    </xf>
    <xf numFmtId="164" fontId="11" fillId="0" borderId="6" applyAlignment="1" pivotButton="0" quotePrefix="0" xfId="0">
      <alignment horizontal="center"/>
    </xf>
    <xf numFmtId="164" fontId="11" fillId="0" borderId="8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164" fontId="13" fillId="5" borderId="3" applyAlignment="1" pivotButton="0" quotePrefix="0" xfId="0">
      <alignment horizontal="center"/>
    </xf>
    <xf numFmtId="164" fontId="13" fillId="0" borderId="3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1" fillId="0" borderId="5" applyAlignment="1" pivotButton="0" quotePrefix="0" xfId="0">
      <alignment horizontal="center" vertical="center"/>
    </xf>
    <xf numFmtId="164" fontId="13" fillId="8" borderId="3" applyAlignment="1" pivotButton="0" quotePrefix="0" xfId="0">
      <alignment horizontal="center"/>
    </xf>
    <xf numFmtId="164" fontId="11" fillId="8" borderId="3" applyAlignment="1" pivotButton="0" quotePrefix="0" xfId="0">
      <alignment horizontal="center"/>
    </xf>
    <xf numFmtId="164" fontId="11" fillId="0" borderId="4" applyAlignment="1" pivotButton="0" quotePrefix="0" xfId="0">
      <alignment horizontal="center"/>
    </xf>
    <xf numFmtId="165" fontId="11" fillId="0" borderId="3" applyAlignment="1" pivotButton="0" quotePrefix="0" xfId="0">
      <alignment horizontal="center"/>
    </xf>
    <xf numFmtId="168" fontId="0" fillId="0" borderId="0" pivotButton="0" quotePrefix="0" xfId="0"/>
    <xf numFmtId="0" fontId="41" fillId="0" borderId="19" applyAlignment="1" pivotButton="0" quotePrefix="0" xfId="0">
      <alignment horizontal="center" vertical="top"/>
    </xf>
    <xf numFmtId="166" fontId="38" fillId="0" borderId="0" pivotButton="0" quotePrefix="0" xfId="0"/>
    <xf numFmtId="167" fontId="38" fillId="0" borderId="0" pivotButton="0" quotePrefix="0" xfId="2"/>
  </cellXfs>
  <cellStyles count="7">
    <cellStyle name="Normal" xfId="0" builtinId="0"/>
    <cellStyle name="Porcentagem" xfId="1" builtinId="5"/>
    <cellStyle name="Moeda" xfId="2" builtinId="4"/>
    <cellStyle name="Porcentagem 2" xfId="3"/>
    <cellStyle name="Moeda 2" xfId="4"/>
    <cellStyle name="Normal 2" xfId="5"/>
    <cellStyle name="Normal 3" xfId="6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546"/>
  <sheetViews>
    <sheetView topLeftCell="A11" zoomScale="85" zoomScaleNormal="85" workbookViewId="0">
      <selection activeCell="E24" sqref="E24"/>
    </sheetView>
  </sheetViews>
  <sheetFormatPr baseColWidth="8" defaultColWidth="12.5703125" defaultRowHeight="15.75" customHeight="1"/>
  <cols>
    <col width="19.7109375" customWidth="1" style="145" min="1" max="1"/>
    <col width="20.42578125" customWidth="1" style="143" min="2" max="2"/>
    <col width="15" customWidth="1" style="131" min="3" max="3"/>
    <col width="44.140625" customWidth="1" style="120" min="4" max="4"/>
    <col width="97.28515625" customWidth="1" style="124" min="5" max="5"/>
    <col width="66.42578125" customWidth="1" style="124" min="6" max="6"/>
    <col width="10.42578125" customWidth="1" style="38" min="7" max="7"/>
    <col width="15.85546875" customWidth="1" style="124" min="8" max="8"/>
    <col width="9.42578125" customWidth="1" style="125" min="9" max="9"/>
    <col width="182.42578125" customWidth="1" style="124" min="10" max="10"/>
    <col width="18.140625" customWidth="1" style="124" min="11" max="11"/>
    <col width="18.85546875" customWidth="1" style="145" min="12" max="12"/>
    <col width="24.5703125" customWidth="1" style="145" min="14" max="14"/>
  </cols>
  <sheetData>
    <row r="1" ht="15" customHeight="1" s="145">
      <c r="A1" s="104" t="inlineStr">
        <is>
          <t>COD</t>
        </is>
      </c>
      <c r="B1" s="104" t="inlineStr">
        <is>
          <t>Marca</t>
        </is>
      </c>
      <c r="C1" s="105" t="inlineStr">
        <is>
          <t>Coleção</t>
        </is>
      </c>
      <c r="D1" s="106" t="inlineStr">
        <is>
          <t>Categoria</t>
        </is>
      </c>
      <c r="E1" s="106" t="inlineStr">
        <is>
          <t>Produto</t>
        </is>
      </c>
      <c r="F1" s="106" t="inlineStr">
        <is>
          <t>Nome</t>
        </is>
      </c>
      <c r="G1" s="107" t="inlineStr">
        <is>
          <t>Unidade</t>
        </is>
      </c>
      <c r="H1" s="108" t="inlineStr">
        <is>
          <t>Volume</t>
        </is>
      </c>
      <c r="I1" s="106" t="inlineStr">
        <is>
          <t>Tipo</t>
        </is>
      </c>
      <c r="J1" s="109" t="inlineStr">
        <is>
          <t>Descrição</t>
        </is>
      </c>
      <c r="K1" s="106" t="inlineStr">
        <is>
          <t>Preço Custo</t>
        </is>
      </c>
      <c r="L1" s="104" t="inlineStr">
        <is>
          <t>Preço Venda</t>
        </is>
      </c>
      <c r="M1" s="105" t="inlineStr">
        <is>
          <t>Estoque</t>
        </is>
      </c>
      <c r="N1" s="113" t="inlineStr">
        <is>
          <t>Status estoque</t>
        </is>
      </c>
    </row>
    <row r="2" ht="15" customHeight="1" s="145">
      <c r="A2" t="inlineStr">
        <is>
          <t>NATBRA-2816</t>
        </is>
      </c>
      <c r="B2" s="63" t="inlineStr">
        <is>
          <t>Natura</t>
        </is>
      </c>
      <c r="C2" s="118" t="inlineStr">
        <is>
          <t>Tododia</t>
        </is>
      </c>
      <c r="D2" s="132" t="inlineStr">
        <is>
          <t>Hidrante Desodorante Corporal</t>
        </is>
      </c>
      <c r="E2" s="136">
        <f>TRIM(CONCATENATE(D2, " ", C2, " ", F2, " ", IF(G2&gt;0, G2 &amp; "x" &amp; H2, H2), " ", I2))</f>
        <v/>
      </c>
      <c r="F2" s="121" t="inlineStr">
        <is>
          <t>Algodão</t>
        </is>
      </c>
      <c r="G2" s="131" t="n"/>
      <c r="H2" s="121" t="inlineStr">
        <is>
          <t>400ml</t>
        </is>
      </c>
      <c r="I2" s="126" t="inlineStr">
        <is>
          <t>Frasco</t>
        </is>
      </c>
      <c r="J2" s="132" t="inlineStr">
        <is>
          <t xml:space="preserve">Desodorante / nutritivo / creme </t>
        </is>
      </c>
      <c r="K2" s="178" t="n">
        <v>64</v>
      </c>
      <c r="L2" s="178" t="n">
        <v>75.90000000000001</v>
      </c>
      <c r="M2" s="114">
        <f>SUMIF(Movimento!B:B, A2, Movimento!F:F)</f>
        <v/>
      </c>
      <c r="N2">
        <f>IF(M2=0,"Falta Pedir!",IF(M2&lt;=3,"Baixo Estoque","Em Estoque"))</f>
        <v/>
      </c>
    </row>
    <row r="3" ht="15" customHeight="1" s="145">
      <c r="B3" s="63" t="inlineStr">
        <is>
          <t>Natura</t>
        </is>
      </c>
      <c r="C3" s="118" t="inlineStr">
        <is>
          <t>Tododia</t>
        </is>
      </c>
      <c r="D3" s="132" t="inlineStr">
        <is>
          <t>Hidrante Desodorante Corporal</t>
        </is>
      </c>
      <c r="E3" s="136">
        <f>TRIM(CONCATENATE(D3, " ", C3, " ", F3, " ", IF(G3&gt;0, G3 &amp; "x" &amp; H3, H3), " ", I3))</f>
        <v/>
      </c>
      <c r="F3" s="121" t="inlineStr">
        <is>
          <t xml:space="preserve">Ameixa e Flor de Baunilha </t>
        </is>
      </c>
      <c r="G3" s="131" t="n"/>
      <c r="H3" s="121" t="inlineStr">
        <is>
          <t>400ml</t>
        </is>
      </c>
      <c r="I3" s="126" t="inlineStr">
        <is>
          <t>Frasco</t>
        </is>
      </c>
      <c r="J3" s="119" t="inlineStr">
        <is>
          <t>Suave de Algodão \ Nutritivo</t>
        </is>
      </c>
      <c r="K3" s="178" t="n"/>
      <c r="L3" s="178" t="n">
        <v>75.90000000000001</v>
      </c>
      <c r="M3" s="114">
        <f>SUMIF(Movimento!B:B, A3, Movimento!F:F)</f>
        <v/>
      </c>
      <c r="N3">
        <f>IF(M3=0,"Falta Pedir!",IF(M3&lt;=3,"Baixo Estoque","Em Estoque"))</f>
        <v/>
      </c>
    </row>
    <row r="4" ht="15" customHeight="1" s="145">
      <c r="B4" s="63" t="inlineStr">
        <is>
          <t>Natura</t>
        </is>
      </c>
      <c r="C4" s="118" t="inlineStr">
        <is>
          <t>Tododia</t>
        </is>
      </c>
      <c r="D4" s="132" t="inlineStr">
        <is>
          <t>Hidrante Desodorante Corporal</t>
        </is>
      </c>
      <c r="E4" s="136">
        <f>TRIM(CONCATENATE(D4, " ", C4, " ", F4, " ", IF(G4&gt;0, G4 &amp; "x" &amp; H4, H4), " ", I4))</f>
        <v/>
      </c>
      <c r="F4" s="121" t="inlineStr">
        <is>
          <t>Acerola e Hibisco</t>
        </is>
      </c>
      <c r="G4" s="131" t="n"/>
      <c r="H4" s="121" t="inlineStr">
        <is>
          <t>400ml</t>
        </is>
      </c>
      <c r="I4" s="126" t="inlineStr">
        <is>
          <t>Frasco</t>
        </is>
      </c>
      <c r="J4" s="119" t="inlineStr">
        <is>
          <t>Refrescante /  Gelado</t>
        </is>
      </c>
      <c r="K4" s="178" t="n"/>
      <c r="L4" s="178" t="n">
        <v>75.90000000000001</v>
      </c>
    </row>
    <row r="5" ht="15" customHeight="1" s="145">
      <c r="B5" s="63" t="inlineStr">
        <is>
          <t>Natura</t>
        </is>
      </c>
      <c r="C5" s="118" t="inlineStr">
        <is>
          <t>Tododia</t>
        </is>
      </c>
      <c r="D5" s="132" t="inlineStr">
        <is>
          <t>Hidrante Desodorante Corporal</t>
        </is>
      </c>
      <c r="E5" s="136">
        <f>TRIM(CONCATENATE(D5, " ", C5, " ", F5, " ", IF(G5&gt;0, G5 &amp; "x" &amp; H5, H5), " ", I5))</f>
        <v/>
      </c>
      <c r="F5" s="121" t="inlineStr">
        <is>
          <t xml:space="preserve">Amora Vermelha e Jabuticaba </t>
        </is>
      </c>
      <c r="G5" s="131" t="n"/>
      <c r="H5" s="121" t="inlineStr">
        <is>
          <t>400ml</t>
        </is>
      </c>
      <c r="I5" s="126" t="inlineStr">
        <is>
          <t>Frasco</t>
        </is>
      </c>
      <c r="J5" s="132" t="inlineStr">
        <is>
          <t xml:space="preserve">Desodorante / nutritivo / creme </t>
        </is>
      </c>
      <c r="K5" s="178" t="n"/>
      <c r="L5" s="178" t="n">
        <v>75.90000000000001</v>
      </c>
    </row>
    <row r="6" ht="15" customHeight="1" s="145">
      <c r="B6" s="63" t="inlineStr">
        <is>
          <t>Natura</t>
        </is>
      </c>
      <c r="C6" s="118" t="inlineStr">
        <is>
          <t>Tododia</t>
        </is>
      </c>
      <c r="D6" s="132" t="inlineStr">
        <is>
          <t>Hidrante Desodorante Corporal</t>
        </is>
      </c>
      <c r="E6" s="136">
        <f>TRIM(CONCATENATE(D6, " ", C6, " ", F6, " ", IF(G6&gt;0, G6 &amp; "x" &amp; H6, H6), " ", I6))</f>
        <v/>
      </c>
      <c r="F6" s="121" t="inlineStr">
        <is>
          <t>Capim Limão e Hortelã</t>
        </is>
      </c>
      <c r="G6" s="131" t="n"/>
      <c r="H6" s="121" t="inlineStr">
        <is>
          <t>400ml</t>
        </is>
      </c>
      <c r="I6" s="126" t="inlineStr">
        <is>
          <t>Frasco</t>
        </is>
      </c>
      <c r="J6" s="132" t="inlineStr">
        <is>
          <t xml:space="preserve">Desodorante / nutritivo / creme </t>
        </is>
      </c>
      <c r="K6" s="178" t="n"/>
      <c r="L6" s="178" t="n">
        <v>75.90000000000001</v>
      </c>
    </row>
    <row r="7" ht="15" customHeight="1" s="145">
      <c r="B7" s="63" t="inlineStr">
        <is>
          <t>Natura</t>
        </is>
      </c>
      <c r="C7" s="118" t="inlineStr">
        <is>
          <t>Tododia</t>
        </is>
      </c>
      <c r="D7" s="132" t="inlineStr">
        <is>
          <t>Hidrante Desodorante Corporal</t>
        </is>
      </c>
      <c r="E7" s="136">
        <f>TRIM(CONCATENATE(D7, " ", C7, " ", F7, " ", IF(G7&gt;0, G7 &amp; "x" &amp; H7, H7), " ", I7))</f>
        <v/>
      </c>
      <c r="F7" s="121" t="inlineStr">
        <is>
          <t>Cereja Negra e Praliné</t>
        </is>
      </c>
      <c r="G7" s="131" t="n"/>
      <c r="H7" s="121" t="inlineStr">
        <is>
          <t>400ml</t>
        </is>
      </c>
      <c r="I7" s="126" t="inlineStr">
        <is>
          <t>Frasco</t>
        </is>
      </c>
      <c r="J7" s="132" t="inlineStr">
        <is>
          <t xml:space="preserve">Desodorante / nutritivo / creme </t>
        </is>
      </c>
      <c r="K7" s="178" t="n"/>
      <c r="L7" s="178" t="n">
        <v>75.90000000000001</v>
      </c>
    </row>
    <row r="8" ht="15" customHeight="1" s="145">
      <c r="B8" s="63" t="inlineStr">
        <is>
          <t>Natura</t>
        </is>
      </c>
      <c r="C8" s="118" t="inlineStr">
        <is>
          <t>Tododia</t>
        </is>
      </c>
      <c r="D8" s="132" t="inlineStr">
        <is>
          <t>Hidrante Desodorante Corporal</t>
        </is>
      </c>
      <c r="E8" s="136">
        <f>TRIM(CONCATENATE(D8, " ", C8, " ", F8, " ", IF(G8&gt;0, G8 &amp; "x" &amp; H8, H8), " ", I8))</f>
        <v/>
      </c>
      <c r="F8" s="121" t="inlineStr">
        <is>
          <t>Cereja e Avela</t>
        </is>
      </c>
      <c r="G8" s="131" t="n"/>
      <c r="H8" s="121" t="inlineStr">
        <is>
          <t>400ml</t>
        </is>
      </c>
      <c r="I8" s="126" t="inlineStr">
        <is>
          <t>Frasco</t>
        </is>
      </c>
      <c r="J8" s="132" t="inlineStr">
        <is>
          <t xml:space="preserve">Desodorante / nutritivo / creme </t>
        </is>
      </c>
      <c r="K8" s="178" t="n"/>
      <c r="L8" s="178" t="n">
        <v>75.90000000000001</v>
      </c>
    </row>
    <row r="9" ht="15" customHeight="1" s="145">
      <c r="B9" s="63" t="inlineStr">
        <is>
          <t>Natura</t>
        </is>
      </c>
      <c r="C9" s="118" t="inlineStr">
        <is>
          <t>Tododia</t>
        </is>
      </c>
      <c r="D9" s="132" t="inlineStr">
        <is>
          <t>Hidrante Desodorante Corporal</t>
        </is>
      </c>
      <c r="E9" s="136">
        <f>TRIM(CONCATENATE(D9, " ", C9, " ", F9, " ", IF(G9&gt;0, G9 &amp; "x" &amp; H9, H9), " ", I9))</f>
        <v/>
      </c>
      <c r="F9" s="121" t="inlineStr">
        <is>
          <t>Cereja e Avela</t>
        </is>
      </c>
      <c r="G9" s="131" t="n"/>
      <c r="H9" s="121" t="inlineStr">
        <is>
          <t>400ml</t>
        </is>
      </c>
      <c r="I9" s="126" t="inlineStr">
        <is>
          <t>Frasco</t>
        </is>
      </c>
      <c r="J9" s="119" t="inlineStr">
        <is>
          <t>HIdrata. Noturno \ Calmante  \Chá de Camomila e Lavanda</t>
        </is>
      </c>
      <c r="K9" s="178" t="n"/>
      <c r="L9" s="178" t="n">
        <v>75.90000000000001</v>
      </c>
    </row>
    <row r="10" ht="15" customHeight="1" s="145">
      <c r="B10" s="63" t="inlineStr">
        <is>
          <t>Natura</t>
        </is>
      </c>
      <c r="C10" s="118" t="inlineStr">
        <is>
          <t>Tododia</t>
        </is>
      </c>
      <c r="D10" s="132" t="inlineStr">
        <is>
          <t>Hidrante Desodorante Corporal</t>
        </is>
      </c>
      <c r="E10" s="136">
        <f>TRIM(CONCATENATE(D10, " ", C10, " ", F10, " ", IF(G10&gt;0, G10 &amp; "x" &amp; H10, H10), " ", I10))</f>
        <v/>
      </c>
      <c r="F10" s="121" t="inlineStr">
        <is>
          <t xml:space="preserve">Todanoite </t>
        </is>
      </c>
      <c r="G10" s="131" t="n"/>
      <c r="H10" s="121" t="inlineStr">
        <is>
          <t xml:space="preserve">200ml </t>
        </is>
      </c>
      <c r="I10" s="126" t="inlineStr">
        <is>
          <t xml:space="preserve">Frasco </t>
        </is>
      </c>
      <c r="J10" s="119" t="inlineStr">
        <is>
          <t>HIdrata. Noturno \ Calmante \ Chá de Camomila e Lavanda</t>
        </is>
      </c>
      <c r="K10" s="178" t="n"/>
      <c r="L10" s="178" t="n">
        <v>87.90000000000001</v>
      </c>
    </row>
    <row r="11" ht="15" customHeight="1" s="145">
      <c r="B11" s="63" t="inlineStr">
        <is>
          <t>Natura</t>
        </is>
      </c>
      <c r="C11" s="118" t="inlineStr">
        <is>
          <t>Tododia</t>
        </is>
      </c>
      <c r="D11" s="132" t="inlineStr">
        <is>
          <t>Hidrante Desodorante Corporal</t>
        </is>
      </c>
      <c r="E11" s="136">
        <f>TRIM(CONCATENATE(D11, " ", C11, " ", F11, " ", IF(G11&gt;0, G11 &amp; "x" &amp; H11, H11), " ", I11))</f>
        <v/>
      </c>
      <c r="F11" s="121" t="inlineStr">
        <is>
          <t xml:space="preserve">Flor de Gengibre e Tangerina </t>
        </is>
      </c>
      <c r="G11" s="131" t="n"/>
      <c r="H11" s="121" t="inlineStr">
        <is>
          <t>400 ml</t>
        </is>
      </c>
      <c r="I11" s="126" t="inlineStr">
        <is>
          <t>Frasco</t>
        </is>
      </c>
      <c r="J11" s="119" t="inlineStr">
        <is>
          <t xml:space="preserve">Nutritivo Energizante </t>
        </is>
      </c>
      <c r="K11" s="178" t="n"/>
      <c r="L11" s="178" t="n">
        <v>75.90000000000001</v>
      </c>
    </row>
    <row r="12" ht="15" customHeight="1" s="145">
      <c r="B12" s="63" t="inlineStr">
        <is>
          <t>Natura</t>
        </is>
      </c>
      <c r="C12" s="118" t="inlineStr">
        <is>
          <t>Tododia</t>
        </is>
      </c>
      <c r="D12" s="132" t="inlineStr">
        <is>
          <t>Hidrante Desodorante Corporal</t>
        </is>
      </c>
      <c r="E12" s="136">
        <f>TRIM(CONCATENATE(D12, " ", C12, " ", F12, " ", IF(G12&gt;0, G12 &amp; "x" &amp; H12, H12), " ", I12))</f>
        <v/>
      </c>
      <c r="F12" s="92" t="inlineStr">
        <is>
          <t xml:space="preserve">Flor de Pera e Melissa </t>
        </is>
      </c>
      <c r="G12" s="131" t="n"/>
      <c r="H12" s="121" t="inlineStr">
        <is>
          <t>400ml</t>
        </is>
      </c>
      <c r="I12" s="126" t="inlineStr">
        <is>
          <t>Frasco</t>
        </is>
      </c>
      <c r="J12" s="132" t="inlineStr">
        <is>
          <t xml:space="preserve">Desodorante / nutritivo / creme </t>
        </is>
      </c>
      <c r="K12" s="178" t="n"/>
      <c r="L12" s="178" t="n">
        <v>75.90000000000001</v>
      </c>
    </row>
    <row r="13" ht="15" customHeight="1" s="145">
      <c r="B13" s="63" t="inlineStr">
        <is>
          <t>Natura</t>
        </is>
      </c>
      <c r="C13" s="118" t="inlineStr">
        <is>
          <t>Tododia</t>
        </is>
      </c>
      <c r="D13" s="132" t="inlineStr">
        <is>
          <t>Hidrante Desodorante Corporal</t>
        </is>
      </c>
      <c r="E13" s="136">
        <f>TRIM(CONCATENATE(D13, " ", C13, " ", F13, " ", IF(G13&gt;0, G13 &amp; "x" &amp; H13, H13), " ", I13))</f>
        <v/>
      </c>
      <c r="F13" s="121" t="inlineStr">
        <is>
          <t xml:space="preserve">Framboesa e PImenta Vermelha </t>
        </is>
      </c>
      <c r="G13" s="131" t="n"/>
      <c r="H13" s="121" t="inlineStr">
        <is>
          <t>400ml</t>
        </is>
      </c>
      <c r="I13" s="126" t="inlineStr">
        <is>
          <t>Frasco</t>
        </is>
      </c>
      <c r="J13" s="132" t="inlineStr">
        <is>
          <t xml:space="preserve">Desodorante / nutritivo / creme </t>
        </is>
      </c>
      <c r="K13" s="178" t="n"/>
      <c r="L13" s="178" t="n">
        <v>75.90000000000001</v>
      </c>
    </row>
    <row r="14" ht="15" customHeight="1" s="145">
      <c r="B14" s="63" t="inlineStr">
        <is>
          <t>Natura</t>
        </is>
      </c>
      <c r="C14" s="118" t="inlineStr">
        <is>
          <t>Tododia</t>
        </is>
      </c>
      <c r="D14" s="132" t="inlineStr">
        <is>
          <t>Hidrante Desodorante Corporal</t>
        </is>
      </c>
      <c r="E14" s="136">
        <f>TRIM(CONCATENATE(D14, " ", C14, " ", F14, " ", IF(G14&gt;0, G14 &amp; "x" &amp; H14, H14), " ", I14))</f>
        <v/>
      </c>
      <c r="F14" s="121" t="inlineStr">
        <is>
          <t xml:space="preserve">Jambo Rosa e Flor De Caju </t>
        </is>
      </c>
      <c r="G14" s="131" t="n"/>
      <c r="H14" s="121" t="inlineStr">
        <is>
          <t>400ml</t>
        </is>
      </c>
      <c r="I14" s="126" t="inlineStr">
        <is>
          <t>Frasco</t>
        </is>
      </c>
      <c r="J14" s="132" t="inlineStr">
        <is>
          <t xml:space="preserve">Desodorante / nutritivo / creme </t>
        </is>
      </c>
      <c r="K14" s="178" t="n"/>
      <c r="L14" s="178" t="n">
        <v>75.90000000000001</v>
      </c>
    </row>
    <row r="15" ht="15" customHeight="1" s="145">
      <c r="B15" s="63" t="inlineStr">
        <is>
          <t>Natura</t>
        </is>
      </c>
      <c r="C15" s="118" t="inlineStr">
        <is>
          <t>Tododia</t>
        </is>
      </c>
      <c r="D15" s="132" t="inlineStr">
        <is>
          <t>Hidrante Desodorante Corporal</t>
        </is>
      </c>
      <c r="E15" s="136">
        <f>TRIM(CONCATENATE(D15, " ", C15, " ", F15, " ", IF(G15&gt;0, G15 &amp; "x" &amp; H15, H15), " ", I15))</f>
        <v/>
      </c>
      <c r="F15" s="121" t="inlineStr">
        <is>
          <t>Limão Siciliano e Flor de Gardênia</t>
        </is>
      </c>
      <c r="G15" s="131" t="n"/>
      <c r="H15" s="121" t="inlineStr">
        <is>
          <t>400ml</t>
        </is>
      </c>
      <c r="I15" s="126" t="inlineStr">
        <is>
          <t>Frasco</t>
        </is>
      </c>
      <c r="J15" s="132" t="inlineStr">
        <is>
          <t xml:space="preserve">Desodorante / nutritivo / creme </t>
        </is>
      </c>
      <c r="K15" s="178" t="n"/>
      <c r="L15" s="178" t="n">
        <v>75.90000000000001</v>
      </c>
    </row>
    <row r="16" ht="15" customHeight="1" s="145">
      <c r="B16" s="63" t="inlineStr">
        <is>
          <t>Natura</t>
        </is>
      </c>
      <c r="C16" s="118" t="inlineStr">
        <is>
          <t>Tododia</t>
        </is>
      </c>
      <c r="D16" s="132" t="inlineStr">
        <is>
          <t>Hidrante Desodorante Corporal</t>
        </is>
      </c>
      <c r="E16" s="136">
        <f>TRIM(CONCATENATE(D16, " ", C16, " ", F16, " ", IF(G16&gt;0, G16 &amp; "x" &amp; H16, H16), " ", I16))</f>
        <v/>
      </c>
      <c r="F16" s="121" t="inlineStr">
        <is>
          <t>Macadâmia</t>
        </is>
      </c>
      <c r="G16" s="131" t="n"/>
      <c r="H16" s="121" t="inlineStr">
        <is>
          <t>400ml</t>
        </is>
      </c>
      <c r="I16" s="126" t="inlineStr">
        <is>
          <t>Frasco</t>
        </is>
      </c>
      <c r="J16" s="132" t="inlineStr">
        <is>
          <t xml:space="preserve">Desodorante / nutritivo / creme </t>
        </is>
      </c>
      <c r="K16" s="178" t="n"/>
      <c r="L16" s="178" t="n">
        <v>75.90000000000001</v>
      </c>
    </row>
    <row r="17" ht="15" customHeight="1" s="145">
      <c r="B17" s="63" t="inlineStr">
        <is>
          <t>Natura</t>
        </is>
      </c>
      <c r="C17" s="118" t="inlineStr">
        <is>
          <t>Tododia</t>
        </is>
      </c>
      <c r="D17" s="132" t="inlineStr">
        <is>
          <t>Hidrante Desodorante Corporal</t>
        </is>
      </c>
      <c r="E17" s="136">
        <f>TRIM(CONCATENATE(D17, " ", C17, " ", F17, " ", IF(G17&gt;0, G17 &amp; "x" &amp; H17, H17), " ", I17))</f>
        <v/>
      </c>
      <c r="F17" s="121" t="inlineStr">
        <is>
          <t xml:space="preserve">Maça Caramelada e Baunilha </t>
        </is>
      </c>
      <c r="G17" s="131" t="n"/>
      <c r="H17" s="121" t="inlineStr">
        <is>
          <t>400ml</t>
        </is>
      </c>
      <c r="I17" s="126" t="inlineStr">
        <is>
          <t>Frasco</t>
        </is>
      </c>
      <c r="J17" s="119" t="inlineStr">
        <is>
          <t xml:space="preserve">Nutritivo \ Especial São João \ Inspirada na Maçã do Amor </t>
        </is>
      </c>
      <c r="K17" s="178" t="n"/>
      <c r="L17" s="178" t="n">
        <v>75.90000000000001</v>
      </c>
    </row>
    <row r="18" ht="15" customHeight="1" s="145">
      <c r="B18" s="63" t="inlineStr">
        <is>
          <t>Natura</t>
        </is>
      </c>
      <c r="C18" s="118" t="inlineStr">
        <is>
          <t>Tododia</t>
        </is>
      </c>
      <c r="D18" s="132" t="inlineStr">
        <is>
          <t>Hidrante Desodorante Corporal</t>
        </is>
      </c>
      <c r="E18" s="136">
        <f>TRIM(CONCATENATE(D18, " ", C18, " ", F18, " ", IF(G18&gt;0, G18 &amp; "x" &amp; H18, H18), " ", I18))</f>
        <v/>
      </c>
      <c r="F18" s="121" t="inlineStr">
        <is>
          <t>Manga Rosa e Àgua de Coco</t>
        </is>
      </c>
      <c r="G18" s="131" t="n"/>
      <c r="H18" s="121" t="inlineStr">
        <is>
          <t>400ml</t>
        </is>
      </c>
      <c r="I18" s="126" t="inlineStr">
        <is>
          <t>Frasco</t>
        </is>
      </c>
      <c r="J18" s="119" t="inlineStr">
        <is>
          <t>Refrescante /  Gelado</t>
        </is>
      </c>
      <c r="K18" s="178" t="n"/>
      <c r="L18" s="178" t="n">
        <v>75.90000000000001</v>
      </c>
    </row>
    <row r="19" ht="15" customHeight="1" s="145">
      <c r="B19" s="63" t="inlineStr">
        <is>
          <t>Natura</t>
        </is>
      </c>
      <c r="C19" s="118" t="inlineStr">
        <is>
          <t>Tododia</t>
        </is>
      </c>
      <c r="D19" s="132" t="inlineStr">
        <is>
          <t>Hidrante Desodorante Corporal</t>
        </is>
      </c>
      <c r="E19" s="136">
        <f>TRIM(CONCATENATE(D19, " ", C19, " ", F19, " ", IF(G19&gt;0, G19 &amp; "x" &amp; H19, H19), " ", I19))</f>
        <v/>
      </c>
      <c r="F19" s="121" t="inlineStr">
        <is>
          <t>Nóz Pecão e Cacau</t>
        </is>
      </c>
      <c r="G19" s="131" t="n"/>
      <c r="H19" s="121" t="inlineStr">
        <is>
          <t>400ml</t>
        </is>
      </c>
      <c r="I19" s="126" t="inlineStr">
        <is>
          <t>Frasco</t>
        </is>
      </c>
      <c r="J19" s="132" t="inlineStr">
        <is>
          <t xml:space="preserve">Desodorante / nutritivo / creme </t>
        </is>
      </c>
      <c r="K19" s="178" t="n"/>
      <c r="L19" s="178" t="n">
        <v>75.90000000000001</v>
      </c>
    </row>
    <row r="20" ht="15" customHeight="1" s="145">
      <c r="B20" s="63" t="inlineStr">
        <is>
          <t>Natura</t>
        </is>
      </c>
      <c r="C20" s="118" t="inlineStr">
        <is>
          <t>Tododia</t>
        </is>
      </c>
      <c r="D20" s="132" t="inlineStr">
        <is>
          <t>Hidrante Desodorante Corporal</t>
        </is>
      </c>
      <c r="E20" s="136">
        <f>TRIM(CONCATENATE(D20, " ", C20, " ", F20, " ", IF(G20&gt;0, G20 &amp; "x" &amp; H20, H20), " ", I20))</f>
        <v/>
      </c>
      <c r="F20" s="2" t="inlineStr">
        <is>
          <t xml:space="preserve">Roma e Salvia </t>
        </is>
      </c>
      <c r="G20" s="131" t="n"/>
      <c r="H20" s="121" t="inlineStr">
        <is>
          <t>400ml</t>
        </is>
      </c>
      <c r="I20" s="126" t="inlineStr">
        <is>
          <t>Frasco</t>
        </is>
      </c>
      <c r="J20" s="132" t="inlineStr">
        <is>
          <t xml:space="preserve">Desodorante / nutritivo / creme </t>
        </is>
      </c>
      <c r="K20" s="178" t="n"/>
      <c r="L20" s="178" t="n">
        <v>75.90000000000001</v>
      </c>
    </row>
    <row r="21" ht="15" customHeight="1" s="145">
      <c r="B21" s="63" t="inlineStr">
        <is>
          <t>Natura</t>
        </is>
      </c>
      <c r="C21" s="118" t="inlineStr">
        <is>
          <t>Tododia</t>
        </is>
      </c>
      <c r="D21" s="132" t="inlineStr">
        <is>
          <t>Hidrante Desodorante Corporal</t>
        </is>
      </c>
      <c r="E21" s="136">
        <f>TRIM(CONCATENATE(D21, " ", C21, " ", F21, " ", IF(G21&gt;0, G21 &amp; "x" &amp; H21, H21), " ", I21))</f>
        <v/>
      </c>
      <c r="F21" s="121" t="inlineStr">
        <is>
          <t xml:space="preserve">Romã e Flor de Amora </t>
        </is>
      </c>
      <c r="G21" s="131" t="n"/>
      <c r="H21" s="121" t="inlineStr">
        <is>
          <t>400ml</t>
        </is>
      </c>
      <c r="I21" s="126" t="inlineStr">
        <is>
          <t>Frasco</t>
        </is>
      </c>
      <c r="J21" s="132" t="inlineStr">
        <is>
          <t xml:space="preserve">Desodorante / nutritivo / creme </t>
        </is>
      </c>
      <c r="K21" s="178" t="n"/>
      <c r="L21" s="178" t="n">
        <v>75.90000000000001</v>
      </c>
    </row>
    <row r="22" ht="15" customHeight="1" s="145">
      <c r="B22" s="63" t="inlineStr">
        <is>
          <t>Natura</t>
        </is>
      </c>
      <c r="C22" s="118" t="inlineStr">
        <is>
          <t>Tododia</t>
        </is>
      </c>
      <c r="D22" s="132" t="inlineStr">
        <is>
          <t>Hidrante Desodorante Corporal</t>
        </is>
      </c>
      <c r="E22" s="136">
        <f>TRIM(CONCATENATE(D22, " ", C22, " ", F22, " ", IF(G22&gt;0, G22 &amp; "x" &amp; H22, H22), " ", I22))</f>
        <v/>
      </c>
      <c r="F22" s="121" t="inlineStr">
        <is>
          <t>Tâmara e Canela</t>
        </is>
      </c>
      <c r="G22" s="131" t="n"/>
      <c r="H22" s="121" t="inlineStr">
        <is>
          <t>400ml</t>
        </is>
      </c>
      <c r="I22" s="126" t="inlineStr">
        <is>
          <t>Frasco</t>
        </is>
      </c>
      <c r="J22" s="132" t="inlineStr">
        <is>
          <t xml:space="preserve">Desodorante / nutritivo / creme </t>
        </is>
      </c>
      <c r="K22" s="178" t="n"/>
      <c r="L22" s="178" t="n">
        <v>75.90000000000001</v>
      </c>
    </row>
    <row r="23" ht="15" customFormat="1" customHeight="1" s="10">
      <c r="B23" s="63" t="inlineStr">
        <is>
          <t>Natura</t>
        </is>
      </c>
      <c r="C23" s="118" t="inlineStr">
        <is>
          <t>Tododia</t>
        </is>
      </c>
      <c r="D23" s="132" t="inlineStr">
        <is>
          <t>Hidrante Desodorante Corporal</t>
        </is>
      </c>
      <c r="E23" s="136">
        <f>TRIM(CONCATENATE(D23, " ", C23, " ", F23, " ", IF(G23&gt;0, G23 &amp; "x" &amp; H23, H23), " ", I23))</f>
        <v/>
      </c>
      <c r="F23" s="121" t="inlineStr">
        <is>
          <t xml:space="preserve">Algodao </t>
        </is>
      </c>
      <c r="G23" s="131" t="n"/>
      <c r="H23" s="121" t="inlineStr">
        <is>
          <t>400ml</t>
        </is>
      </c>
      <c r="I23" s="126" t="inlineStr">
        <is>
          <t>Refil</t>
        </is>
      </c>
      <c r="J23" s="132" t="inlineStr">
        <is>
          <t xml:space="preserve">Desodorante / nutritivo / creme </t>
        </is>
      </c>
      <c r="K23" s="178" t="n"/>
      <c r="L23" s="178" t="n">
        <v>56.4</v>
      </c>
    </row>
    <row r="24" ht="15" customFormat="1" customHeight="1" s="10">
      <c r="A24" t="inlineStr">
        <is>
          <t>NATBRA-100423</t>
        </is>
      </c>
      <c r="B24" s="63" t="inlineStr">
        <is>
          <t>Natura</t>
        </is>
      </c>
      <c r="C24" s="118" t="inlineStr">
        <is>
          <t>Tododia</t>
        </is>
      </c>
      <c r="D24" s="132" t="inlineStr">
        <is>
          <t>Hidrante Desodorante Corporal</t>
        </is>
      </c>
      <c r="E24" s="136">
        <f>TRIM(CONCATENATE(D24, " ", C24, " ", F24, " ", IF(G24&gt;0, G24 &amp; "x" &amp; H24, H24), " ", I24))</f>
        <v/>
      </c>
      <c r="F24" s="121" t="inlineStr">
        <is>
          <t xml:space="preserve">Ameixa e Flor de Baunilha </t>
        </is>
      </c>
      <c r="G24" s="131" t="n"/>
      <c r="H24" s="121" t="inlineStr">
        <is>
          <t>400ml</t>
        </is>
      </c>
      <c r="I24" s="126" t="inlineStr">
        <is>
          <t>Refil</t>
        </is>
      </c>
      <c r="J24" s="119" t="inlineStr">
        <is>
          <t>Suave de Algodão \ Nutritivo</t>
        </is>
      </c>
      <c r="K24" s="178" t="n"/>
      <c r="L24" s="178" t="n">
        <v>56.4</v>
      </c>
    </row>
    <row r="25" ht="15" customFormat="1" customHeight="1" s="10">
      <c r="B25" s="63" t="inlineStr">
        <is>
          <t>Natura</t>
        </is>
      </c>
      <c r="C25" s="118" t="inlineStr">
        <is>
          <t>Tododia</t>
        </is>
      </c>
      <c r="D25" s="132" t="inlineStr">
        <is>
          <t>Hidrante Desodorante Corporal</t>
        </is>
      </c>
      <c r="E25" s="136">
        <f>TRIM(CONCATENATE(D25, " ", C25, " ", F25, " ", IF(G25&gt;0, G25 &amp; "x" &amp; H25, H25), " ", I25))</f>
        <v/>
      </c>
      <c r="F25" s="121" t="inlineStr">
        <is>
          <t>Acerola e Hibisco</t>
        </is>
      </c>
      <c r="G25" s="131" t="n"/>
      <c r="H25" s="121" t="inlineStr">
        <is>
          <t>400ml</t>
        </is>
      </c>
      <c r="I25" s="126" t="inlineStr">
        <is>
          <t>Refil</t>
        </is>
      </c>
      <c r="J25" s="119" t="inlineStr">
        <is>
          <t>Refrescante /  Gelado</t>
        </is>
      </c>
      <c r="K25" s="178" t="n"/>
      <c r="L25" s="178" t="n">
        <v>56.4</v>
      </c>
    </row>
    <row r="26" ht="15" customFormat="1" customHeight="1" s="10">
      <c r="B26" s="63" t="inlineStr">
        <is>
          <t>Natura</t>
        </is>
      </c>
      <c r="C26" s="118" t="inlineStr">
        <is>
          <t>Tododia</t>
        </is>
      </c>
      <c r="D26" s="132" t="inlineStr">
        <is>
          <t>Hidrante Desodorante Corporal</t>
        </is>
      </c>
      <c r="E26" s="136">
        <f>TRIM(CONCATENATE(D26, " ", C26, " ", F26, " ", IF(G26&gt;0, G26 &amp; "x" &amp; H26, H26), " ", I26))</f>
        <v/>
      </c>
      <c r="F26" s="121" t="inlineStr">
        <is>
          <t xml:space="preserve">Amora Vermelha e Jabuticaba </t>
        </is>
      </c>
      <c r="G26" s="131" t="n"/>
      <c r="H26" s="121" t="inlineStr">
        <is>
          <t>400ml</t>
        </is>
      </c>
      <c r="I26" s="126" t="inlineStr">
        <is>
          <t>Refil</t>
        </is>
      </c>
      <c r="J26" s="132" t="inlineStr">
        <is>
          <t xml:space="preserve">Desodorante / nutritivo / creme </t>
        </is>
      </c>
      <c r="K26" s="178" t="n"/>
      <c r="L26" s="178" t="n">
        <v>56.4</v>
      </c>
    </row>
    <row r="27" ht="15" customFormat="1" customHeight="1" s="10">
      <c r="A27" t="inlineStr">
        <is>
          <t>NATBRA-190159</t>
        </is>
      </c>
      <c r="B27" s="63" t="inlineStr">
        <is>
          <t>Natura</t>
        </is>
      </c>
      <c r="C27" s="118" t="inlineStr">
        <is>
          <t>Tododia</t>
        </is>
      </c>
      <c r="D27" s="132" t="inlineStr">
        <is>
          <t>Hidrante Desodorante Corporal</t>
        </is>
      </c>
      <c r="E27" s="136">
        <f>TRIM(CONCATENATE(D27, " ", C27, " ", F27, " ", IF(G27&gt;0, G27 &amp; "x" &amp; H27, H27), " ", I27))</f>
        <v/>
      </c>
      <c r="F27" s="121" t="inlineStr">
        <is>
          <t>Capim Limão e Hortelã</t>
        </is>
      </c>
      <c r="G27" s="131" t="n"/>
      <c r="H27" s="121" t="inlineStr">
        <is>
          <t>400ml</t>
        </is>
      </c>
      <c r="I27" s="126" t="inlineStr">
        <is>
          <t>Refil</t>
        </is>
      </c>
      <c r="J27" s="132" t="inlineStr">
        <is>
          <t xml:space="preserve">Desodorante / nutritivo / creme </t>
        </is>
      </c>
      <c r="K27" s="178" t="n"/>
      <c r="L27" s="178" t="n">
        <v>56.4</v>
      </c>
    </row>
    <row r="28" ht="15" customFormat="1" customHeight="1" s="10">
      <c r="B28" s="63" t="inlineStr">
        <is>
          <t>Natura</t>
        </is>
      </c>
      <c r="C28" s="118" t="inlineStr">
        <is>
          <t>Tododia</t>
        </is>
      </c>
      <c r="D28" s="132" t="inlineStr">
        <is>
          <t>Hidrante Desodorante Corporal</t>
        </is>
      </c>
      <c r="E28" s="136">
        <f>TRIM(CONCATENATE(D28, " ", C28, " ", F28, " ", IF(G28&gt;0, G28 &amp; "x" &amp; H28, H28), " ", I28))</f>
        <v/>
      </c>
      <c r="F28" s="121" t="inlineStr">
        <is>
          <t>Cereja Negra e Praliné</t>
        </is>
      </c>
      <c r="G28" s="131" t="n"/>
      <c r="H28" s="121" t="inlineStr">
        <is>
          <t>400ml</t>
        </is>
      </c>
      <c r="I28" s="126" t="inlineStr">
        <is>
          <t>Refil</t>
        </is>
      </c>
      <c r="J28" s="132" t="inlineStr">
        <is>
          <t xml:space="preserve">Desodorante / nutritivo / creme </t>
        </is>
      </c>
      <c r="K28" s="178" t="n"/>
      <c r="L28" s="178" t="n">
        <v>56.4</v>
      </c>
    </row>
    <row r="29" ht="15" customFormat="1" customHeight="1" s="10">
      <c r="A29" t="inlineStr">
        <is>
          <t>NATBRA-99137</t>
        </is>
      </c>
      <c r="B29" s="63" t="inlineStr">
        <is>
          <t>Natura</t>
        </is>
      </c>
      <c r="C29" s="118" t="inlineStr">
        <is>
          <t>Tododia</t>
        </is>
      </c>
      <c r="D29" s="132" t="inlineStr">
        <is>
          <t>Hidrante Desodorante Corporal</t>
        </is>
      </c>
      <c r="E29" s="136">
        <f>TRIM(CONCATENATE(D29, " ", C29, " ", F29, " ", IF(G29&gt;0, G29 &amp; "x" &amp; H29, H29), " ", I29))</f>
        <v/>
      </c>
      <c r="F29" s="121" t="inlineStr">
        <is>
          <t>Cereja e Avela</t>
        </is>
      </c>
      <c r="G29" s="131" t="n"/>
      <c r="H29" s="121" t="inlineStr">
        <is>
          <t>400ml</t>
        </is>
      </c>
      <c r="I29" s="126" t="inlineStr">
        <is>
          <t>Refil</t>
        </is>
      </c>
      <c r="J29" s="132" t="inlineStr">
        <is>
          <t xml:space="preserve">Desodorante / nutritivo / creme </t>
        </is>
      </c>
      <c r="K29" s="178" t="n"/>
      <c r="L29" s="178" t="n">
        <v>56.4</v>
      </c>
    </row>
    <row r="30" ht="15" customFormat="1" customHeight="1" s="18">
      <c r="B30" s="63" t="inlineStr">
        <is>
          <t>Natura</t>
        </is>
      </c>
      <c r="C30" s="118" t="inlineStr">
        <is>
          <t>Tododia</t>
        </is>
      </c>
      <c r="D30" s="132" t="inlineStr">
        <is>
          <t>Hidrante Desodorante Corporal</t>
        </is>
      </c>
      <c r="E30" s="136">
        <f>TRIM(CONCATENATE(D30, " ", C30, " ", F30, " ", IF(G30&gt;0, G30 &amp; "x" &amp; H30, H30), " ", I30))</f>
        <v/>
      </c>
      <c r="F30" s="123" t="inlineStr">
        <is>
          <t>Todonoite</t>
        </is>
      </c>
      <c r="G30" s="131" t="n"/>
      <c r="H30" s="123" t="inlineStr">
        <is>
          <t>400ml</t>
        </is>
      </c>
      <c r="I30" s="123" t="inlineStr">
        <is>
          <t>Refil</t>
        </is>
      </c>
      <c r="J30" s="135" t="inlineStr">
        <is>
          <t xml:space="preserve">Hidrata. Noturno \ calmante </t>
        </is>
      </c>
      <c r="K30" s="178" t="n"/>
      <c r="L30" s="178" t="n">
        <v>56.4</v>
      </c>
    </row>
    <row r="31" ht="15" customFormat="1" customHeight="1" s="18">
      <c r="B31" s="63" t="inlineStr">
        <is>
          <t>Natura</t>
        </is>
      </c>
      <c r="C31" s="70" t="inlineStr">
        <is>
          <t>Tododia</t>
        </is>
      </c>
      <c r="D31" s="132" t="inlineStr">
        <is>
          <t>Hidrante Desodorante Corporal</t>
        </is>
      </c>
      <c r="E31" s="136">
        <f>TRIM(CONCATENATE(D31, " ", C31, " ", F31, " ", IF(G31&gt;0, G31 &amp; "x" &amp; H31, H31), " ", I31))</f>
        <v/>
      </c>
      <c r="F31" s="123" t="inlineStr">
        <is>
          <t>Todonoite</t>
        </is>
      </c>
      <c r="G31" s="131" t="n"/>
      <c r="H31" s="123" t="inlineStr">
        <is>
          <t xml:space="preserve">200ml </t>
        </is>
      </c>
      <c r="I31" s="123" t="inlineStr">
        <is>
          <t>Refil</t>
        </is>
      </c>
      <c r="J31" s="135" t="inlineStr">
        <is>
          <t xml:space="preserve">Hidrata. Noturno \ calmante </t>
        </is>
      </c>
      <c r="K31" s="178" t="n"/>
      <c r="L31" s="178" t="n"/>
    </row>
    <row r="32" ht="15" customFormat="1" customHeight="1" s="10">
      <c r="A32" t="inlineStr">
        <is>
          <t>NATBRA-152290</t>
        </is>
      </c>
      <c r="B32" s="63" t="inlineStr">
        <is>
          <t>Natura</t>
        </is>
      </c>
      <c r="C32" s="118" t="inlineStr">
        <is>
          <t>Tododia</t>
        </is>
      </c>
      <c r="D32" s="132" t="inlineStr">
        <is>
          <t>Hidrante Desodorante Corporal</t>
        </is>
      </c>
      <c r="E32" s="136">
        <f>TRIM(CONCATENATE(D32, " ", C32, " ", F32, " ", IF(G32&gt;0, G32 &amp; "x" &amp; H32, H32), " ", I32))</f>
        <v/>
      </c>
      <c r="F32" s="121" t="inlineStr">
        <is>
          <t xml:space="preserve">Flor de Gengibre e Tangerina </t>
        </is>
      </c>
      <c r="G32" s="131" t="n"/>
      <c r="H32" s="121" t="inlineStr">
        <is>
          <t>400ml</t>
        </is>
      </c>
      <c r="I32" s="126" t="inlineStr">
        <is>
          <t>Refil</t>
        </is>
      </c>
      <c r="J32" s="132" t="inlineStr">
        <is>
          <t xml:space="preserve">Hidrata. Noturno \ calmante </t>
        </is>
      </c>
      <c r="K32" s="178" t="n"/>
      <c r="L32" s="178" t="n">
        <v>56.4</v>
      </c>
    </row>
    <row r="33" ht="15" customFormat="1" customHeight="1" s="10">
      <c r="B33" s="63" t="inlineStr">
        <is>
          <t>Natura</t>
        </is>
      </c>
      <c r="C33" s="118" t="inlineStr">
        <is>
          <t>Tododia</t>
        </is>
      </c>
      <c r="D33" s="132" t="inlineStr">
        <is>
          <t>Hidrante Desodorante Corporal</t>
        </is>
      </c>
      <c r="E33" s="136">
        <f>TRIM(CONCATENATE(D33, " ", C33, " ", F33, " ", IF(G33&gt;0, G33 &amp; "x" &amp; H33, H33), " ", I33))</f>
        <v/>
      </c>
      <c r="F33" s="121" t="inlineStr">
        <is>
          <t xml:space="preserve">Flor de Pera e Melissa </t>
        </is>
      </c>
      <c r="G33" s="131" t="n"/>
      <c r="H33" s="121" t="inlineStr">
        <is>
          <t>400ml</t>
        </is>
      </c>
      <c r="I33" s="126" t="inlineStr">
        <is>
          <t>Refil</t>
        </is>
      </c>
      <c r="J33" s="132" t="inlineStr">
        <is>
          <t xml:space="preserve">Desodorante / nutritivo / creme </t>
        </is>
      </c>
      <c r="K33" s="178" t="n"/>
      <c r="L33" s="178" t="n">
        <v>56.4</v>
      </c>
    </row>
    <row r="34" ht="15" customFormat="1" customHeight="1" s="10">
      <c r="B34" s="63" t="inlineStr">
        <is>
          <t>Natura</t>
        </is>
      </c>
      <c r="C34" s="118" t="inlineStr">
        <is>
          <t>Tododia</t>
        </is>
      </c>
      <c r="D34" s="132" t="inlineStr">
        <is>
          <t>Hidrante Desodorante Corporal</t>
        </is>
      </c>
      <c r="E34" s="136">
        <f>TRIM(CONCATENATE(D34, " ", C34, " ", F34, " ", IF(G34&gt;0, G34 &amp; "x" &amp; H34, H34), " ", I34))</f>
        <v/>
      </c>
      <c r="F34" s="121" t="inlineStr">
        <is>
          <t xml:space="preserve">Framboesa e PImenta Vermelha </t>
        </is>
      </c>
      <c r="G34" s="131" t="n"/>
      <c r="H34" s="121" t="inlineStr">
        <is>
          <t>400ml</t>
        </is>
      </c>
      <c r="I34" s="126" t="inlineStr">
        <is>
          <t>Refil</t>
        </is>
      </c>
      <c r="J34" s="132" t="inlineStr">
        <is>
          <t xml:space="preserve">Desodorante / nutritivo / creme </t>
        </is>
      </c>
      <c r="K34" s="178" t="n"/>
      <c r="L34" s="178" t="n">
        <v>56.4</v>
      </c>
    </row>
    <row r="35" ht="15" customFormat="1" customHeight="1" s="10">
      <c r="B35" s="63" t="inlineStr">
        <is>
          <t>Natura</t>
        </is>
      </c>
      <c r="C35" s="118" t="inlineStr">
        <is>
          <t>Tododia</t>
        </is>
      </c>
      <c r="D35" s="132" t="inlineStr">
        <is>
          <t>Hidrante Desodorante Corporal</t>
        </is>
      </c>
      <c r="E35" s="136">
        <f>TRIM(CONCATENATE(D35, " ", C35, " ", F35, " ", IF(G35&gt;0, G35 &amp; "x" &amp; H35, H35), " ", I35))</f>
        <v/>
      </c>
      <c r="F35" s="121" t="inlineStr">
        <is>
          <t xml:space="preserve">Jambo Rosa e Flor De Caju </t>
        </is>
      </c>
      <c r="G35" s="131" t="n"/>
      <c r="H35" s="121" t="inlineStr">
        <is>
          <t>400ml</t>
        </is>
      </c>
      <c r="I35" s="126" t="inlineStr">
        <is>
          <t>Refil</t>
        </is>
      </c>
      <c r="J35" s="132" t="inlineStr">
        <is>
          <t xml:space="preserve">Desodorante / nutritivo / creme </t>
        </is>
      </c>
      <c r="K35" s="178" t="n"/>
      <c r="L35" s="178" t="n">
        <v>56.4</v>
      </c>
    </row>
    <row r="36" ht="15" customFormat="1" customHeight="1" s="10">
      <c r="B36" s="63" t="inlineStr">
        <is>
          <t>Natura</t>
        </is>
      </c>
      <c r="C36" s="118" t="inlineStr">
        <is>
          <t>Tododia</t>
        </is>
      </c>
      <c r="D36" s="132" t="inlineStr">
        <is>
          <t>Hidrante Desodorante Corporal</t>
        </is>
      </c>
      <c r="E36" s="136">
        <f>TRIM(CONCATENATE(D36, " ", C36, " ", F36, " ", IF(G36&gt;0, G36 &amp; "x" &amp; H36, H36), " ", I36))</f>
        <v/>
      </c>
      <c r="F36" s="121" t="inlineStr">
        <is>
          <t>Limão Siciliano e Flor de Gardênia</t>
        </is>
      </c>
      <c r="G36" s="131" t="n"/>
      <c r="H36" s="121" t="inlineStr">
        <is>
          <t>400ml</t>
        </is>
      </c>
      <c r="I36" s="126" t="inlineStr">
        <is>
          <t>Refil</t>
        </is>
      </c>
      <c r="J36" s="119" t="inlineStr">
        <is>
          <t xml:space="preserve">Nutritivo Energizante </t>
        </is>
      </c>
      <c r="K36" s="178" t="n"/>
      <c r="L36" s="178" t="n">
        <v>56.4</v>
      </c>
    </row>
    <row r="37" ht="15" customFormat="1" customHeight="1" s="10">
      <c r="B37" s="63" t="inlineStr">
        <is>
          <t>Natura</t>
        </is>
      </c>
      <c r="C37" s="118" t="inlineStr">
        <is>
          <t>Tododia</t>
        </is>
      </c>
      <c r="D37" s="132" t="inlineStr">
        <is>
          <t>Hidrante Desodorante Corporal</t>
        </is>
      </c>
      <c r="E37" s="136">
        <f>TRIM(CONCATENATE(D37, " ", C37, " ", F37, " ", IF(G37&gt;0, G37 &amp; "x" &amp; H37, H37), " ", I37))</f>
        <v/>
      </c>
      <c r="F37" s="121" t="inlineStr">
        <is>
          <t>Macadâmia</t>
        </is>
      </c>
      <c r="G37" s="131" t="n"/>
      <c r="H37" s="121" t="inlineStr">
        <is>
          <t>400ml</t>
        </is>
      </c>
      <c r="I37" s="126" t="inlineStr">
        <is>
          <t>Refil</t>
        </is>
      </c>
      <c r="J37" s="132" t="inlineStr">
        <is>
          <t xml:space="preserve">Desodorante / nutritivo / creme </t>
        </is>
      </c>
      <c r="K37" s="178" t="n"/>
      <c r="L37" s="178" t="n">
        <v>56.4</v>
      </c>
    </row>
    <row r="38" ht="15" customFormat="1" customHeight="1" s="10">
      <c r="B38" s="63" t="inlineStr">
        <is>
          <t>Natura</t>
        </is>
      </c>
      <c r="C38" s="118" t="inlineStr">
        <is>
          <t>Tododia</t>
        </is>
      </c>
      <c r="D38" s="132" t="inlineStr">
        <is>
          <t>Hidrante Desodorante Corporal</t>
        </is>
      </c>
      <c r="E38" s="136">
        <f>TRIM(CONCATENATE(D38, " ", C38, " ", F38, " ", IF(G38&gt;0, G38 &amp; "x" &amp; H38, H38), " ", I38))</f>
        <v/>
      </c>
      <c r="F38" s="121" t="inlineStr">
        <is>
          <t xml:space="preserve">Maça Caramelada e Baunilha </t>
        </is>
      </c>
      <c r="G38" s="131" t="n"/>
      <c r="H38" s="121" t="inlineStr">
        <is>
          <t>400ml</t>
        </is>
      </c>
      <c r="I38" s="126" t="inlineStr">
        <is>
          <t>Refil</t>
        </is>
      </c>
      <c r="J38" s="119" t="inlineStr">
        <is>
          <t xml:space="preserve">Nutritivo \ Especial São João \ Inspirada na Maçã do Amor </t>
        </is>
      </c>
      <c r="K38" s="178" t="n"/>
      <c r="L38" s="178" t="n">
        <v>56.4</v>
      </c>
    </row>
    <row r="39" ht="15" customFormat="1" customHeight="1" s="10">
      <c r="B39" s="63" t="inlineStr">
        <is>
          <t>Natura</t>
        </is>
      </c>
      <c r="C39" s="118" t="inlineStr">
        <is>
          <t>Tododia</t>
        </is>
      </c>
      <c r="D39" s="132" t="inlineStr">
        <is>
          <t>Hidrante Desodorante Corporal</t>
        </is>
      </c>
      <c r="E39" s="136">
        <f>TRIM(CONCATENATE(D39, " ", C39, " ", F39, " ", IF(G39&gt;0, G39 &amp; "x" &amp; H39, H39), " ", I39))</f>
        <v/>
      </c>
      <c r="F39" s="121" t="inlineStr">
        <is>
          <t>Manga Rosa e Àgua de Coco</t>
        </is>
      </c>
      <c r="G39" s="131" t="n"/>
      <c r="H39" s="121" t="inlineStr">
        <is>
          <t>400ml</t>
        </is>
      </c>
      <c r="I39" s="126" t="inlineStr">
        <is>
          <t>Refil</t>
        </is>
      </c>
      <c r="J39" s="119" t="inlineStr">
        <is>
          <t>Refrescante /  Gelado</t>
        </is>
      </c>
      <c r="K39" s="178" t="n"/>
      <c r="L39" s="178" t="n">
        <v>56.4</v>
      </c>
    </row>
    <row r="40" ht="15" customFormat="1" customHeight="1" s="10">
      <c r="B40" s="63" t="inlineStr">
        <is>
          <t>Natura</t>
        </is>
      </c>
      <c r="C40" s="118" t="inlineStr">
        <is>
          <t>Tododia</t>
        </is>
      </c>
      <c r="D40" s="132" t="inlineStr">
        <is>
          <t>Hidrante Desodorante Corporal</t>
        </is>
      </c>
      <c r="E40" s="136">
        <f>TRIM(CONCATENATE(D40, " ", C40, " ", F40, " ", IF(G40&gt;0, G40 &amp; "x" &amp; H40, H40), " ", I40))</f>
        <v/>
      </c>
      <c r="F40" s="121" t="inlineStr">
        <is>
          <t>Nóz Pecão e Cacau</t>
        </is>
      </c>
      <c r="G40" s="131" t="n"/>
      <c r="H40" s="121" t="inlineStr">
        <is>
          <t>400ml</t>
        </is>
      </c>
      <c r="I40" s="126" t="inlineStr">
        <is>
          <t>Refil</t>
        </is>
      </c>
      <c r="J40" s="132" t="inlineStr">
        <is>
          <t xml:space="preserve">Desodorante / nutritivo / creme </t>
        </is>
      </c>
      <c r="K40" s="178" t="n"/>
      <c r="L40" s="178" t="n">
        <v>56.4</v>
      </c>
    </row>
    <row r="41" ht="15" customFormat="1" customHeight="1" s="10">
      <c r="B41" s="63" t="inlineStr">
        <is>
          <t>Natura</t>
        </is>
      </c>
      <c r="C41" s="118" t="inlineStr">
        <is>
          <t>Tododia</t>
        </is>
      </c>
      <c r="D41" s="132" t="inlineStr">
        <is>
          <t>Hidrante Desodorante Corporal</t>
        </is>
      </c>
      <c r="E41" s="136">
        <f>TRIM(CONCATENATE(D41, " ", C41, " ", F41, " ", IF(G41&gt;0, G41 &amp; "x" &amp; H41, H41), " ", I41))</f>
        <v/>
      </c>
      <c r="F41" s="121" t="inlineStr">
        <is>
          <t xml:space="preserve">Romã e Flor de Amora </t>
        </is>
      </c>
      <c r="G41" s="131" t="n"/>
      <c r="H41" s="121" t="inlineStr">
        <is>
          <t>400ml</t>
        </is>
      </c>
      <c r="I41" s="126" t="inlineStr">
        <is>
          <t>Refil</t>
        </is>
      </c>
      <c r="J41" s="132" t="inlineStr">
        <is>
          <t xml:space="preserve">Desodorante / nutritivo / creme </t>
        </is>
      </c>
      <c r="K41" s="178" t="n"/>
      <c r="L41" s="178" t="n">
        <v>56.4</v>
      </c>
    </row>
    <row r="42" ht="15" customFormat="1" customHeight="1" s="10">
      <c r="B42" s="63" t="inlineStr">
        <is>
          <t>Natura</t>
        </is>
      </c>
      <c r="C42" s="118" t="inlineStr">
        <is>
          <t>Tododia</t>
        </is>
      </c>
      <c r="D42" s="135" t="inlineStr">
        <is>
          <t>Hidrante Desodorante Corporal</t>
        </is>
      </c>
      <c r="E42" s="136">
        <f>TRIM(CONCATENATE(D42, " ", C42, " ", F42, " ", IF(G42&gt;0, G42 &amp; "x" &amp; H42, H42), " ", I42))</f>
        <v/>
      </c>
      <c r="F42" s="121" t="inlineStr">
        <is>
          <t>Tâmara e Canela</t>
        </is>
      </c>
      <c r="G42" s="131" t="n"/>
      <c r="H42" s="121" t="inlineStr">
        <is>
          <t>400ml</t>
        </is>
      </c>
      <c r="I42" s="126" t="inlineStr">
        <is>
          <t>Refil</t>
        </is>
      </c>
      <c r="J42" s="132" t="inlineStr">
        <is>
          <t xml:space="preserve">Desodorante / nutritivo / creme </t>
        </is>
      </c>
      <c r="K42" s="178" t="n"/>
      <c r="L42" s="178" t="n">
        <v>56.4</v>
      </c>
    </row>
    <row r="43" ht="15" customHeight="1" s="145">
      <c r="B43" s="63" t="inlineStr">
        <is>
          <t>Natura</t>
        </is>
      </c>
      <c r="C43" s="118" t="inlineStr">
        <is>
          <t>Tododia</t>
        </is>
      </c>
      <c r="D43" s="135" t="inlineStr">
        <is>
          <t xml:space="preserve">Creme Hidratante </t>
        </is>
      </c>
      <c r="E43" s="136">
        <f>TRIM(CONCATENATE(D43, " ", C43, " ", F43, " ", IF(G43&gt;0, G43 &amp; "x" &amp; H43, H43), " ", I43))</f>
        <v/>
      </c>
      <c r="F43" s="121" t="inlineStr">
        <is>
          <t>Todonoite</t>
        </is>
      </c>
      <c r="G43" s="131" t="n"/>
      <c r="H43" s="121" t="inlineStr">
        <is>
          <t xml:space="preserve">200ml </t>
        </is>
      </c>
      <c r="I43" s="126" t="inlineStr">
        <is>
          <t>Pote</t>
        </is>
      </c>
      <c r="J43" s="150" t="inlineStr">
        <is>
          <t xml:space="preserve">Creme Hidrat. Prebiotica \ Vitam +B5   \ Para Massagem </t>
        </is>
      </c>
      <c r="K43" s="178" t="n"/>
      <c r="L43" s="178" t="n">
        <v>81.90000000000001</v>
      </c>
    </row>
    <row r="44" ht="15" customHeight="1" s="145">
      <c r="B44" s="63" t="inlineStr">
        <is>
          <t>Natura</t>
        </is>
      </c>
      <c r="C44" s="118" t="inlineStr">
        <is>
          <t>Tododia</t>
        </is>
      </c>
      <c r="D44" s="135" t="inlineStr">
        <is>
          <t xml:space="preserve">Creme Hidratante </t>
        </is>
      </c>
      <c r="E44" s="136">
        <f>TRIM(CONCATENATE(D44, " ", C44, " ", F44, " ", IF(G44&gt;0, G44 &amp; "x" &amp; H44, H44), " ", I44))</f>
        <v/>
      </c>
      <c r="F44" s="121" t="inlineStr">
        <is>
          <t>Cereja e Avelã</t>
        </is>
      </c>
      <c r="G44" s="131" t="n"/>
      <c r="H44" s="121" t="inlineStr">
        <is>
          <t xml:space="preserve">200ml </t>
        </is>
      </c>
      <c r="I44" s="126" t="inlineStr">
        <is>
          <t xml:space="preserve">Pote </t>
        </is>
      </c>
      <c r="J44" s="150" t="inlineStr">
        <is>
          <t xml:space="preserve">Creme Amanteigado \ Perfumado \ Desodorante </t>
        </is>
      </c>
      <c r="K44" s="178" t="n"/>
      <c r="L44" s="178" t="n"/>
    </row>
    <row r="45" ht="15" customHeight="1" s="145">
      <c r="B45" s="63" t="inlineStr">
        <is>
          <t>Natura</t>
        </is>
      </c>
      <c r="C45" s="118" t="inlineStr">
        <is>
          <t>Tododia</t>
        </is>
      </c>
      <c r="D45" s="135" t="inlineStr">
        <is>
          <t xml:space="preserve">Creme Hidratante </t>
        </is>
      </c>
      <c r="E45" s="136">
        <f>TRIM(CONCATENATE(D45, " ", C45, " ", F45, " ", IF(G45&gt;0, G45 &amp; "x" &amp; H45, H45), " ", I45))</f>
        <v/>
      </c>
      <c r="F45" s="121" t="inlineStr">
        <is>
          <t>Cereja Negra e Praliné</t>
        </is>
      </c>
      <c r="G45" s="131" t="n"/>
      <c r="H45" s="121" t="inlineStr">
        <is>
          <t>250g</t>
        </is>
      </c>
      <c r="I45" s="126" t="inlineStr">
        <is>
          <t>Pote</t>
        </is>
      </c>
      <c r="J45" s="150" t="inlineStr">
        <is>
          <t xml:space="preserve">Pele Macia \\ Como Veludo \\ HIdrata. e PErfuma 2x Mais </t>
        </is>
      </c>
      <c r="K45" s="178" t="n"/>
      <c r="L45" s="178" t="n">
        <v>81.90000000000001</v>
      </c>
    </row>
    <row r="46" ht="15" customFormat="1" customHeight="1" s="10">
      <c r="B46" s="63" t="inlineStr">
        <is>
          <t>Natura</t>
        </is>
      </c>
      <c r="C46" s="118" t="inlineStr">
        <is>
          <t>Tododia</t>
        </is>
      </c>
      <c r="D46" s="135" t="inlineStr">
        <is>
          <t xml:space="preserve">Manteiga Creme Corporal </t>
        </is>
      </c>
      <c r="E46" s="136">
        <f>TRIM(CONCATENATE(D46, " ", C46, " ", F46, " ", IF(G46&gt;0, G46 &amp; "x" &amp; H46, H46), " ", I46))</f>
        <v/>
      </c>
      <c r="F46" s="122" t="inlineStr">
        <is>
          <t xml:space="preserve">Jambo Rosa e Flor De Caju </t>
        </is>
      </c>
      <c r="G46" s="131" t="n"/>
      <c r="H46" s="122" t="inlineStr">
        <is>
          <t xml:space="preserve">200g </t>
        </is>
      </c>
      <c r="I46" s="32" t="inlineStr">
        <is>
          <t xml:space="preserve">Pote </t>
        </is>
      </c>
      <c r="J46" s="62" t="inlineStr">
        <is>
          <t>Hidratante / Manteiga para o corpo  hidrata \ Uniformiza \ Desodorante</t>
        </is>
      </c>
      <c r="K46" s="179" t="n"/>
      <c r="L46" s="179" t="n">
        <v>81.90000000000001</v>
      </c>
    </row>
    <row r="47" ht="15" customFormat="1" customHeight="1" s="10">
      <c r="B47" s="63" t="inlineStr">
        <is>
          <t>Natura</t>
        </is>
      </c>
      <c r="C47" s="118" t="inlineStr">
        <is>
          <t>Tododia</t>
        </is>
      </c>
      <c r="D47" s="135" t="inlineStr">
        <is>
          <t xml:space="preserve">Oleo Creme Corporal </t>
        </is>
      </c>
      <c r="E47" s="136">
        <f>TRIM(CONCATENATE(D47, " ", C47, " ", F47, " ", IF(G47&gt;0, G47 &amp; "x" &amp; H47, H47), " ", I47))</f>
        <v/>
      </c>
      <c r="F47" s="122" t="inlineStr">
        <is>
          <t xml:space="preserve">Jambo Rosa e Flor De Caju </t>
        </is>
      </c>
      <c r="G47" s="131" t="n"/>
      <c r="H47" s="122" t="inlineStr">
        <is>
          <t xml:space="preserve">200ml </t>
        </is>
      </c>
      <c r="I47" s="32" t="inlineStr">
        <is>
          <t xml:space="preserve">Pote </t>
        </is>
      </c>
      <c r="J47" s="19" t="inlineStr">
        <is>
          <t xml:space="preserve">Ultranutritivo \ Restaurador \ Desodorante </t>
        </is>
      </c>
      <c r="K47" s="179" t="n"/>
      <c r="L47" s="179" t="n">
        <v>81.90000000000001</v>
      </c>
    </row>
    <row r="48" ht="15" customHeight="1" s="145">
      <c r="B48" s="63" t="inlineStr">
        <is>
          <t>Natura</t>
        </is>
      </c>
      <c r="C48" s="118" t="inlineStr">
        <is>
          <t>Tododia</t>
        </is>
      </c>
      <c r="D48" s="135" t="inlineStr">
        <is>
          <t xml:space="preserve">Oleo Corporal </t>
        </is>
      </c>
      <c r="E48" s="136">
        <f>TRIM(CONCATENATE(D48, " ", C48, " ", F48, " ", IF(G48&gt;0, G48 &amp; "x" &amp; H48, H48), " ", I48))</f>
        <v/>
      </c>
      <c r="F48" s="121" t="inlineStr">
        <is>
          <t>Cereja Negra e Praliné</t>
        </is>
      </c>
      <c r="G48" s="131" t="n"/>
      <c r="H48" s="121" t="inlineStr">
        <is>
          <t xml:space="preserve">120ml </t>
        </is>
      </c>
      <c r="I48" s="126" t="inlineStr">
        <is>
          <t>Frasco</t>
        </is>
      </c>
      <c r="J48" s="150" t="inlineStr">
        <is>
          <t xml:space="preserve">Óleo bifásico \ hidra. intensa \ perfuma </t>
        </is>
      </c>
      <c r="K48" s="178" t="n"/>
      <c r="L48" s="178" t="n">
        <v>43.9</v>
      </c>
    </row>
    <row r="49" ht="15" customHeight="1" s="145">
      <c r="B49" s="63" t="inlineStr">
        <is>
          <t>Natura</t>
        </is>
      </c>
      <c r="C49" s="118" t="inlineStr">
        <is>
          <t>Tododia</t>
        </is>
      </c>
      <c r="D49" s="135" t="inlineStr">
        <is>
          <t xml:space="preserve">Oleo Corporal </t>
        </is>
      </c>
      <c r="E49" s="136">
        <f>TRIM(CONCATENATE(D49, " ", C49, " ", F49, " ", IF(G49&gt;0, G49 &amp; "x" &amp; H49, H49), " ", I49))</f>
        <v/>
      </c>
      <c r="F49" s="121" t="inlineStr">
        <is>
          <t>Cereja e Avelã</t>
        </is>
      </c>
      <c r="G49" s="131" t="n"/>
      <c r="H49" s="121" t="inlineStr">
        <is>
          <t xml:space="preserve">120ml </t>
        </is>
      </c>
      <c r="I49" s="126" t="inlineStr">
        <is>
          <t>Frasco</t>
        </is>
      </c>
      <c r="J49" s="150" t="inlineStr">
        <is>
          <t xml:space="preserve">Óleo bifásico \ hidra. intensa \ perfuma </t>
        </is>
      </c>
      <c r="K49" s="178" t="n"/>
      <c r="L49" s="178" t="n">
        <v>43.9</v>
      </c>
    </row>
    <row r="50" ht="15" customHeight="1" s="145">
      <c r="B50" s="63" t="inlineStr">
        <is>
          <t>Natura</t>
        </is>
      </c>
      <c r="C50" s="118" t="inlineStr">
        <is>
          <t>Tododia</t>
        </is>
      </c>
      <c r="D50" s="135" t="inlineStr">
        <is>
          <t xml:space="preserve">Oleo Corporal </t>
        </is>
      </c>
      <c r="E50" s="136">
        <f>TRIM(CONCATENATE(D50, " ", C50, " ", F50, " ", IF(G50&gt;0, G50 &amp; "x" &amp; H50, H50), " ", I50))</f>
        <v/>
      </c>
      <c r="F50" s="121" t="inlineStr">
        <is>
          <t>Ameixa e Flor de Baunilha</t>
        </is>
      </c>
      <c r="G50" s="131" t="n"/>
      <c r="H50" s="121" t="inlineStr">
        <is>
          <t xml:space="preserve">120ml </t>
        </is>
      </c>
      <c r="I50" s="126" t="inlineStr">
        <is>
          <t>Frasco</t>
        </is>
      </c>
      <c r="J50" s="150" t="inlineStr">
        <is>
          <t xml:space="preserve">Óleo bifásico \ hidra. intensa \ perfuma </t>
        </is>
      </c>
      <c r="K50" s="178" t="n"/>
      <c r="L50" s="178" t="n">
        <v>43.9</v>
      </c>
    </row>
    <row r="51" ht="15" customHeight="1" s="145">
      <c r="B51" s="63" t="inlineStr">
        <is>
          <t>Natura</t>
        </is>
      </c>
      <c r="C51" s="118" t="inlineStr">
        <is>
          <t>Tododia</t>
        </is>
      </c>
      <c r="D51" s="135" t="inlineStr">
        <is>
          <t xml:space="preserve">Oleo Corporal </t>
        </is>
      </c>
      <c r="E51" s="136">
        <f>TRIM(CONCATENATE(D51, " ", C51, " ", F51, " ", IF(G51&gt;0, G51 &amp; "x" &amp; H51, H51), " ", I51))</f>
        <v/>
      </c>
      <c r="F51" s="121" t="inlineStr">
        <is>
          <t>Tâmara e Canela</t>
        </is>
      </c>
      <c r="G51" s="131" t="n"/>
      <c r="H51" s="121" t="inlineStr">
        <is>
          <t xml:space="preserve">120ml </t>
        </is>
      </c>
      <c r="I51" s="126" t="inlineStr">
        <is>
          <t>Frasco</t>
        </is>
      </c>
      <c r="J51" s="150" t="inlineStr">
        <is>
          <t xml:space="preserve">Óleo bifásico \ hidra. intensa \ perfuma </t>
        </is>
      </c>
      <c r="K51" s="178" t="n"/>
      <c r="L51" s="178" t="n">
        <v>43.9</v>
      </c>
    </row>
    <row r="52" ht="15" customFormat="1" customHeight="1" s="10">
      <c r="B52" s="63" t="inlineStr">
        <is>
          <t>Natura</t>
        </is>
      </c>
      <c r="C52" s="118" t="inlineStr">
        <is>
          <t>Tododia</t>
        </is>
      </c>
      <c r="D52" s="135" t="inlineStr">
        <is>
          <t xml:space="preserve">Concentrado  Relaxante </t>
        </is>
      </c>
      <c r="E52" s="136">
        <f>TRIM(CONCATENATE(D52, " ", C52, " ", F52, " ", IF(G52&gt;0, G52 &amp; "x" &amp; H52, H52), " ", I52))</f>
        <v/>
      </c>
      <c r="F52" s="121" t="inlineStr">
        <is>
          <t>Todonoite</t>
        </is>
      </c>
      <c r="G52" s="131" t="n"/>
      <c r="H52" s="121" t="inlineStr">
        <is>
          <t>800g</t>
        </is>
      </c>
      <c r="I52" s="126" t="inlineStr">
        <is>
          <t>Tubo</t>
        </is>
      </c>
      <c r="J52" s="119" t="inlineStr">
        <is>
          <t xml:space="preserve">Concentrado Relaxante \ perfuma \ essencia relaxante </t>
        </is>
      </c>
      <c r="K52" s="131" t="n"/>
      <c r="L52" s="131" t="inlineStr">
        <is>
          <t>R$ 66, 90</t>
        </is>
      </c>
    </row>
    <row r="53" ht="15" customHeight="1" s="145">
      <c r="B53" s="63" t="inlineStr">
        <is>
          <t>Natura</t>
        </is>
      </c>
      <c r="C53" s="118" t="inlineStr">
        <is>
          <t>Tododia</t>
        </is>
      </c>
      <c r="D53" s="135" t="inlineStr">
        <is>
          <t>Sabonete em barra puro vegetal</t>
        </is>
      </c>
      <c r="E53" s="136">
        <f>TRIM(CONCATENATE(D53, " ", C53, " ", F53, " ", IF(G53&gt;0, G53 &amp; "x" &amp; H53, H53), " ", I53))</f>
        <v/>
      </c>
      <c r="F53" s="121" t="inlineStr">
        <is>
          <t>Acerola e Hibisco</t>
        </is>
      </c>
      <c r="G53" s="131" t="n">
        <v>5</v>
      </c>
      <c r="H53" s="143" t="inlineStr">
        <is>
          <t xml:space="preserve">90g </t>
        </is>
      </c>
      <c r="I53" s="144" t="inlineStr">
        <is>
          <t>Caixa</t>
        </is>
      </c>
      <c r="J53" s="150" t="inlineStr">
        <is>
          <t xml:space="preserve">Puro vegetal \ Nutritivo </t>
        </is>
      </c>
      <c r="K53" s="178" t="n"/>
      <c r="L53" s="178" t="n">
        <v>33.9</v>
      </c>
    </row>
    <row r="54" ht="15" customHeight="1" s="145">
      <c r="B54" s="63" t="inlineStr">
        <is>
          <t>Natura</t>
        </is>
      </c>
      <c r="C54" s="118" t="inlineStr">
        <is>
          <t>Tododia</t>
        </is>
      </c>
      <c r="D54" s="119" t="inlineStr">
        <is>
          <t>Sabonete em barra puro vegetal</t>
        </is>
      </c>
      <c r="E54" s="136">
        <f>TRIM(CONCATENATE(D54, " ", C54, " ", F54, " ", IF(G54&gt;0, G54 &amp; "x" &amp; H54, H54), " ", I54))</f>
        <v/>
      </c>
      <c r="F54" s="121" t="inlineStr">
        <is>
          <t xml:space="preserve">Algodão </t>
        </is>
      </c>
      <c r="G54" s="131" t="n">
        <v>5</v>
      </c>
      <c r="H54" s="143" t="inlineStr">
        <is>
          <t xml:space="preserve">90g </t>
        </is>
      </c>
      <c r="I54" s="144" t="inlineStr">
        <is>
          <t>Caixa</t>
        </is>
      </c>
      <c r="J54" s="150" t="inlineStr">
        <is>
          <t xml:space="preserve">Acalma \ Relaxa </t>
        </is>
      </c>
      <c r="K54" s="178" t="n"/>
      <c r="L54" s="178" t="n">
        <v>33.9</v>
      </c>
    </row>
    <row r="55" ht="15" customHeight="1" s="145">
      <c r="A55" t="inlineStr">
        <is>
          <t>NATBRA-72147</t>
        </is>
      </c>
      <c r="B55" s="63" t="inlineStr">
        <is>
          <t>Natura</t>
        </is>
      </c>
      <c r="C55" s="118" t="inlineStr">
        <is>
          <t>Tododia</t>
        </is>
      </c>
      <c r="D55" s="119" t="inlineStr">
        <is>
          <t>Sabonete em barra puro vegetal</t>
        </is>
      </c>
      <c r="E55" s="136">
        <f>TRIM(CONCATENATE(D55, " ", C55, " ", F55, " ", IF(G55&gt;0, G55 &amp; "x" &amp; H55, H55), " ", I55))</f>
        <v/>
      </c>
      <c r="F55" s="121" t="inlineStr">
        <is>
          <t>Alecrim e Sálvia</t>
        </is>
      </c>
      <c r="G55" s="131" t="n">
        <v>5</v>
      </c>
      <c r="H55" s="143" t="inlineStr">
        <is>
          <t xml:space="preserve">90g </t>
        </is>
      </c>
      <c r="I55" s="144" t="inlineStr">
        <is>
          <t>Caixa</t>
        </is>
      </c>
      <c r="J55" s="150" t="inlineStr">
        <is>
          <t xml:space="preserve">Puro vegetal \ Nutritivo </t>
        </is>
      </c>
      <c r="K55" s="178" t="n"/>
      <c r="L55" s="178" t="n">
        <v>33.9</v>
      </c>
    </row>
    <row r="56" ht="15" customHeight="1" s="145">
      <c r="A56" t="inlineStr">
        <is>
          <t>NATBRA-100535</t>
        </is>
      </c>
      <c r="B56" s="63" t="inlineStr">
        <is>
          <t>Natura</t>
        </is>
      </c>
      <c r="C56" s="118" t="inlineStr">
        <is>
          <t>Tododia</t>
        </is>
      </c>
      <c r="D56" s="119" t="inlineStr">
        <is>
          <t>Sabonete em barra puro vegetal</t>
        </is>
      </c>
      <c r="E56" s="136">
        <f>TRIM(CONCATENATE(D56, " ", C56, " ", F56, " ", IF(G56&gt;0, G56 &amp; "x" &amp; H56, H56), " ", I56))</f>
        <v/>
      </c>
      <c r="F56" s="121" t="inlineStr">
        <is>
          <t>Ameixa e Flor de Baunilha</t>
        </is>
      </c>
      <c r="G56" s="131" t="n">
        <v>5</v>
      </c>
      <c r="H56" s="143" t="inlineStr">
        <is>
          <t xml:space="preserve">90g </t>
        </is>
      </c>
      <c r="I56" s="144" t="inlineStr">
        <is>
          <t>Caixa</t>
        </is>
      </c>
      <c r="J56" s="150" t="inlineStr">
        <is>
          <t xml:space="preserve">Puro vegetal \ Nutritivo </t>
        </is>
      </c>
      <c r="K56" s="178" t="n"/>
      <c r="L56" s="178" t="n">
        <v>33.9</v>
      </c>
    </row>
    <row r="57" ht="15" customHeight="1" s="145">
      <c r="A57" t="inlineStr">
        <is>
          <t>NATBRA-87512</t>
        </is>
      </c>
      <c r="B57" s="63" t="inlineStr">
        <is>
          <t>Natura</t>
        </is>
      </c>
      <c r="C57" s="118" t="inlineStr">
        <is>
          <t>Tododia</t>
        </is>
      </c>
      <c r="D57" s="119" t="inlineStr">
        <is>
          <t>Sabonete em barra puro vegetal</t>
        </is>
      </c>
      <c r="E57" s="136">
        <f>TRIM(CONCATENATE(D57, " ", C57, " ", F57, " ", IF(G57&gt;0, G57 &amp; "x" &amp; H57, H57), " ", I57))</f>
        <v/>
      </c>
      <c r="F57" s="121" t="inlineStr">
        <is>
          <t>Amora Vermelha e Jabuticaba</t>
        </is>
      </c>
      <c r="G57" s="131" t="n">
        <v>5</v>
      </c>
      <c r="H57" s="143" t="inlineStr">
        <is>
          <t xml:space="preserve">90g </t>
        </is>
      </c>
      <c r="I57" s="144" t="inlineStr">
        <is>
          <t>Caixa</t>
        </is>
      </c>
      <c r="J57" s="150" t="inlineStr">
        <is>
          <t xml:space="preserve">Puro vegetal \ Nutritivo </t>
        </is>
      </c>
      <c r="K57" s="178" t="n"/>
      <c r="L57" s="178" t="n">
        <v>33.9</v>
      </c>
    </row>
    <row r="58" ht="15" customHeight="1" s="145">
      <c r="B58" s="63" t="inlineStr">
        <is>
          <t>Natura</t>
        </is>
      </c>
      <c r="C58" s="118" t="inlineStr">
        <is>
          <t>Tododia</t>
        </is>
      </c>
      <c r="D58" s="119" t="inlineStr">
        <is>
          <t>Sabonete em barra puro vegetal</t>
        </is>
      </c>
      <c r="E58" s="136">
        <f>TRIM(CONCATENATE(D58, " ", C58, " ", F58, " ", IF(G58&gt;0, G58 &amp; "x" &amp; H58, H58), " ", I58))</f>
        <v/>
      </c>
      <c r="F58" s="121" t="inlineStr">
        <is>
          <t xml:space="preserve">Avelã e Cassis </t>
        </is>
      </c>
      <c r="G58" s="131" t="n">
        <v>5</v>
      </c>
      <c r="H58" s="143" t="inlineStr">
        <is>
          <t xml:space="preserve">90g </t>
        </is>
      </c>
      <c r="I58" s="144" t="inlineStr">
        <is>
          <t>Caixa</t>
        </is>
      </c>
      <c r="J58" s="150" t="inlineStr">
        <is>
          <t xml:space="preserve">Puro vegetal \ Nutritivo </t>
        </is>
      </c>
      <c r="K58" s="178" t="n"/>
      <c r="L58" s="178" t="n">
        <v>33.9</v>
      </c>
    </row>
    <row r="59" ht="15" customHeight="1" s="145">
      <c r="B59" s="63" t="inlineStr">
        <is>
          <t>Natura</t>
        </is>
      </c>
      <c r="C59" s="118" t="inlineStr">
        <is>
          <t>Tododia</t>
        </is>
      </c>
      <c r="D59" s="119" t="inlineStr">
        <is>
          <t>Sabonete em barra puro vegetal</t>
        </is>
      </c>
      <c r="E59" s="136">
        <f>TRIM(CONCATENATE(D59, " ", C59, " ", F59, " ", IF(G59&gt;0, G59 &amp; "x" &amp; H59, H59), " ", I59))</f>
        <v/>
      </c>
      <c r="F59" s="121" t="inlineStr">
        <is>
          <t>Capim Limao e Hortela</t>
        </is>
      </c>
      <c r="G59" s="131" t="n">
        <v>5</v>
      </c>
      <c r="H59" s="143" t="inlineStr">
        <is>
          <t xml:space="preserve">90g </t>
        </is>
      </c>
      <c r="I59" s="144" t="inlineStr">
        <is>
          <t>Caixa</t>
        </is>
      </c>
      <c r="J59" s="150" t="inlineStr">
        <is>
          <t xml:space="preserve">Puro vegetal \ Nutritivo </t>
        </is>
      </c>
      <c r="K59" s="178" t="n"/>
      <c r="L59" s="178" t="n">
        <v>33.9</v>
      </c>
    </row>
    <row r="60" ht="15" customHeight="1" s="145">
      <c r="B60" s="63" t="inlineStr">
        <is>
          <t>Natura</t>
        </is>
      </c>
      <c r="C60" s="118" t="inlineStr">
        <is>
          <t>Tododia</t>
        </is>
      </c>
      <c r="D60" s="119" t="inlineStr">
        <is>
          <t>Sabonete em barra puro vegetal</t>
        </is>
      </c>
      <c r="E60" s="136">
        <f>TRIM(CONCATENATE(D60, " ", C60, " ", F60, " ", IF(G60&gt;0, G60 &amp; "x" &amp; H60, H60), " ", I60))</f>
        <v/>
      </c>
      <c r="F60" s="121" t="inlineStr">
        <is>
          <t>Cereja Negra e Pranilé</t>
        </is>
      </c>
      <c r="G60" s="131" t="n">
        <v>5</v>
      </c>
      <c r="H60" s="143" t="inlineStr">
        <is>
          <t xml:space="preserve">90g </t>
        </is>
      </c>
      <c r="I60" s="144" t="inlineStr">
        <is>
          <t>Caixa</t>
        </is>
      </c>
      <c r="J60" s="150" t="inlineStr">
        <is>
          <t xml:space="preserve">Puro vegetal \ Nutritivo </t>
        </is>
      </c>
      <c r="K60" s="178" t="n"/>
      <c r="L60" s="178" t="n">
        <v>33.9</v>
      </c>
    </row>
    <row r="61" ht="15" customHeight="1" s="145">
      <c r="A61" t="inlineStr">
        <is>
          <t>NATBRA-95840</t>
        </is>
      </c>
      <c r="B61" s="63" t="inlineStr">
        <is>
          <t>Natura</t>
        </is>
      </c>
      <c r="C61" s="118" t="inlineStr">
        <is>
          <t>Tododia</t>
        </is>
      </c>
      <c r="D61" s="119" t="inlineStr">
        <is>
          <t>Sabonete em barra puro vegetal</t>
        </is>
      </c>
      <c r="E61" s="136">
        <f>TRIM(CONCATENATE(D61, " ", C61, " ", F61, " ", IF(G61&gt;0, G61 &amp; "x" &amp; H61, H61), " ", I61))</f>
        <v/>
      </c>
      <c r="F61" s="121" t="inlineStr">
        <is>
          <t>Cereja e Avelã</t>
        </is>
      </c>
      <c r="G61" s="131" t="n">
        <v>5</v>
      </c>
      <c r="H61" s="143" t="inlineStr">
        <is>
          <t xml:space="preserve">90g </t>
        </is>
      </c>
      <c r="I61" s="144" t="inlineStr">
        <is>
          <t>Caixa</t>
        </is>
      </c>
      <c r="J61" s="150" t="inlineStr">
        <is>
          <t xml:space="preserve">Acalma \ Relaxa \ nutritivo </t>
        </is>
      </c>
      <c r="K61" s="178" t="n"/>
      <c r="L61" s="178" t="n">
        <v>33.9</v>
      </c>
    </row>
    <row r="62" ht="15" customHeight="1" s="145">
      <c r="B62" s="63" t="inlineStr">
        <is>
          <t>Natura</t>
        </is>
      </c>
      <c r="C62" s="118" t="inlineStr">
        <is>
          <t>Tododia</t>
        </is>
      </c>
      <c r="D62" s="119" t="inlineStr">
        <is>
          <t>Sabonete em barra puro vegetal</t>
        </is>
      </c>
      <c r="E62" s="136">
        <f>TRIM(CONCATENATE(D62, " ", C62, " ", F62, " ", IF(G62&gt;0, G62 &amp; "x" &amp; H62, H62), " ", I62))</f>
        <v/>
      </c>
      <c r="F62" s="121" t="inlineStr">
        <is>
          <t>Todonoite</t>
        </is>
      </c>
      <c r="G62" s="131" t="n">
        <v>5</v>
      </c>
      <c r="H62" s="143" t="inlineStr">
        <is>
          <t xml:space="preserve">90g </t>
        </is>
      </c>
      <c r="I62" s="144" t="inlineStr">
        <is>
          <t>Caixa</t>
        </is>
      </c>
      <c r="J62" s="150" t="inlineStr">
        <is>
          <t xml:space="preserve">energizante \ Nutritivo </t>
        </is>
      </c>
      <c r="K62" s="178" t="n"/>
      <c r="L62" s="178" t="n">
        <v>33.9</v>
      </c>
    </row>
    <row r="63" ht="15" customHeight="1" s="145">
      <c r="B63" s="63" t="inlineStr">
        <is>
          <t>Natura</t>
        </is>
      </c>
      <c r="C63" s="118" t="inlineStr">
        <is>
          <t>Tododia</t>
        </is>
      </c>
      <c r="D63" s="119" t="inlineStr">
        <is>
          <t>Sabonete em barra puro vegetal</t>
        </is>
      </c>
      <c r="E63" s="136">
        <f>TRIM(CONCATENATE(D63, " ", C63, " ", F63, " ", IF(G63&gt;0, G63 &amp; "x" &amp; H63, H63), " ", I63))</f>
        <v/>
      </c>
      <c r="F63" s="121" t="inlineStr">
        <is>
          <t xml:space="preserve">Energ. Flor de Gengibre e Tangerina </t>
        </is>
      </c>
      <c r="G63" s="131" t="n">
        <v>5</v>
      </c>
      <c r="H63" s="143" t="inlineStr">
        <is>
          <t xml:space="preserve">90g </t>
        </is>
      </c>
      <c r="I63" s="144" t="inlineStr">
        <is>
          <t>Caixa</t>
        </is>
      </c>
      <c r="J63" s="150" t="inlineStr">
        <is>
          <t xml:space="preserve">Energizante \ Puro vegetal \ Nutritivo </t>
        </is>
      </c>
      <c r="K63" s="178" t="n"/>
      <c r="L63" s="178" t="n">
        <v>33.9</v>
      </c>
    </row>
    <row r="64" ht="15" customHeight="1" s="145">
      <c r="B64" s="63" t="inlineStr">
        <is>
          <t>Natura</t>
        </is>
      </c>
      <c r="C64" s="118" t="inlineStr">
        <is>
          <t>Tododia</t>
        </is>
      </c>
      <c r="D64" s="119" t="inlineStr">
        <is>
          <t>Sabonete em barra puro vegetal</t>
        </is>
      </c>
      <c r="E64" s="136">
        <f>TRIM(CONCATENATE(D64, " ", C64, " ", F64, " ", IF(G64&gt;0, G64 &amp; "x" &amp; H64, H64), " ", I64))</f>
        <v/>
      </c>
      <c r="F64" s="121" t="inlineStr">
        <is>
          <t xml:space="preserve">Framboesa e PImenta Rosa </t>
        </is>
      </c>
      <c r="G64" s="131" t="n">
        <v>5</v>
      </c>
      <c r="H64" s="143" t="inlineStr">
        <is>
          <t xml:space="preserve">90g </t>
        </is>
      </c>
      <c r="I64" s="144" t="inlineStr">
        <is>
          <t>Caixa</t>
        </is>
      </c>
      <c r="J64" s="150" t="inlineStr">
        <is>
          <t xml:space="preserve">Puro vegetal \ Nutritivo </t>
        </is>
      </c>
      <c r="K64" s="178" t="n"/>
      <c r="L64" s="178" t="n">
        <v>33.9</v>
      </c>
    </row>
    <row r="65" ht="15" customHeight="1" s="145">
      <c r="B65" s="63" t="inlineStr">
        <is>
          <t>Natura</t>
        </is>
      </c>
      <c r="C65" s="118" t="inlineStr">
        <is>
          <t>Tododia</t>
        </is>
      </c>
      <c r="D65" s="119" t="inlineStr">
        <is>
          <t>Sabonete em barra puro vegetal</t>
        </is>
      </c>
      <c r="E65" s="136">
        <f>TRIM(CONCATENATE(D65, " ", C65, " ", F65, " ", IF(G65&gt;0, G65 &amp; "x" &amp; H65, H65), " ", I65))</f>
        <v/>
      </c>
      <c r="F65" s="121" t="inlineStr">
        <is>
          <t xml:space="preserve">Frutas Vermelha </t>
        </is>
      </c>
      <c r="G65" s="131" t="n">
        <v>5</v>
      </c>
      <c r="H65" s="143" t="inlineStr">
        <is>
          <t xml:space="preserve">90g </t>
        </is>
      </c>
      <c r="I65" s="144" t="inlineStr">
        <is>
          <t>Caixa</t>
        </is>
      </c>
      <c r="J65" s="150" t="inlineStr">
        <is>
          <t xml:space="preserve">Puro vegetal \ Nutritivo </t>
        </is>
      </c>
      <c r="K65" s="178" t="n"/>
      <c r="L65" s="178" t="n">
        <v>33.9</v>
      </c>
    </row>
    <row r="66" ht="15" customHeight="1" s="145">
      <c r="B66" s="63" t="inlineStr">
        <is>
          <t>Natura</t>
        </is>
      </c>
      <c r="C66" s="118" t="inlineStr">
        <is>
          <t>Tododia</t>
        </is>
      </c>
      <c r="D66" s="119" t="inlineStr">
        <is>
          <t>Sabonete em barra puro vegetal</t>
        </is>
      </c>
      <c r="E66" s="136">
        <f>TRIM(CONCATENATE(D66, " ", C66, " ", F66, " ", IF(G66&gt;0, G66 &amp; "x" &amp; H66, H66), " ", I66))</f>
        <v/>
      </c>
      <c r="F66" s="121" t="inlineStr">
        <is>
          <t>Jasmim e Bergamota</t>
        </is>
      </c>
      <c r="G66" s="131" t="n">
        <v>5</v>
      </c>
      <c r="H66" s="143" t="inlineStr">
        <is>
          <t xml:space="preserve">90g </t>
        </is>
      </c>
      <c r="I66" s="144" t="inlineStr">
        <is>
          <t>Caixa</t>
        </is>
      </c>
      <c r="J66" s="150" t="inlineStr">
        <is>
          <t xml:space="preserve">Puro vegetal \ Nutritivo </t>
        </is>
      </c>
      <c r="K66" s="178" t="n"/>
      <c r="L66" s="178" t="n">
        <v>33.9</v>
      </c>
    </row>
    <row r="67" ht="15" customHeight="1" s="145">
      <c r="B67" s="63" t="inlineStr">
        <is>
          <t>Natura</t>
        </is>
      </c>
      <c r="C67" s="118" t="inlineStr">
        <is>
          <t>Tododia</t>
        </is>
      </c>
      <c r="D67" s="119" t="inlineStr">
        <is>
          <t>Sabonete em barra puro vegetal</t>
        </is>
      </c>
      <c r="E67" s="136">
        <f>TRIM(CONCATENATE(D67, " ", C67, " ", F67, " ", IF(G67&gt;0, G67 &amp; "x" &amp; H67, H67), " ", I67))</f>
        <v/>
      </c>
      <c r="F67" s="121" t="inlineStr">
        <is>
          <t>Manga Rosa e Àgua de Coco</t>
        </is>
      </c>
      <c r="G67" s="131" t="n">
        <v>5</v>
      </c>
      <c r="H67" s="143" t="inlineStr">
        <is>
          <t xml:space="preserve">90g </t>
        </is>
      </c>
      <c r="I67" s="144" t="inlineStr">
        <is>
          <t>Caixa</t>
        </is>
      </c>
      <c r="J67" s="150" t="inlineStr">
        <is>
          <t xml:space="preserve">Puro vegetal \ Nutritivo </t>
        </is>
      </c>
      <c r="K67" s="178" t="n"/>
      <c r="L67" s="178" t="n">
        <v>33.9</v>
      </c>
    </row>
    <row r="68" ht="15" customHeight="1" s="145">
      <c r="B68" s="63" t="inlineStr">
        <is>
          <t>Natura</t>
        </is>
      </c>
      <c r="C68" s="118" t="inlineStr">
        <is>
          <t>Tododia</t>
        </is>
      </c>
      <c r="D68" s="119" t="inlineStr">
        <is>
          <t>Sabonete em barra puro vegetal</t>
        </is>
      </c>
      <c r="E68" s="136">
        <f>TRIM(CONCATENATE(D68, " ", C68, " ", F68, " ", IF(G68&gt;0, G68 &amp; "x" &amp; H68, H68), " ", I68))</f>
        <v/>
      </c>
      <c r="F68" s="121" t="inlineStr">
        <is>
          <t xml:space="preserve">Maçã Caramelada e Baunilha </t>
        </is>
      </c>
      <c r="G68" s="131" t="n">
        <v>5</v>
      </c>
      <c r="H68" s="143" t="inlineStr">
        <is>
          <t xml:space="preserve">90g </t>
        </is>
      </c>
      <c r="I68" s="144" t="inlineStr">
        <is>
          <t>Caixa</t>
        </is>
      </c>
      <c r="J68" s="119" t="inlineStr">
        <is>
          <t xml:space="preserve">Nutritivo \ Especial São João \ Inspirada na Maçã do Amor </t>
        </is>
      </c>
      <c r="K68" s="178" t="n"/>
      <c r="L68" s="178" t="n">
        <v>33.9</v>
      </c>
    </row>
    <row r="69" ht="15" customHeight="1" s="145">
      <c r="A69" t="inlineStr">
        <is>
          <t>NATBRA-2829</t>
        </is>
      </c>
      <c r="B69" s="63" t="inlineStr">
        <is>
          <t>Natura</t>
        </is>
      </c>
      <c r="C69" s="118" t="inlineStr">
        <is>
          <t>Tododia</t>
        </is>
      </c>
      <c r="D69" s="119" t="inlineStr">
        <is>
          <t>Sabonete em barra puro vegetal</t>
        </is>
      </c>
      <c r="E69" s="136">
        <f>TRIM(CONCATENATE(D69, " ", C69, " ", F69, " ", IF(G69&gt;0, G69 &amp; "x" &amp; H69, H69), " ", I69))</f>
        <v/>
      </c>
      <c r="F69" s="121" t="inlineStr">
        <is>
          <t xml:space="preserve">Macadamia </t>
        </is>
      </c>
      <c r="G69" s="131" t="n">
        <v>5</v>
      </c>
      <c r="H69" s="143" t="inlineStr">
        <is>
          <t xml:space="preserve">90g </t>
        </is>
      </c>
      <c r="I69" s="144" t="inlineStr">
        <is>
          <t>Caixa</t>
        </is>
      </c>
      <c r="J69" s="150" t="inlineStr">
        <is>
          <t xml:space="preserve">Puro vegetal \ Nutritivo </t>
        </is>
      </c>
      <c r="K69" s="178" t="n"/>
      <c r="L69" s="178" t="n">
        <v>33.9</v>
      </c>
    </row>
    <row r="70" ht="15" customHeight="1" s="145">
      <c r="B70" s="63" t="inlineStr">
        <is>
          <t>Natura</t>
        </is>
      </c>
      <c r="C70" s="71" t="inlineStr">
        <is>
          <t>Tododia</t>
        </is>
      </c>
      <c r="D70" s="64" t="inlineStr">
        <is>
          <t>Sabonete em barra puro vegetal</t>
        </is>
      </c>
      <c r="E70" s="136">
        <f>TRIM(CONCATENATE(D70, " ", C70, " ", F70, " ", IF(G70&gt;0, G70 &amp; "x" &amp; H70, H70), " ", I70))</f>
        <v/>
      </c>
      <c r="F70" s="121" t="inlineStr">
        <is>
          <t xml:space="preserve">Noz Pecã e Cacau </t>
        </is>
      </c>
      <c r="G70" s="131" t="n">
        <v>5</v>
      </c>
      <c r="H70" s="143" t="inlineStr">
        <is>
          <t xml:space="preserve">90g </t>
        </is>
      </c>
      <c r="I70" s="144" t="inlineStr">
        <is>
          <t>Caixa</t>
        </is>
      </c>
      <c r="J70" s="150" t="inlineStr">
        <is>
          <t xml:space="preserve">Puro vegetal \ Nutritivo </t>
        </is>
      </c>
      <c r="K70" s="178" t="n"/>
      <c r="L70" s="178" t="n">
        <v>33.9</v>
      </c>
    </row>
    <row r="71" ht="15" customHeight="1" s="145">
      <c r="B71" s="63" t="inlineStr">
        <is>
          <t>Natura</t>
        </is>
      </c>
      <c r="C71" s="71" t="inlineStr">
        <is>
          <t>Tododia</t>
        </is>
      </c>
      <c r="D71" s="64" t="inlineStr">
        <is>
          <t>Sabonete em barra puro vegetal</t>
        </is>
      </c>
      <c r="E71" s="136">
        <f>TRIM(CONCATENATE(D71, " ", C71, " ", F71, " ", IF(G71&gt;0, G71 &amp; "x" &amp; H71, H71), " ", I71))</f>
        <v/>
      </c>
      <c r="F71" s="2" t="inlineStr">
        <is>
          <t xml:space="preserve">Roma e Salvia </t>
        </is>
      </c>
      <c r="G71" s="131" t="n">
        <v>5</v>
      </c>
      <c r="H71" s="143" t="inlineStr">
        <is>
          <t xml:space="preserve">90g </t>
        </is>
      </c>
      <c r="I71" s="144" t="inlineStr">
        <is>
          <t>Caixa</t>
        </is>
      </c>
      <c r="J71" s="150" t="inlineStr">
        <is>
          <t xml:space="preserve">Puro vegetal \ Nutritivo </t>
        </is>
      </c>
      <c r="K71" s="178" t="n"/>
      <c r="L71" s="178" t="n">
        <v>33.9</v>
      </c>
    </row>
    <row r="72" ht="15" customHeight="1" s="145">
      <c r="B72" s="63" t="inlineStr">
        <is>
          <t>Natura</t>
        </is>
      </c>
      <c r="C72" s="71" t="inlineStr">
        <is>
          <t>Tododia</t>
        </is>
      </c>
      <c r="D72" s="64" t="inlineStr">
        <is>
          <t>Sabonete em barra puro vegetal</t>
        </is>
      </c>
      <c r="E72" s="136">
        <f>TRIM(CONCATENATE(D72, " ", C72, " ", F72, " ", IF(G72&gt;0, G72 &amp; "x" &amp; H72, H72), " ", I72))</f>
        <v/>
      </c>
      <c r="F72" s="2" t="inlineStr">
        <is>
          <t>Romã e Flor de Amora</t>
        </is>
      </c>
      <c r="G72" s="131" t="n">
        <v>5</v>
      </c>
      <c r="H72" s="143" t="inlineStr">
        <is>
          <t xml:space="preserve">90g </t>
        </is>
      </c>
      <c r="I72" s="144" t="inlineStr">
        <is>
          <t>Caixa</t>
        </is>
      </c>
      <c r="J72" s="150" t="inlineStr">
        <is>
          <t xml:space="preserve">Puro vegetal \ Nutritivo </t>
        </is>
      </c>
      <c r="K72" s="178" t="n"/>
      <c r="L72" s="178" t="n">
        <v>33.9</v>
      </c>
    </row>
    <row r="73" ht="15" customFormat="1" customHeight="1" s="10">
      <c r="A73" t="inlineStr">
        <is>
          <t>NATBRA-7733</t>
        </is>
      </c>
      <c r="B73" s="63" t="inlineStr">
        <is>
          <t>Natura</t>
        </is>
      </c>
      <c r="C73" s="71" t="inlineStr">
        <is>
          <t>Tododia</t>
        </is>
      </c>
      <c r="D73" s="64" t="inlineStr">
        <is>
          <t>Sabonete em barra puro vegetal</t>
        </is>
      </c>
      <c r="E73" s="136">
        <f>TRIM(CONCATENATE(D73, " ", C73, " ", F73, " ", IF(G73&gt;0, G73 &amp; "x" &amp; H73, H73), " ", I73))</f>
        <v/>
      </c>
      <c r="F73" s="9" t="inlineStr">
        <is>
          <t>Tâmara e Canela</t>
        </is>
      </c>
      <c r="G73" s="131" t="n">
        <v>5</v>
      </c>
      <c r="H73" s="143" t="inlineStr">
        <is>
          <t xml:space="preserve">90g </t>
        </is>
      </c>
      <c r="I73" s="144" t="inlineStr">
        <is>
          <t>Caixa</t>
        </is>
      </c>
      <c r="J73" s="150" t="inlineStr">
        <is>
          <t xml:space="preserve">Puro vegetal \ Nutritivo </t>
        </is>
      </c>
      <c r="K73" s="178" t="n"/>
      <c r="L73" s="178" t="n">
        <v>33.9</v>
      </c>
    </row>
    <row r="74" ht="15" customHeight="1" s="145">
      <c r="B74" s="63" t="inlineStr">
        <is>
          <t>Natura</t>
        </is>
      </c>
      <c r="C74" s="71" t="inlineStr">
        <is>
          <t>Tododia</t>
        </is>
      </c>
      <c r="D74" s="64" t="inlineStr">
        <is>
          <t>Sabonete em barra puro vegetal</t>
        </is>
      </c>
      <c r="E74" s="136">
        <f>TRIM(CONCATENATE(D74, " ", C74, " ", F74, " ", IF(G74&gt;0, G74 &amp; "x" &amp; H74, H74), " ", I74))</f>
        <v/>
      </c>
      <c r="F74" s="2" t="inlineStr">
        <is>
          <t xml:space="preserve">Roma e Uva Rosa, Alecrin e Salvia </t>
        </is>
      </c>
      <c r="G74" s="131" t="n">
        <v>5</v>
      </c>
      <c r="H74" s="143" t="inlineStr">
        <is>
          <t xml:space="preserve">90g </t>
        </is>
      </c>
      <c r="I74" s="31" t="inlineStr">
        <is>
          <t>Caixa</t>
        </is>
      </c>
      <c r="J74" s="150" t="inlineStr">
        <is>
          <t xml:space="preserve">Puro vegetal \ Nutritivo </t>
        </is>
      </c>
      <c r="K74" s="180" t="n"/>
      <c r="L74" s="180" t="n">
        <v>41.9</v>
      </c>
    </row>
    <row r="75" ht="15" customHeight="1" s="145">
      <c r="B75" s="63" t="inlineStr">
        <is>
          <t>Natura</t>
        </is>
      </c>
      <c r="C75" s="71" t="inlineStr">
        <is>
          <t>Tododia</t>
        </is>
      </c>
      <c r="D75" s="64" t="inlineStr">
        <is>
          <t>Sabonete em barra puro vegetal</t>
        </is>
      </c>
      <c r="E75" s="136">
        <f>TRIM(CONCATENATE(D75, " ", C75, " ", F75, " ", IF(G75&gt;0, G75 &amp; "x" &amp; H75, H75), " ", I75))</f>
        <v/>
      </c>
      <c r="F75" s="2" t="inlineStr">
        <is>
          <t xml:space="preserve">Flor de Lis, Alecrim, Framboesa e Pimenta Vermelha, Macadamia, Frutas Vermelhas </t>
        </is>
      </c>
      <c r="G75" s="131" t="n">
        <v>5</v>
      </c>
      <c r="H75" s="143" t="inlineStr">
        <is>
          <t xml:space="preserve">90g </t>
        </is>
      </c>
      <c r="I75" s="31" t="inlineStr">
        <is>
          <t>Caixa</t>
        </is>
      </c>
      <c r="J75" s="150" t="inlineStr">
        <is>
          <t xml:space="preserve">Puro vegetal \ Nutritivo </t>
        </is>
      </c>
      <c r="K75" s="180" t="n"/>
      <c r="L75" s="180" t="n">
        <v>41.9</v>
      </c>
    </row>
    <row r="76" ht="15" customHeight="1" s="145">
      <c r="B76" s="63" t="inlineStr">
        <is>
          <t>Natura</t>
        </is>
      </c>
      <c r="C76" s="71" t="inlineStr">
        <is>
          <t>Tododia</t>
        </is>
      </c>
      <c r="D76" s="64" t="inlineStr">
        <is>
          <t>Sabonete em barra puro vegetal</t>
        </is>
      </c>
      <c r="E76" s="136">
        <f>TRIM(CONCATENATE(D76, " ", C76, " ", F76, " ", IF(G76&gt;0, G76 &amp; "x" &amp; H76, H76), " ", I76))</f>
        <v/>
      </c>
      <c r="F76" s="2" t="inlineStr">
        <is>
          <t xml:space="preserve">Ameixa e flor de baunilha, Ameixa e Flor de Cereja eRroma e Flor de Amora  </t>
        </is>
      </c>
      <c r="G76" s="131" t="n">
        <v>5</v>
      </c>
      <c r="H76" s="143" t="inlineStr">
        <is>
          <t xml:space="preserve">90g </t>
        </is>
      </c>
      <c r="I76" s="33" t="inlineStr">
        <is>
          <t>Caixa</t>
        </is>
      </c>
      <c r="J76" s="150" t="inlineStr">
        <is>
          <t xml:space="preserve">Puro vegetal \ Nutritivo </t>
        </is>
      </c>
      <c r="K76" s="180" t="n"/>
      <c r="L76" s="180" t="n">
        <v>41.9</v>
      </c>
    </row>
    <row r="77" ht="15.75" customHeight="1" s="145">
      <c r="B77" s="63" t="inlineStr">
        <is>
          <t>Natura</t>
        </is>
      </c>
      <c r="C77" s="71" t="inlineStr">
        <is>
          <t>Tododia</t>
        </is>
      </c>
      <c r="D77" s="64" t="inlineStr">
        <is>
          <t>Sabonete Liquido Intimo</t>
        </is>
      </c>
      <c r="E77" s="136">
        <f>TRIM(CONCATENATE(D77, " ", C77, " ", F77, " ", IF(G77&gt;0, G77 &amp; "x" &amp; H77, H77), " ", I77))</f>
        <v/>
      </c>
      <c r="F77" s="2" t="inlineStr">
        <is>
          <t xml:space="preserve">Algodão, Suave, Conforto </t>
        </is>
      </c>
      <c r="G77" s="131" t="n"/>
      <c r="H77" s="11" t="inlineStr">
        <is>
          <t xml:space="preserve">200ml </t>
        </is>
      </c>
      <c r="I77" s="34" t="inlineStr">
        <is>
          <t xml:space="preserve">Frasco </t>
        </is>
      </c>
      <c r="J77" s="2" t="inlineStr">
        <is>
          <t xml:space="preserve">Suave \ Conforto </t>
        </is>
      </c>
      <c r="K77" s="180" t="n"/>
      <c r="L77" s="180" t="n">
        <v>49.9</v>
      </c>
    </row>
    <row r="78" ht="15.75" customHeight="1" s="145">
      <c r="B78" s="63" t="inlineStr">
        <is>
          <t>Natura</t>
        </is>
      </c>
      <c r="C78" s="71" t="inlineStr">
        <is>
          <t>Tododia</t>
        </is>
      </c>
      <c r="D78" s="64" t="inlineStr">
        <is>
          <t>Sabonete Liquido Intimo</t>
        </is>
      </c>
      <c r="E78" s="136">
        <f>TRIM(CONCATENATE(D78, " ", C78, " ", F78, " ", IF(G78&gt;0, G78 &amp; "x" &amp; H78, H78), " ", I78))</f>
        <v/>
      </c>
      <c r="F78" s="2" t="inlineStr">
        <is>
          <t xml:space="preserve">Cereja e Avelã </t>
        </is>
      </c>
      <c r="G78" s="131" t="n"/>
      <c r="H78" s="11" t="inlineStr">
        <is>
          <t xml:space="preserve">200ml </t>
        </is>
      </c>
      <c r="I78" s="34" t="inlineStr">
        <is>
          <t xml:space="preserve">Frasco </t>
        </is>
      </c>
      <c r="J78" s="2" t="inlineStr">
        <is>
          <t xml:space="preserve">Proteção \ Cuidado </t>
        </is>
      </c>
      <c r="K78" s="180" t="n"/>
      <c r="L78" s="180" t="n">
        <v>49.9</v>
      </c>
    </row>
    <row r="79" ht="15" customHeight="1" s="145">
      <c r="B79" s="63" t="inlineStr">
        <is>
          <t>Natura</t>
        </is>
      </c>
      <c r="C79" s="71" t="inlineStr">
        <is>
          <t>Tododia</t>
        </is>
      </c>
      <c r="D79" s="64" t="inlineStr">
        <is>
          <t>Sabonete Liquido Intimo</t>
        </is>
      </c>
      <c r="E79" s="136">
        <f>TRIM(CONCATENATE(D79, " ", C79, " ", F79, " ", IF(G79&gt;0, G79 &amp; "x" &amp; H79, H79), " ", I79))</f>
        <v/>
      </c>
      <c r="F79" s="2" t="inlineStr">
        <is>
          <t>Delicado e Frescor</t>
        </is>
      </c>
      <c r="G79" s="131" t="n"/>
      <c r="H79" s="11" t="inlineStr">
        <is>
          <t xml:space="preserve">200ml </t>
        </is>
      </c>
      <c r="I79" s="33" t="inlineStr">
        <is>
          <t xml:space="preserve">Frasco </t>
        </is>
      </c>
      <c r="J79" s="2" t="inlineStr">
        <is>
          <t xml:space="preserve">Delicado \ Frescor </t>
        </is>
      </c>
      <c r="K79" s="180" t="n"/>
      <c r="L79" s="180" t="n">
        <v>49.9</v>
      </c>
    </row>
    <row r="80" ht="15" customHeight="1" s="145">
      <c r="B80" s="63" t="inlineStr">
        <is>
          <t>Natura</t>
        </is>
      </c>
      <c r="C80" s="71" t="inlineStr">
        <is>
          <t>Tododia</t>
        </is>
      </c>
      <c r="D80" s="65" t="inlineStr">
        <is>
          <t xml:space="preserve">Sabonete Liquido Corpo e Esfoliante </t>
        </is>
      </c>
      <c r="E80" s="136">
        <f>TRIM(CONCATENATE(D80, " ", C80, " ", F80, " ", IF(G80&gt;0, G80 &amp; "x" &amp; H80, H80), " ", I80))</f>
        <v/>
      </c>
      <c r="F80" s="2" t="inlineStr">
        <is>
          <t>Limão e Hortelã</t>
        </is>
      </c>
      <c r="G80" s="131" t="n"/>
      <c r="H80" s="11" t="inlineStr">
        <is>
          <t>190g</t>
        </is>
      </c>
      <c r="I80" s="33" t="inlineStr">
        <is>
          <t xml:space="preserve">Frasco </t>
        </is>
      </c>
      <c r="J80" s="3" t="inlineStr">
        <is>
          <t xml:space="preserve">Esfoliante </t>
        </is>
      </c>
      <c r="K80" s="180" t="n"/>
      <c r="L80" s="180" t="n">
        <v>49.9</v>
      </c>
    </row>
    <row r="81" ht="15" customHeight="1" s="145">
      <c r="B81" s="63" t="inlineStr">
        <is>
          <t>Natura</t>
        </is>
      </c>
      <c r="C81" s="71" t="inlineStr">
        <is>
          <t>Tododia</t>
        </is>
      </c>
      <c r="D81" s="65" t="inlineStr">
        <is>
          <t xml:space="preserve">Esfoliante em Creme Corporal </t>
        </is>
      </c>
      <c r="E81" s="136">
        <f>TRIM(CONCATENATE(D81, " ", C81, " ", F81, " ", IF(G81&gt;0, G81 &amp; "x" &amp; H81, H81), " ", I81))</f>
        <v/>
      </c>
      <c r="F81" s="2" t="inlineStr">
        <is>
          <t>Macadâmia</t>
        </is>
      </c>
      <c r="G81" s="131" t="n"/>
      <c r="H81" s="11" t="inlineStr">
        <is>
          <t xml:space="preserve">200ml </t>
        </is>
      </c>
      <c r="I81" s="33" t="inlineStr">
        <is>
          <t xml:space="preserve">Frasco </t>
        </is>
      </c>
      <c r="J81" s="3" t="inlineStr">
        <is>
          <t xml:space="preserve">Esfoliante </t>
        </is>
      </c>
      <c r="K81" s="180" t="n"/>
      <c r="L81" s="180" t="n">
        <v>49.9</v>
      </c>
    </row>
    <row r="82" ht="15" customHeight="1" s="145">
      <c r="B82" s="63" t="inlineStr">
        <is>
          <t>Natura</t>
        </is>
      </c>
      <c r="C82" s="71" t="inlineStr">
        <is>
          <t>Tododia</t>
        </is>
      </c>
      <c r="D82" s="64" t="inlineStr">
        <is>
          <t xml:space="preserve">Esfoliante em Creme Corporal </t>
        </is>
      </c>
      <c r="E82" s="136">
        <f>TRIM(CONCATENATE(D82, " ", C82, " ", F82, " ", IF(G82&gt;0, G82 &amp; "x" &amp; H82, H82), " ", I82))</f>
        <v/>
      </c>
      <c r="F82" s="2" t="inlineStr">
        <is>
          <t>Jambo Rosa e Flor de Caju</t>
        </is>
      </c>
      <c r="G82" s="131" t="n"/>
      <c r="H82" s="12" t="inlineStr">
        <is>
          <t>190g</t>
        </is>
      </c>
      <c r="I82" s="33" t="inlineStr">
        <is>
          <t xml:space="preserve">Frasco </t>
        </is>
      </c>
      <c r="J82" s="3" t="inlineStr">
        <is>
          <t xml:space="preserve">Esfoliante Nutritivo \ Suaviza \ Perfuma </t>
        </is>
      </c>
      <c r="K82" s="180" t="n"/>
      <c r="L82" s="180" t="n">
        <v>49.9</v>
      </c>
    </row>
    <row r="83" ht="15" customHeight="1" s="145">
      <c r="B83" s="63" t="inlineStr">
        <is>
          <t>Natura</t>
        </is>
      </c>
      <c r="C83" s="71" t="inlineStr">
        <is>
          <t>Tododia</t>
        </is>
      </c>
      <c r="D83" s="64" t="inlineStr">
        <is>
          <t>Geleia Desodorante Iluminador</t>
        </is>
      </c>
      <c r="E83" s="136">
        <f>TRIM(CONCATENATE(D83, " ", C83, " ", F83, " ", IF(G83&gt;0, G83 &amp; "x" &amp; H83, H83), " ", I83))</f>
        <v/>
      </c>
      <c r="F83" s="2" t="inlineStr">
        <is>
          <t>Jambo Rosa e Flor de Caju</t>
        </is>
      </c>
      <c r="G83" s="131" t="n"/>
      <c r="H83" s="12" t="inlineStr">
        <is>
          <t>100g</t>
        </is>
      </c>
      <c r="I83" s="33" t="inlineStr">
        <is>
          <t xml:space="preserve">Frasco </t>
        </is>
      </c>
      <c r="J83" s="3" t="inlineStr">
        <is>
          <t xml:space="preserve">Gelia Iluminador \ Desosrante \ Perfuma </t>
        </is>
      </c>
      <c r="K83" s="180" t="n"/>
      <c r="L83" s="180" t="inlineStr">
        <is>
          <t>R$ 59, 90</t>
        </is>
      </c>
    </row>
    <row r="84" ht="15" customHeight="1" s="145">
      <c r="B84" s="63" t="inlineStr">
        <is>
          <t>Natura</t>
        </is>
      </c>
      <c r="C84" s="71" t="inlineStr">
        <is>
          <t>Tododia</t>
        </is>
      </c>
      <c r="D84" s="64" t="inlineStr">
        <is>
          <t>Agua pre-biotica para o corpo</t>
        </is>
      </c>
      <c r="E84" s="136">
        <f>TRIM(CONCATENATE(D84, " ", C84, " ", F84, " ", IF(G84&gt;0, G84 &amp; "x" &amp; H84, H84), " ", I84))</f>
        <v/>
      </c>
      <c r="F84" s="2" t="inlineStr">
        <is>
          <t xml:space="preserve">Manga Rosa e Água de Coco </t>
        </is>
      </c>
      <c r="G84" s="131" t="n"/>
      <c r="H84" s="12" t="inlineStr">
        <is>
          <t>150ml</t>
        </is>
      </c>
      <c r="I84" s="33" t="inlineStr">
        <is>
          <t xml:space="preserve">Frasco </t>
        </is>
      </c>
      <c r="J84" s="3" t="inlineStr">
        <is>
          <t xml:space="preserve">Hidrata e Refresca a Pele </t>
        </is>
      </c>
      <c r="K84" s="181" t="n"/>
      <c r="L84" s="181" t="inlineStr">
        <is>
          <t>R$ 60, 00</t>
        </is>
      </c>
    </row>
    <row r="85" ht="15" customHeight="1" s="145">
      <c r="B85" s="63" t="inlineStr">
        <is>
          <t>Natura</t>
        </is>
      </c>
      <c r="C85" s="71" t="inlineStr">
        <is>
          <t>Tododia</t>
        </is>
      </c>
      <c r="D85" s="64" t="inlineStr">
        <is>
          <t xml:space="preserve">Bruma Facil </t>
        </is>
      </c>
      <c r="E85" s="136">
        <f>TRIM(CONCATENATE(D85, " ", C85, " ", F85, " ", IF(G85&gt;0, G85 &amp; "x" &amp; H85, H85), " ", I85))</f>
        <v/>
      </c>
      <c r="F85" s="2" t="inlineStr">
        <is>
          <t xml:space="preserve">Flor de Gengibre e Tangerina </t>
        </is>
      </c>
      <c r="G85" s="131" t="n"/>
      <c r="H85" s="12" t="inlineStr">
        <is>
          <t>100ml</t>
        </is>
      </c>
      <c r="I85" s="33" t="inlineStr">
        <is>
          <t xml:space="preserve">Frasco </t>
        </is>
      </c>
      <c r="J85" s="11" t="inlineStr">
        <is>
          <t xml:space="preserve">Energizante \ spray  Facil </t>
        </is>
      </c>
      <c r="K85" s="180" t="n"/>
      <c r="L85" s="180" t="n">
        <v>49.9</v>
      </c>
    </row>
    <row r="86" ht="15" customHeight="1" s="145">
      <c r="B86" s="63" t="inlineStr">
        <is>
          <t>Natura</t>
        </is>
      </c>
      <c r="C86" s="71" t="inlineStr">
        <is>
          <t>Tododia</t>
        </is>
      </c>
      <c r="D86" s="64" t="inlineStr">
        <is>
          <t xml:space="preserve">Creme Desodorante </t>
        </is>
      </c>
      <c r="E86" s="136">
        <f>TRIM(CONCATENATE(D86, " ", C86, " ", F86, " ", IF(G86&gt;0, G86 &amp; "x" &amp; H86, H86), " ", I86))</f>
        <v/>
      </c>
      <c r="F86" s="2" t="inlineStr">
        <is>
          <t xml:space="preserve">Flor de Gengibre e Tangerina </t>
        </is>
      </c>
      <c r="G86" s="131" t="n"/>
      <c r="H86" s="12" t="inlineStr">
        <is>
          <t xml:space="preserve">200ml </t>
        </is>
      </c>
      <c r="I86" s="33" t="inlineStr">
        <is>
          <t xml:space="preserve">Frasco </t>
        </is>
      </c>
      <c r="J86" s="11" t="inlineStr">
        <is>
          <t xml:space="preserve"> 2 em 1 \ Energizante \ Nutritivo </t>
        </is>
      </c>
      <c r="K86" s="180" t="n"/>
      <c r="L86" s="180" t="n">
        <v>51.9</v>
      </c>
    </row>
    <row r="87" ht="15" customHeight="1" s="145">
      <c r="A87" t="inlineStr">
        <is>
          <t>NATBRA-189404</t>
        </is>
      </c>
      <c r="B87" s="63" t="inlineStr">
        <is>
          <t>Natura</t>
        </is>
      </c>
      <c r="C87" s="71" t="inlineStr">
        <is>
          <t>Tododia</t>
        </is>
      </c>
      <c r="D87" s="64" t="inlineStr">
        <is>
          <t>Desodorante Antitranspirante Roll-on</t>
        </is>
      </c>
      <c r="E87" s="136">
        <f>TRIM(CONCATENATE(D87, " ", C87, " ", F87, " ", IF(G87&gt;0, G87 &amp; "x" &amp; H87, H87), " ", I87))</f>
        <v/>
      </c>
      <c r="F87" s="2" t="inlineStr">
        <is>
          <t>Aclarar</t>
        </is>
      </c>
      <c r="G87" s="131" t="n"/>
      <c r="H87" s="12" t="inlineStr">
        <is>
          <t>70ml</t>
        </is>
      </c>
      <c r="I87" s="33" t="inlineStr">
        <is>
          <t xml:space="preserve">Frasco </t>
        </is>
      </c>
      <c r="J87" s="11" t="n"/>
      <c r="K87" s="180" t="n"/>
      <c r="L87" s="180" t="n">
        <v>29.9</v>
      </c>
    </row>
    <row r="88" ht="15" customHeight="1" s="145">
      <c r="A88" t="inlineStr">
        <is>
          <t>NATBRA-189401</t>
        </is>
      </c>
      <c r="B88" s="63" t="inlineStr">
        <is>
          <t>Natura</t>
        </is>
      </c>
      <c r="C88" s="71" t="inlineStr">
        <is>
          <t>Tododia</t>
        </is>
      </c>
      <c r="D88" s="64" t="inlineStr">
        <is>
          <t>Desodorante Antitranspirante Roll-on</t>
        </is>
      </c>
      <c r="E88" s="136">
        <f>TRIM(CONCATENATE(D88, " ", C88, " ", F88, " ", IF(G88&gt;0, G88 &amp; "x" &amp; H88, H88), " ", I88))</f>
        <v/>
      </c>
      <c r="F88" s="2" t="inlineStr">
        <is>
          <t xml:space="preserve">Algodão </t>
        </is>
      </c>
      <c r="G88" s="131" t="n"/>
      <c r="H88" s="12" t="inlineStr">
        <is>
          <t>70ml</t>
        </is>
      </c>
      <c r="I88" s="33" t="inlineStr">
        <is>
          <t xml:space="preserve">Frasco </t>
        </is>
      </c>
      <c r="J88" s="11" t="n"/>
      <c r="K88" s="180" t="n"/>
      <c r="L88" s="180" t="n">
        <v>29.9</v>
      </c>
    </row>
    <row r="89" ht="15" customHeight="1" s="145">
      <c r="B89" s="63" t="inlineStr">
        <is>
          <t>Natura</t>
        </is>
      </c>
      <c r="C89" s="71" t="inlineStr">
        <is>
          <t>Tododia</t>
        </is>
      </c>
      <c r="D89" s="64" t="inlineStr">
        <is>
          <t>Desodorante Antitranspirante Roll-on</t>
        </is>
      </c>
      <c r="E89" s="136">
        <f>TRIM(CONCATENATE(D89, " ", C89, " ", F89, " ", IF(G89&gt;0, G89 &amp; "x" &amp; H89, H89), " ", I89))</f>
        <v/>
      </c>
      <c r="F89" s="2" t="inlineStr">
        <is>
          <t xml:space="preserve">Alecrim e Salvia </t>
        </is>
      </c>
      <c r="G89" s="131" t="n"/>
      <c r="H89" s="12" t="inlineStr">
        <is>
          <t>70ml</t>
        </is>
      </c>
      <c r="I89" s="33" t="inlineStr">
        <is>
          <t xml:space="preserve">Frasco </t>
        </is>
      </c>
      <c r="J89" s="11" t="inlineStr">
        <is>
          <t>Proteção Inv \ 0% Alcool</t>
        </is>
      </c>
      <c r="K89" s="180" t="n"/>
      <c r="L89" s="180" t="n">
        <v>29.9</v>
      </c>
    </row>
    <row r="90" ht="15" customHeight="1" s="145">
      <c r="B90" s="63" t="inlineStr">
        <is>
          <t>Natura</t>
        </is>
      </c>
      <c r="C90" s="71" t="inlineStr">
        <is>
          <t>Tododia</t>
        </is>
      </c>
      <c r="D90" s="64" t="inlineStr">
        <is>
          <t>Desodorante Antitranspirante Roll-on</t>
        </is>
      </c>
      <c r="E90" s="136">
        <f>TRIM(CONCATENATE(D90, " ", C90, " ", F90, " ", IF(G90&gt;0, G90 &amp; "x" &amp; H90, H90), " ", I90))</f>
        <v/>
      </c>
      <c r="F90" s="2" t="inlineStr">
        <is>
          <t xml:space="preserve">Ameixa e Flor de Baunilha </t>
        </is>
      </c>
      <c r="G90" s="131" t="n"/>
      <c r="H90" s="12" t="inlineStr">
        <is>
          <t>70ml</t>
        </is>
      </c>
      <c r="I90" s="33" t="inlineStr">
        <is>
          <t xml:space="preserve">Frasco </t>
        </is>
      </c>
      <c r="J90" s="11" t="inlineStr">
        <is>
          <t xml:space="preserve">Proteção Performace\ Secagem Rapida </t>
        </is>
      </c>
      <c r="K90" s="180" t="n"/>
      <c r="L90" s="180" t="n">
        <v>29.9</v>
      </c>
    </row>
    <row r="91" ht="15" customHeight="1" s="145">
      <c r="B91" s="63" t="inlineStr">
        <is>
          <t>Natura</t>
        </is>
      </c>
      <c r="C91" s="71" t="inlineStr">
        <is>
          <t>Tododia</t>
        </is>
      </c>
      <c r="D91" s="64" t="inlineStr">
        <is>
          <t>Desodorante Antitranspirante Roll-on</t>
        </is>
      </c>
      <c r="E91" s="136">
        <f>TRIM(CONCATENATE(D91, " ", C91, " ", F91, " ", IF(G91&gt;0, G91 &amp; "x" &amp; H91, H91), " ", I91))</f>
        <v/>
      </c>
      <c r="F91" s="2" t="inlineStr">
        <is>
          <t xml:space="preserve">Amora Vermelha e Jabuticba </t>
        </is>
      </c>
      <c r="G91" s="131" t="n"/>
      <c r="H91" s="12" t="inlineStr">
        <is>
          <t>70ml</t>
        </is>
      </c>
      <c r="I91" s="33" t="inlineStr">
        <is>
          <t xml:space="preserve">Frasco </t>
        </is>
      </c>
      <c r="J91" s="11" t="inlineStr">
        <is>
          <t xml:space="preserve">Proteção Performace\ Secagem Rapida </t>
        </is>
      </c>
      <c r="K91" s="180" t="n"/>
      <c r="L91" s="180" t="n">
        <v>29.9</v>
      </c>
    </row>
    <row r="92" ht="15" customHeight="1" s="145">
      <c r="B92" s="63" t="inlineStr">
        <is>
          <t>Natura</t>
        </is>
      </c>
      <c r="C92" s="71" t="inlineStr">
        <is>
          <t>Tododia</t>
        </is>
      </c>
      <c r="D92" s="64" t="inlineStr">
        <is>
          <t>Desodorante Antitranspirante Roll-on</t>
        </is>
      </c>
      <c r="E92" s="136">
        <f>TRIM(CONCATENATE(D92, " ", C92, " ", F92, " ", IF(G92&gt;0, G92 &amp; "x" &amp; H92, H92), " ", I92))</f>
        <v/>
      </c>
      <c r="F92" s="2" t="inlineStr">
        <is>
          <t>Capim Limão e Hortelã</t>
        </is>
      </c>
      <c r="G92" s="131" t="n"/>
      <c r="H92" s="12" t="inlineStr">
        <is>
          <t>70ml</t>
        </is>
      </c>
      <c r="I92" s="33" t="inlineStr">
        <is>
          <t xml:space="preserve">Frasco </t>
        </is>
      </c>
      <c r="J92" s="11" t="inlineStr">
        <is>
          <t>Proteção Inv \ 0% Alcool</t>
        </is>
      </c>
      <c r="K92" s="180" t="n"/>
      <c r="L92" s="180" t="n">
        <v>29.9</v>
      </c>
    </row>
    <row r="93" ht="15" customHeight="1" s="145">
      <c r="B93" s="63" t="inlineStr">
        <is>
          <t>Natura</t>
        </is>
      </c>
      <c r="C93" s="71" t="inlineStr">
        <is>
          <t>Tododia</t>
        </is>
      </c>
      <c r="D93" s="64" t="inlineStr">
        <is>
          <t>Desodorante Antitranspirante Roll-on</t>
        </is>
      </c>
      <c r="E93" s="136">
        <f>TRIM(CONCATENATE(D93, " ", C93, " ", F93, " ", IF(G93&gt;0, G93 &amp; "x" &amp; H93, H93), " ", I93))</f>
        <v/>
      </c>
      <c r="F93" s="2" t="inlineStr">
        <is>
          <t xml:space="preserve">Cereja e Avelã </t>
        </is>
      </c>
      <c r="G93" s="131" t="n"/>
      <c r="H93" s="12" t="inlineStr">
        <is>
          <t>70ml</t>
        </is>
      </c>
      <c r="I93" s="33" t="inlineStr">
        <is>
          <t xml:space="preserve">Frasco </t>
        </is>
      </c>
      <c r="J93" s="11" t="inlineStr">
        <is>
          <t xml:space="preserve">Proteção Performace\ Secagem Rapida </t>
        </is>
      </c>
      <c r="K93" s="180" t="n"/>
      <c r="L93" s="180" t="n">
        <v>29.9</v>
      </c>
    </row>
    <row r="94" ht="15" customHeight="1" s="145">
      <c r="A94" t="inlineStr">
        <is>
          <t>NATBRA-189402</t>
        </is>
      </c>
      <c r="B94" s="63" t="inlineStr">
        <is>
          <t>Natura</t>
        </is>
      </c>
      <c r="C94" s="71" t="inlineStr">
        <is>
          <t>Tododia</t>
        </is>
      </c>
      <c r="D94" s="64" t="inlineStr">
        <is>
          <t>Desodorante Antitranspirante Roll-on</t>
        </is>
      </c>
      <c r="E94" s="136">
        <f>TRIM(CONCATENATE(D94, " ", C94, " ", F94, " ", IF(G94&gt;0, G94 &amp; "x" &amp; H94, H94), " ", I94))</f>
        <v/>
      </c>
      <c r="F94" s="2" t="inlineStr">
        <is>
          <t xml:space="preserve">Macadania </t>
        </is>
      </c>
      <c r="G94" s="131" t="n"/>
      <c r="H94" s="12" t="inlineStr">
        <is>
          <t>70ml</t>
        </is>
      </c>
      <c r="I94" s="33" t="inlineStr">
        <is>
          <t xml:space="preserve">Frasco </t>
        </is>
      </c>
      <c r="J94" s="11" t="inlineStr">
        <is>
          <t xml:space="preserve">Proteção Performace\ Secagem Rapida </t>
        </is>
      </c>
      <c r="K94" s="180" t="n"/>
      <c r="L94" s="180" t="n">
        <v>29.9</v>
      </c>
    </row>
    <row r="95" ht="15" customHeight="1" s="145">
      <c r="B95" s="63" t="inlineStr">
        <is>
          <t>Natura</t>
        </is>
      </c>
      <c r="C95" s="71" t="inlineStr">
        <is>
          <t>Tododia</t>
        </is>
      </c>
      <c r="D95" s="64" t="inlineStr">
        <is>
          <t>Desodorante Antitranspirante Roll-on</t>
        </is>
      </c>
      <c r="E95" s="136">
        <f>TRIM(CONCATENATE(D95, " ", C95, " ", F95, " ", IF(G95&gt;0, G95 &amp; "x" &amp; H95, H95), " ", I95))</f>
        <v/>
      </c>
      <c r="F95" s="3" t="inlineStr">
        <is>
          <t xml:space="preserve">Tamara e Canela </t>
        </is>
      </c>
      <c r="G95" s="131" t="n"/>
      <c r="H95" s="12" t="inlineStr">
        <is>
          <t>70ml</t>
        </is>
      </c>
      <c r="I95" s="33" t="inlineStr">
        <is>
          <t xml:space="preserve">Frasco </t>
        </is>
      </c>
      <c r="J95" s="11" t="inlineStr">
        <is>
          <t xml:space="preserve">Proteção Performace\ Secagem Rapida </t>
        </is>
      </c>
      <c r="K95" s="180" t="n"/>
      <c r="L95" s="180" t="n">
        <v>29.9</v>
      </c>
    </row>
    <row r="96" ht="15" customHeight="1" s="145">
      <c r="B96" s="63" t="inlineStr">
        <is>
          <t>Natura</t>
        </is>
      </c>
      <c r="C96" s="71" t="inlineStr">
        <is>
          <t>Tododia</t>
        </is>
      </c>
      <c r="D96" s="64" t="inlineStr">
        <is>
          <t>Desodorante Antitranspirante Roll-on</t>
        </is>
      </c>
      <c r="E96" s="136">
        <f>TRIM(CONCATENATE(D96, " ", C96, " ", F96, " ", IF(G96&gt;0, G96 &amp; "x" &amp; H96, H96), " ", I96))</f>
        <v/>
      </c>
      <c r="F96" s="3" t="inlineStr">
        <is>
          <t xml:space="preserve">Sem Perfume </t>
        </is>
      </c>
      <c r="G96" s="131" t="n"/>
      <c r="H96" s="12" t="inlineStr">
        <is>
          <t>70ml</t>
        </is>
      </c>
      <c r="I96" s="33" t="inlineStr">
        <is>
          <t xml:space="preserve">Frasco </t>
        </is>
      </c>
      <c r="J96" s="11" t="inlineStr">
        <is>
          <t xml:space="preserve">Proteção Performace\ Secagem Rapida </t>
        </is>
      </c>
      <c r="K96" s="180" t="n"/>
      <c r="L96" s="180" t="n">
        <v>29.9</v>
      </c>
    </row>
    <row r="97" ht="15" customHeight="1" s="145">
      <c r="A97" t="inlineStr">
        <is>
          <t>NATBRA-179542</t>
        </is>
      </c>
      <c r="B97" s="63" t="inlineStr">
        <is>
          <t>Natura</t>
        </is>
      </c>
      <c r="C97" s="118" t="inlineStr">
        <is>
          <t>Tododia</t>
        </is>
      </c>
      <c r="D97" s="119" t="inlineStr">
        <is>
          <t>Desodorante Creme</t>
        </is>
      </c>
      <c r="E97" s="136">
        <f>TRIM(CONCATENATE(D97, " ", C97, " ", F97, " ", IF(G97&gt;0, G97 &amp; "x" &amp; H97, H97), " ", I97))</f>
        <v/>
      </c>
      <c r="F97" s="5" t="inlineStr">
        <is>
          <t xml:space="preserve">Ameixa e Flor de Baunilha </t>
        </is>
      </c>
      <c r="G97" s="131" t="n"/>
      <c r="H97" s="123" t="inlineStr">
        <is>
          <t>80g</t>
        </is>
      </c>
      <c r="I97" s="35" t="inlineStr">
        <is>
          <t xml:space="preserve">Frasco </t>
        </is>
      </c>
      <c r="J97" s="11" t="inlineStr">
        <is>
          <t>Proteção Inv \ 0% Alcool \ Performace</t>
        </is>
      </c>
      <c r="K97" s="182" t="n"/>
      <c r="L97" s="182" t="n">
        <v>30.9</v>
      </c>
    </row>
    <row r="98" ht="15" customHeight="1" s="145">
      <c r="B98" s="63" t="inlineStr">
        <is>
          <t>Natura</t>
        </is>
      </c>
      <c r="C98" s="118" t="inlineStr">
        <is>
          <t>Tododia</t>
        </is>
      </c>
      <c r="D98" s="119" t="inlineStr">
        <is>
          <t>Desodorante Creme</t>
        </is>
      </c>
      <c r="E98" s="136">
        <f>TRIM(CONCATENATE(D98, " ", C98, " ", F98, " ", IF(G98&gt;0, G98 &amp; "x" &amp; H98, H98), " ", I98))</f>
        <v/>
      </c>
      <c r="F98" s="6" t="inlineStr">
        <is>
          <t xml:space="preserve">Cereja e Avela </t>
        </is>
      </c>
      <c r="G98" s="131" t="n"/>
      <c r="H98" s="123" t="inlineStr">
        <is>
          <t>80g</t>
        </is>
      </c>
      <c r="I98" s="35" t="inlineStr">
        <is>
          <t xml:space="preserve">Frasco </t>
        </is>
      </c>
      <c r="J98" s="11" t="inlineStr">
        <is>
          <t>Proteção Inv \ 0% Alcool \ Performace</t>
        </is>
      </c>
      <c r="K98" s="182" t="n"/>
      <c r="L98" s="182" t="n">
        <v>30.9</v>
      </c>
    </row>
    <row r="99" ht="15" customHeight="1" s="145">
      <c r="B99" s="63" t="inlineStr">
        <is>
          <t>Natura</t>
        </is>
      </c>
      <c r="C99" s="118" t="inlineStr">
        <is>
          <t>Tododia</t>
        </is>
      </c>
      <c r="D99" s="119" t="inlineStr">
        <is>
          <t>Desodorante Creme</t>
        </is>
      </c>
      <c r="E99" s="136">
        <f>TRIM(CONCATENATE(D99, " ", C99, " ", F99, " ", IF(G99&gt;0, G99 &amp; "x" &amp; H99, H99), " ", I99))</f>
        <v/>
      </c>
      <c r="F99" s="6" t="inlineStr">
        <is>
          <t>Invisível</t>
        </is>
      </c>
      <c r="G99" s="131" t="n"/>
      <c r="H99" s="123" t="inlineStr">
        <is>
          <t>80g</t>
        </is>
      </c>
      <c r="I99" s="35" t="inlineStr">
        <is>
          <t xml:space="preserve">Frasco </t>
        </is>
      </c>
      <c r="J99" s="11" t="inlineStr">
        <is>
          <t>Proteção Inv \ 0% Alcool \ Performace</t>
        </is>
      </c>
      <c r="K99" s="180" t="n"/>
      <c r="L99" s="180" t="n">
        <v>30.9</v>
      </c>
    </row>
    <row r="100" ht="15" customHeight="1" s="145">
      <c r="B100" s="63" t="inlineStr">
        <is>
          <t>Natura</t>
        </is>
      </c>
      <c r="C100" s="118" t="inlineStr">
        <is>
          <t>Tododia</t>
        </is>
      </c>
      <c r="D100" s="119" t="inlineStr">
        <is>
          <t>Desodorante Creme</t>
        </is>
      </c>
      <c r="E100" s="136">
        <f>TRIM(CONCATENATE(D100, " ", C100, " ", F100, " ", IF(G100&gt;0, G100 &amp; "x" &amp; H100, H100), " ", I100))</f>
        <v/>
      </c>
      <c r="F100" s="7" t="inlineStr">
        <is>
          <t xml:space="preserve">Leite de Algodao </t>
        </is>
      </c>
      <c r="G100" s="131" t="n"/>
      <c r="H100" s="123" t="inlineStr">
        <is>
          <t>80g</t>
        </is>
      </c>
      <c r="I100" s="35" t="inlineStr">
        <is>
          <t xml:space="preserve">Frasco </t>
        </is>
      </c>
      <c r="J100" s="11" t="inlineStr">
        <is>
          <t>Proteção Inv \ 0% Alcool \ Performace</t>
        </is>
      </c>
      <c r="K100" s="183" t="n"/>
      <c r="L100" s="183" t="n">
        <v>30.9</v>
      </c>
    </row>
    <row r="101" ht="15" customHeight="1" s="145">
      <c r="B101" s="63" t="inlineStr">
        <is>
          <t>Natura</t>
        </is>
      </c>
      <c r="C101" s="71" t="inlineStr">
        <is>
          <t>Tododia</t>
        </is>
      </c>
      <c r="D101" s="64" t="inlineStr">
        <is>
          <t>Desodorante Creme</t>
        </is>
      </c>
      <c r="E101" s="136">
        <f>TRIM(CONCATENATE(D101, " ", C101, " ", F101, " ", IF(G101&gt;0, G101 &amp; "x" &amp; H101, H101), " ", I101))</f>
        <v/>
      </c>
      <c r="F101" s="2" t="inlineStr">
        <is>
          <t>Macadâmia</t>
        </is>
      </c>
      <c r="G101" s="131" t="n"/>
      <c r="H101" s="123" t="inlineStr">
        <is>
          <t>80g</t>
        </is>
      </c>
      <c r="I101" s="35" t="inlineStr">
        <is>
          <t xml:space="preserve">Frasco </t>
        </is>
      </c>
      <c r="J101" s="11" t="inlineStr">
        <is>
          <t>Proteção Inv \ 0% Alcool \ Performace</t>
        </is>
      </c>
      <c r="K101" s="180" t="n"/>
      <c r="L101" s="180" t="n">
        <v>30.9</v>
      </c>
    </row>
    <row r="102" ht="15" customHeight="1" s="145">
      <c r="B102" s="63" t="inlineStr">
        <is>
          <t>Natura</t>
        </is>
      </c>
      <c r="C102" s="71" t="inlineStr">
        <is>
          <t>Tododia</t>
        </is>
      </c>
      <c r="D102" s="64" t="inlineStr">
        <is>
          <t>Desodorante Creme</t>
        </is>
      </c>
      <c r="E102" s="136">
        <f>TRIM(CONCATENATE(D102, " ", C102, " ", F102, " ", IF(G102&gt;0, G102 &amp; "x" &amp; H102, H102), " ", I102))</f>
        <v/>
      </c>
      <c r="F102" s="3" t="inlineStr">
        <is>
          <t xml:space="preserve">Manga Rosa e Aguá de Coco </t>
        </is>
      </c>
      <c r="G102" s="131" t="n"/>
      <c r="H102" s="123" t="inlineStr">
        <is>
          <t>80g</t>
        </is>
      </c>
      <c r="I102" s="35" t="inlineStr">
        <is>
          <t xml:space="preserve">Frasco </t>
        </is>
      </c>
      <c r="J102" s="11" t="inlineStr">
        <is>
          <t>Proteção Inv \ 0% Alcool \ Performace</t>
        </is>
      </c>
      <c r="K102" s="180" t="n"/>
      <c r="L102" s="180" t="n">
        <v>30.9</v>
      </c>
    </row>
    <row r="103" ht="15" customHeight="1" s="145">
      <c r="B103" s="63" t="inlineStr">
        <is>
          <t>Natura</t>
        </is>
      </c>
      <c r="C103" s="71" t="inlineStr">
        <is>
          <t>Tododia</t>
        </is>
      </c>
      <c r="D103" s="64" t="inlineStr">
        <is>
          <t>Desodorante Creme</t>
        </is>
      </c>
      <c r="E103" s="136">
        <f>TRIM(CONCATENATE(D103, " ", C103, " ", F103, " ", IF(G103&gt;0, G103 &amp; "x" &amp; H103, H103), " ", I103))</f>
        <v/>
      </c>
      <c r="F103" s="3" t="inlineStr">
        <is>
          <t xml:space="preserve">Noz Pecã e Cacau </t>
        </is>
      </c>
      <c r="G103" s="131" t="n"/>
      <c r="H103" s="123" t="inlineStr">
        <is>
          <t>80g</t>
        </is>
      </c>
      <c r="I103" s="35" t="inlineStr">
        <is>
          <t xml:space="preserve">Frasco </t>
        </is>
      </c>
      <c r="J103" s="11" t="inlineStr">
        <is>
          <t>Proteção Inv \ 0% Alcool \ Performace</t>
        </is>
      </c>
      <c r="K103" s="180" t="n"/>
      <c r="L103" s="180" t="n">
        <v>30.9</v>
      </c>
    </row>
    <row r="104" ht="15" customFormat="1" customHeight="1" s="10">
      <c r="B104" s="63" t="inlineStr">
        <is>
          <t>Natura</t>
        </is>
      </c>
      <c r="C104" s="71" t="inlineStr">
        <is>
          <t>Tododia</t>
        </is>
      </c>
      <c r="D104" s="64" t="inlineStr">
        <is>
          <t xml:space="preserve">Creme Para Maos e Pes </t>
        </is>
      </c>
      <c r="E104" s="136">
        <f>TRIM(CONCATENATE(D104, " ", C104, " ", F104, " ", IF(G104&gt;0, G104 &amp; "x" &amp; H104, H104), " ", I104))</f>
        <v/>
      </c>
      <c r="F104" s="2" t="inlineStr">
        <is>
          <t xml:space="preserve">Algodão </t>
        </is>
      </c>
      <c r="G104" s="131" t="n"/>
      <c r="H104" s="86" t="inlineStr">
        <is>
          <t>50ml</t>
        </is>
      </c>
      <c r="I104" s="36" t="inlineStr">
        <is>
          <t xml:space="preserve">Frasco </t>
        </is>
      </c>
      <c r="J104" s="9" t="inlineStr">
        <is>
          <t xml:space="preserve">Nutritivo \ Prebiotico </t>
        </is>
      </c>
      <c r="K104" s="180" t="n"/>
      <c r="L104" s="180" t="n">
        <v>36.9</v>
      </c>
    </row>
    <row r="105" ht="15" customFormat="1" customHeight="1" s="10">
      <c r="B105" s="63" t="inlineStr">
        <is>
          <t>Natura</t>
        </is>
      </c>
      <c r="C105" s="71" t="inlineStr">
        <is>
          <t>Tododia</t>
        </is>
      </c>
      <c r="D105" s="64" t="inlineStr">
        <is>
          <t xml:space="preserve">Creme Para Maos e Pes </t>
        </is>
      </c>
      <c r="E105" s="136">
        <f>TRIM(CONCATENATE(D105, " ", C105, " ", F105, " ", IF(G105&gt;0, G105 &amp; "x" &amp; H105, H105), " ", I105))</f>
        <v/>
      </c>
      <c r="F105" s="3" t="inlineStr">
        <is>
          <t xml:space="preserve">Ameixa e Flor de Baunilha </t>
        </is>
      </c>
      <c r="G105" s="131" t="n"/>
      <c r="H105" s="86" t="inlineStr">
        <is>
          <t>50ml</t>
        </is>
      </c>
      <c r="I105" s="36" t="inlineStr">
        <is>
          <t xml:space="preserve">Frasco </t>
        </is>
      </c>
      <c r="J105" s="9" t="inlineStr">
        <is>
          <t xml:space="preserve">Nutritivo \ Prebiotico </t>
        </is>
      </c>
      <c r="K105" s="180" t="n"/>
      <c r="L105" s="180" t="n">
        <v>36.9</v>
      </c>
    </row>
    <row r="106" ht="15" customHeight="1" s="145">
      <c r="B106" s="63" t="inlineStr">
        <is>
          <t>Natura</t>
        </is>
      </c>
      <c r="C106" s="71" t="inlineStr">
        <is>
          <t>Tododia</t>
        </is>
      </c>
      <c r="D106" s="64" t="inlineStr">
        <is>
          <t xml:space="preserve">Creme Para Maos e Pes </t>
        </is>
      </c>
      <c r="E106" s="136">
        <f>TRIM(CONCATENATE(D106, " ", C106, " ", F106, " ", IF(G106&gt;0, G106 &amp; "x" &amp; H106, H106), " ", I106))</f>
        <v/>
      </c>
      <c r="F106" s="2" t="inlineStr">
        <is>
          <t>Cereja e Avelã</t>
        </is>
      </c>
      <c r="G106" s="131" t="n"/>
      <c r="H106" s="86" t="inlineStr">
        <is>
          <t>50ml</t>
        </is>
      </c>
      <c r="I106" s="36" t="inlineStr">
        <is>
          <t xml:space="preserve">Frasco </t>
        </is>
      </c>
      <c r="J106" s="9" t="inlineStr">
        <is>
          <t xml:space="preserve">Nutritivo \ Prebiotico </t>
        </is>
      </c>
      <c r="K106" s="180" t="n"/>
      <c r="L106" s="180" t="n">
        <v>36.9</v>
      </c>
    </row>
    <row r="107" ht="15" customHeight="1" s="145">
      <c r="B107" s="63" t="inlineStr">
        <is>
          <t>Natura</t>
        </is>
      </c>
      <c r="C107" s="71" t="inlineStr">
        <is>
          <t>Tododia</t>
        </is>
      </c>
      <c r="D107" s="64" t="inlineStr">
        <is>
          <t xml:space="preserve">Creme Para Maos e Pes </t>
        </is>
      </c>
      <c r="E107" s="136">
        <f>TRIM(CONCATENATE(D107, " ", C107, " ", F107, " ", IF(G107&gt;0, G107 &amp; "x" &amp; H107, H107), " ", I107))</f>
        <v/>
      </c>
      <c r="F107" s="86" t="inlineStr">
        <is>
          <t xml:space="preserve">Noz Pecã e Cacau </t>
        </is>
      </c>
      <c r="G107" s="131" t="n"/>
      <c r="H107" s="88" t="inlineStr">
        <is>
          <t>50ml</t>
        </is>
      </c>
      <c r="I107" s="36" t="inlineStr">
        <is>
          <t xml:space="preserve">Frasco </t>
        </is>
      </c>
      <c r="J107" s="86" t="inlineStr">
        <is>
          <t>Sem desodorante</t>
        </is>
      </c>
      <c r="K107" s="180" t="n"/>
      <c r="L107" s="180" t="n">
        <v>36.9</v>
      </c>
    </row>
    <row r="108" ht="15" customHeight="1" s="145">
      <c r="B108" s="63" t="inlineStr">
        <is>
          <t>Natura</t>
        </is>
      </c>
      <c r="C108" s="71" t="inlineStr">
        <is>
          <t>Tododia</t>
        </is>
      </c>
      <c r="D108" s="64" t="inlineStr">
        <is>
          <t xml:space="preserve">Creme Para Maos e Pes </t>
        </is>
      </c>
      <c r="E108" s="136">
        <f>TRIM(CONCATENATE(D108, " ", C108, " ", F108, " ", IF(G108&gt;0, G108 &amp; "x" &amp; H108, H108), " ", I108))</f>
        <v/>
      </c>
      <c r="F108" s="3" t="inlineStr">
        <is>
          <t xml:space="preserve">Tamara e Canela </t>
        </is>
      </c>
      <c r="G108" s="131" t="n"/>
      <c r="H108" s="86" t="inlineStr">
        <is>
          <t>50ml</t>
        </is>
      </c>
      <c r="I108" s="36" t="inlineStr">
        <is>
          <t xml:space="preserve">Frasco </t>
        </is>
      </c>
      <c r="J108" s="9" t="inlineStr">
        <is>
          <t xml:space="preserve">Nutritivo \ Prebiotico </t>
        </is>
      </c>
      <c r="K108" s="180" t="n"/>
      <c r="L108" s="180" t="n">
        <v>36.9</v>
      </c>
    </row>
    <row r="109" ht="15" customFormat="1" customHeight="1" s="10">
      <c r="B109" s="63" t="inlineStr">
        <is>
          <t>Natura</t>
        </is>
      </c>
      <c r="C109" s="71" t="inlineStr">
        <is>
          <t>Tododia</t>
        </is>
      </c>
      <c r="D109" s="64" t="inlineStr">
        <is>
          <t xml:space="preserve">Creme Para Maos e Pes </t>
        </is>
      </c>
      <c r="E109" s="136">
        <f>TRIM(CONCATENATE(D109, " ", C109, " ", F109, " ", IF(G109&gt;0, G109 &amp; "x" &amp; H109, H109), " ", I109))</f>
        <v/>
      </c>
      <c r="F109" s="86" t="inlineStr">
        <is>
          <t>Cereja e Avelã (Normal)</t>
        </is>
      </c>
      <c r="G109" s="131" t="n"/>
      <c r="H109" s="88" t="inlineStr">
        <is>
          <t>50ml</t>
        </is>
      </c>
      <c r="I109" s="36" t="inlineStr">
        <is>
          <t xml:space="preserve">Frasco </t>
        </is>
      </c>
      <c r="J109" s="86" t="inlineStr">
        <is>
          <t>Sem desodorante</t>
        </is>
      </c>
      <c r="K109" s="180" t="n"/>
      <c r="L109" s="180" t="n">
        <v>36.9</v>
      </c>
    </row>
    <row r="110" ht="15" customHeight="1" s="145">
      <c r="B110" s="63" t="inlineStr">
        <is>
          <t>Natura</t>
        </is>
      </c>
      <c r="C110" s="71" t="inlineStr">
        <is>
          <t>Tododia</t>
        </is>
      </c>
      <c r="D110" s="64" t="inlineStr">
        <is>
          <t xml:space="preserve">Creme Para Maos e Pes </t>
        </is>
      </c>
      <c r="E110" s="136">
        <f>TRIM(CONCATENATE(D110, " ", C110, " ", F110, " ", IF(G110&gt;0, G110 &amp; "x" &amp; H110, H110), " ", I110))</f>
        <v/>
      </c>
      <c r="F110" s="117" t="inlineStr">
        <is>
          <t>Noz Pecã e Cacau</t>
        </is>
      </c>
      <c r="G110" s="131" t="n"/>
      <c r="H110" s="88" t="inlineStr">
        <is>
          <t>50ml</t>
        </is>
      </c>
      <c r="I110" s="36" t="inlineStr">
        <is>
          <t xml:space="preserve">Frasco </t>
        </is>
      </c>
      <c r="J110" s="86" t="inlineStr">
        <is>
          <t xml:space="preserve">Com desodorante para os pés </t>
        </is>
      </c>
      <c r="K110" s="180" t="n"/>
      <c r="L110" s="180" t="n">
        <v>36.9</v>
      </c>
    </row>
    <row r="111" ht="15" customHeight="1" s="145">
      <c r="B111" s="63" t="inlineStr">
        <is>
          <t>Natura</t>
        </is>
      </c>
      <c r="C111" s="71" t="inlineStr">
        <is>
          <t>Tododia</t>
        </is>
      </c>
      <c r="D111" s="64" t="inlineStr">
        <is>
          <t xml:space="preserve">Sabonete Liquido em Gel </t>
        </is>
      </c>
      <c r="E111" s="136">
        <f>TRIM(CONCATENATE(D111, " ", C111, " ", F111, " ", IF(G111&gt;0, G111 &amp; "x" &amp; H111, H111), " ", I111))</f>
        <v/>
      </c>
      <c r="F111" s="2" t="inlineStr">
        <is>
          <t xml:space="preserve">Algodão </t>
        </is>
      </c>
      <c r="G111" s="131" t="n"/>
      <c r="H111" s="142" t="inlineStr">
        <is>
          <t xml:space="preserve">300ml </t>
        </is>
      </c>
      <c r="I111" s="36" t="inlineStr">
        <is>
          <t xml:space="preserve">Frasco </t>
        </is>
      </c>
      <c r="J111" s="11" t="inlineStr">
        <is>
          <t xml:space="preserve">Cremoso \ Perfume \ Hidrata </t>
        </is>
      </c>
      <c r="K111" s="3" t="n"/>
      <c r="L111" s="3" t="inlineStr">
        <is>
          <t xml:space="preserve">R$ 49,90 </t>
        </is>
      </c>
    </row>
    <row r="112" ht="15" customHeight="1" s="145">
      <c r="B112" s="63" t="inlineStr">
        <is>
          <t>Natura</t>
        </is>
      </c>
      <c r="C112" s="71" t="inlineStr">
        <is>
          <t>Tododia</t>
        </is>
      </c>
      <c r="D112" s="64" t="inlineStr">
        <is>
          <t xml:space="preserve">Sabonete Liquido em Gel </t>
        </is>
      </c>
      <c r="E112" s="136">
        <f>TRIM(CONCATENATE(D112, " ", C112, " ", F112, " ", IF(G112&gt;0, G112 &amp; "x" &amp; H112, H112), " ", I112))</f>
        <v/>
      </c>
      <c r="F112" s="2" t="inlineStr">
        <is>
          <t xml:space="preserve">Alecrim e Salvia </t>
        </is>
      </c>
      <c r="G112" s="131" t="n"/>
      <c r="H112" s="142" t="inlineStr">
        <is>
          <t xml:space="preserve">300ml </t>
        </is>
      </c>
      <c r="I112" s="36" t="inlineStr">
        <is>
          <t xml:space="preserve">Frasco </t>
        </is>
      </c>
      <c r="J112" s="11" t="inlineStr">
        <is>
          <t xml:space="preserve">Cremoso \ Perfume \ Hidrata </t>
        </is>
      </c>
      <c r="K112" s="3" t="n"/>
      <c r="L112" s="3" t="inlineStr">
        <is>
          <t xml:space="preserve">R$ 49,90 </t>
        </is>
      </c>
    </row>
    <row r="113" ht="15" customHeight="1" s="145">
      <c r="B113" s="63" t="inlineStr">
        <is>
          <t>Natura</t>
        </is>
      </c>
      <c r="C113" s="71" t="inlineStr">
        <is>
          <t>Tododia</t>
        </is>
      </c>
      <c r="D113" s="64" t="inlineStr">
        <is>
          <t xml:space="preserve">Sabonete Liquido em Gel </t>
        </is>
      </c>
      <c r="E113" s="136">
        <f>TRIM(CONCATENATE(D113, " ", C113, " ", F113, " ", IF(G113&gt;0, G113 &amp; "x" &amp; H113, H113), " ", I113))</f>
        <v/>
      </c>
      <c r="F113" s="2" t="inlineStr">
        <is>
          <t xml:space="preserve">Alecrim e Salvia </t>
        </is>
      </c>
      <c r="G113" s="131" t="n"/>
      <c r="H113" s="142" t="inlineStr">
        <is>
          <t>390g</t>
        </is>
      </c>
      <c r="I113" s="36" t="inlineStr">
        <is>
          <t xml:space="preserve">Frasco </t>
        </is>
      </c>
      <c r="J113" s="11" t="inlineStr">
        <is>
          <t xml:space="preserve">Cremoso \ Perfume \ Hidrata </t>
        </is>
      </c>
      <c r="K113" s="3" t="n"/>
      <c r="L113" s="3" t="inlineStr">
        <is>
          <t>R$ 49,91</t>
        </is>
      </c>
    </row>
    <row r="114" ht="15" customHeight="1" s="145">
      <c r="B114" s="63" t="inlineStr">
        <is>
          <t>Natura</t>
        </is>
      </c>
      <c r="C114" s="71" t="inlineStr">
        <is>
          <t>Tododia</t>
        </is>
      </c>
      <c r="D114" s="64" t="inlineStr">
        <is>
          <t xml:space="preserve">Sabonete Liquido em Gel </t>
        </is>
      </c>
      <c r="E114" s="136">
        <f>TRIM(CONCATENATE(D114, " ", C114, " ", F114, " ", IF(G114&gt;0, G114 &amp; "x" &amp; H114, H114), " ", I114))</f>
        <v/>
      </c>
      <c r="F114" s="3" t="inlineStr">
        <is>
          <t xml:space="preserve">Ameixa e Flor de Baunilha </t>
        </is>
      </c>
      <c r="G114" s="131" t="n"/>
      <c r="H114" s="142" t="inlineStr">
        <is>
          <t xml:space="preserve">300ml </t>
        </is>
      </c>
      <c r="I114" s="36" t="inlineStr">
        <is>
          <t xml:space="preserve">Frasco </t>
        </is>
      </c>
      <c r="J114" s="11" t="inlineStr">
        <is>
          <t xml:space="preserve">Cremoso \ Perfume \ Hidrata </t>
        </is>
      </c>
      <c r="K114" s="3" t="n"/>
      <c r="L114" s="3" t="inlineStr">
        <is>
          <t xml:space="preserve">R$ 49,90 </t>
        </is>
      </c>
    </row>
    <row r="115" ht="15" customHeight="1" s="145">
      <c r="B115" s="63" t="inlineStr">
        <is>
          <t>Natura</t>
        </is>
      </c>
      <c r="C115" s="71" t="inlineStr">
        <is>
          <t>Tododia</t>
        </is>
      </c>
      <c r="D115" s="64" t="inlineStr">
        <is>
          <t xml:space="preserve">Sabonete Liquido em Gel </t>
        </is>
      </c>
      <c r="E115" s="136">
        <f>TRIM(CONCATENATE(D115, " ", C115, " ", F115, " ", IF(G115&gt;0, G115 &amp; "x" &amp; H115, H115), " ", I115))</f>
        <v/>
      </c>
      <c r="F115" s="3" t="inlineStr">
        <is>
          <t xml:space="preserve">Amora Vermelha e Jabuticaba </t>
        </is>
      </c>
      <c r="G115" s="131" t="n"/>
      <c r="H115" s="142" t="inlineStr">
        <is>
          <t xml:space="preserve">300ml </t>
        </is>
      </c>
      <c r="I115" s="36" t="inlineStr">
        <is>
          <t xml:space="preserve">Frasco </t>
        </is>
      </c>
      <c r="J115" s="11" t="inlineStr">
        <is>
          <t xml:space="preserve">Cremoso \ Perfume \ Hidrata </t>
        </is>
      </c>
      <c r="K115" s="3" t="n"/>
      <c r="L115" s="3" t="inlineStr">
        <is>
          <t xml:space="preserve">R$ 49,90 </t>
        </is>
      </c>
    </row>
    <row r="116" ht="15" customHeight="1" s="145">
      <c r="B116" s="63" t="inlineStr">
        <is>
          <t>Natura</t>
        </is>
      </c>
      <c r="C116" s="71" t="inlineStr">
        <is>
          <t>Tododia</t>
        </is>
      </c>
      <c r="D116" s="64" t="inlineStr">
        <is>
          <t xml:space="preserve">Sabonete Liquido em Gel </t>
        </is>
      </c>
      <c r="E116" s="136">
        <f>TRIM(CONCATENATE(D116, " ", C116, " ", F116, " ", IF(G116&gt;0, G116 &amp; "x" &amp; H116, H116), " ", I116))</f>
        <v/>
      </c>
      <c r="F116" s="3" t="inlineStr">
        <is>
          <t>Cereja e Avelã</t>
        </is>
      </c>
      <c r="G116" s="131" t="n"/>
      <c r="H116" s="142" t="inlineStr">
        <is>
          <t xml:space="preserve">300ml </t>
        </is>
      </c>
      <c r="I116" s="36" t="inlineStr">
        <is>
          <t xml:space="preserve">Frasco </t>
        </is>
      </c>
      <c r="J116" s="11" t="inlineStr">
        <is>
          <t xml:space="preserve">Cremoso \ Perfume \ Hidrata </t>
        </is>
      </c>
      <c r="K116" s="3" t="n"/>
      <c r="L116" s="3" t="inlineStr">
        <is>
          <t xml:space="preserve">R$ 49,90 </t>
        </is>
      </c>
    </row>
    <row r="117" ht="15" customHeight="1" s="145">
      <c r="B117" s="63" t="inlineStr">
        <is>
          <t>Natura</t>
        </is>
      </c>
      <c r="C117" s="71" t="inlineStr">
        <is>
          <t>Tododia</t>
        </is>
      </c>
      <c r="D117" s="64" t="inlineStr">
        <is>
          <t xml:space="preserve">Sabonete Liquido em Gel </t>
        </is>
      </c>
      <c r="E117" s="136">
        <f>TRIM(CONCATENATE(D117, " ", C117, " ", F117, " ", IF(G117&gt;0, G117 &amp; "x" &amp; H117, H117), " ", I117))</f>
        <v/>
      </c>
      <c r="F117" s="2" t="inlineStr">
        <is>
          <t xml:space="preserve">Todonoite </t>
        </is>
      </c>
      <c r="G117" s="131" t="n"/>
      <c r="H117" s="142" t="inlineStr">
        <is>
          <t xml:space="preserve">300ml </t>
        </is>
      </c>
      <c r="I117" s="36" t="inlineStr">
        <is>
          <t xml:space="preserve">Frasco </t>
        </is>
      </c>
      <c r="J117" s="11" t="inlineStr">
        <is>
          <t xml:space="preserve">Banho nas Nuvens </t>
        </is>
      </c>
      <c r="K117" s="3" t="n"/>
      <c r="L117" s="3" t="inlineStr">
        <is>
          <t xml:space="preserve">R$ 49,90 </t>
        </is>
      </c>
    </row>
    <row r="118" ht="15" customHeight="1" s="145">
      <c r="B118" s="63" t="inlineStr">
        <is>
          <t>Natura</t>
        </is>
      </c>
      <c r="C118" s="71" t="inlineStr">
        <is>
          <t>Tododia</t>
        </is>
      </c>
      <c r="D118" s="64" t="inlineStr">
        <is>
          <t xml:space="preserve">Sabonete Liquido em Gel </t>
        </is>
      </c>
      <c r="E118" s="136">
        <f>TRIM(CONCATENATE(D118, " ", C118, " ", F118, " ", IF(G118&gt;0, G118 &amp; "x" &amp; H118, H118), " ", I118))</f>
        <v/>
      </c>
      <c r="F118" s="2" t="inlineStr">
        <is>
          <t xml:space="preserve">Flor de Gengibre e Tangerina </t>
        </is>
      </c>
      <c r="G118" s="131" t="n"/>
      <c r="H118" s="142" t="inlineStr">
        <is>
          <t xml:space="preserve">300ml </t>
        </is>
      </c>
      <c r="I118" s="36" t="inlineStr">
        <is>
          <t xml:space="preserve">Frasco </t>
        </is>
      </c>
      <c r="J118" s="11" t="inlineStr">
        <is>
          <t xml:space="preserve">Banho Energizante </t>
        </is>
      </c>
      <c r="K118" s="3" t="n"/>
      <c r="L118" s="3" t="inlineStr">
        <is>
          <t xml:space="preserve">R$ 49,90 </t>
        </is>
      </c>
    </row>
    <row r="119" ht="15" customHeight="1" s="145">
      <c r="B119" s="63" t="inlineStr">
        <is>
          <t>Natura</t>
        </is>
      </c>
      <c r="C119" s="71" t="inlineStr">
        <is>
          <t>Tododia</t>
        </is>
      </c>
      <c r="D119" s="64" t="inlineStr">
        <is>
          <t xml:space="preserve">Sabonete Liquido em Gel </t>
        </is>
      </c>
      <c r="E119" s="136">
        <f>TRIM(CONCATENATE(D119, " ", C119, " ", F119, " ", IF(G119&gt;0, G119 &amp; "x" &amp; H119, H119), " ", I119))</f>
        <v/>
      </c>
      <c r="F119" s="2" t="inlineStr">
        <is>
          <t xml:space="preserve">Macadamia </t>
        </is>
      </c>
      <c r="G119" s="131" t="n"/>
      <c r="H119" s="142" t="inlineStr">
        <is>
          <t xml:space="preserve">300ml </t>
        </is>
      </c>
      <c r="I119" s="36" t="inlineStr">
        <is>
          <t xml:space="preserve">Frasco </t>
        </is>
      </c>
      <c r="J119" s="11" t="inlineStr">
        <is>
          <t xml:space="preserve">Cremoso \ Perfume \ Hidrata </t>
        </is>
      </c>
      <c r="K119" s="3" t="n"/>
      <c r="L119" s="3" t="inlineStr">
        <is>
          <t xml:space="preserve">R$ 49,90 </t>
        </is>
      </c>
    </row>
    <row r="120" ht="15" customHeight="1" s="145">
      <c r="B120" s="63" t="inlineStr">
        <is>
          <t>Natura</t>
        </is>
      </c>
      <c r="C120" s="71" t="inlineStr">
        <is>
          <t>Tododia</t>
        </is>
      </c>
      <c r="D120" s="66" t="inlineStr">
        <is>
          <t xml:space="preserve">Sabonete Liquido em Gel </t>
        </is>
      </c>
      <c r="E120" s="136">
        <f>TRIM(CONCATENATE(D120, " ", C120, " ", F120, " ", IF(G120&gt;0, G120 &amp; "x" &amp; H120, H120), " ", I120))</f>
        <v/>
      </c>
      <c r="F120" s="2" t="inlineStr">
        <is>
          <t>Noz Pecã e Cacau</t>
        </is>
      </c>
      <c r="G120" s="131" t="n"/>
      <c r="H120" s="142" t="inlineStr">
        <is>
          <t xml:space="preserve">300ml </t>
        </is>
      </c>
      <c r="I120" s="36" t="inlineStr">
        <is>
          <t xml:space="preserve">Frasco </t>
        </is>
      </c>
      <c r="J120" s="11" t="inlineStr">
        <is>
          <t xml:space="preserve">Cremoso \ Perfume \ Hidrata </t>
        </is>
      </c>
      <c r="K120" s="3" t="n"/>
      <c r="L120" s="3" t="inlineStr">
        <is>
          <t xml:space="preserve">R$ 49,90 </t>
        </is>
      </c>
    </row>
    <row r="121" ht="15" customHeight="1" s="145">
      <c r="B121" s="63" t="inlineStr">
        <is>
          <t>Natura</t>
        </is>
      </c>
      <c r="C121" s="71" t="inlineStr">
        <is>
          <t>Tododia</t>
        </is>
      </c>
      <c r="D121" s="64" t="inlineStr">
        <is>
          <t xml:space="preserve">Sabonete Liquido em Gel </t>
        </is>
      </c>
      <c r="E121" s="136">
        <f>TRIM(CONCATENATE(D121, " ", C121, " ", F121, " ", IF(G121&gt;0, G121 &amp; "x" &amp; H121, H121), " ", I121))</f>
        <v/>
      </c>
      <c r="F121" s="2" t="inlineStr">
        <is>
          <t xml:space="preserve">Tamara e Canela </t>
        </is>
      </c>
      <c r="G121" s="131" t="n"/>
      <c r="H121" s="142" t="inlineStr">
        <is>
          <t xml:space="preserve">300ml </t>
        </is>
      </c>
      <c r="I121" s="36" t="inlineStr">
        <is>
          <t xml:space="preserve">Frasco </t>
        </is>
      </c>
      <c r="J121" s="11" t="inlineStr">
        <is>
          <t xml:space="preserve">Cremoso \ Perfume \ Hidrata </t>
        </is>
      </c>
      <c r="K121" s="3" t="n"/>
      <c r="L121" s="3" t="inlineStr">
        <is>
          <t xml:space="preserve">R$ 49,90 </t>
        </is>
      </c>
    </row>
    <row r="122" ht="15" customFormat="1" customHeight="1" s="10">
      <c r="B122" s="63" t="inlineStr">
        <is>
          <t>Natura</t>
        </is>
      </c>
      <c r="C122" s="71" t="inlineStr">
        <is>
          <t>Tododia</t>
        </is>
      </c>
      <c r="D122" s="66" t="inlineStr">
        <is>
          <t xml:space="preserve">Sabonete Liquido em Gel </t>
        </is>
      </c>
      <c r="E122" s="136">
        <f>TRIM(CONCATENATE(D122, " ", C122, " ", F122, " ", IF(G122&gt;0, G122 &amp; "x" &amp; H122, H122), " ", I122))</f>
        <v/>
      </c>
      <c r="F122" s="2" t="inlineStr">
        <is>
          <t xml:space="preserve">Algodão </t>
        </is>
      </c>
      <c r="G122" s="131" t="n"/>
      <c r="H122" s="142" t="inlineStr">
        <is>
          <t xml:space="preserve">300ml </t>
        </is>
      </c>
      <c r="I122" s="36" t="inlineStr">
        <is>
          <t>Refil</t>
        </is>
      </c>
      <c r="J122" s="11" t="inlineStr">
        <is>
          <t xml:space="preserve">Cremoso \ Perfume \ Hidrata </t>
        </is>
      </c>
      <c r="K122" s="141" t="n"/>
      <c r="L122" s="141" t="inlineStr">
        <is>
          <t xml:space="preserve"> R$: 37,90</t>
        </is>
      </c>
    </row>
    <row r="123" ht="15" customFormat="1" customHeight="1" s="10">
      <c r="B123" s="63" t="inlineStr">
        <is>
          <t>Natura</t>
        </is>
      </c>
      <c r="C123" s="71" t="inlineStr">
        <is>
          <t>Tododia</t>
        </is>
      </c>
      <c r="D123" s="66" t="inlineStr">
        <is>
          <t xml:space="preserve">Sabonete Liquido em Gel </t>
        </is>
      </c>
      <c r="E123" s="136">
        <f>TRIM(CONCATENATE(D123, " ", C123, " ", F123, " ", IF(G123&gt;0, G123 &amp; "x" &amp; H123, H123), " ", I123))</f>
        <v/>
      </c>
      <c r="F123" s="2" t="inlineStr">
        <is>
          <t xml:space="preserve">Alecrim e Salvia </t>
        </is>
      </c>
      <c r="G123" s="131" t="n"/>
      <c r="H123" s="142" t="inlineStr">
        <is>
          <t xml:space="preserve">300ml </t>
        </is>
      </c>
      <c r="I123" s="36" t="inlineStr">
        <is>
          <t>Refil</t>
        </is>
      </c>
      <c r="J123" s="11" t="inlineStr">
        <is>
          <t xml:space="preserve">Cremoso \ Perfume \ Hidrata </t>
        </is>
      </c>
      <c r="K123" s="141" t="n"/>
      <c r="L123" s="141" t="inlineStr">
        <is>
          <t xml:space="preserve"> R$: 37,90</t>
        </is>
      </c>
    </row>
    <row r="124" ht="15" customFormat="1" customHeight="1" s="10">
      <c r="B124" s="63" t="inlineStr">
        <is>
          <t>Natura</t>
        </is>
      </c>
      <c r="C124" s="71" t="inlineStr">
        <is>
          <t>Tododia</t>
        </is>
      </c>
      <c r="D124" s="66" t="inlineStr">
        <is>
          <t xml:space="preserve">Sabonete Liquido em Gel </t>
        </is>
      </c>
      <c r="E124" s="136">
        <f>TRIM(CONCATENATE(D124, " ", C124, " ", F124, " ", IF(G124&gt;0, G124 &amp; "x" &amp; H124, H124), " ", I124))</f>
        <v/>
      </c>
      <c r="F124" s="2" t="inlineStr">
        <is>
          <t xml:space="preserve">Alecrim e Salvia </t>
        </is>
      </c>
      <c r="G124" s="131" t="n"/>
      <c r="H124" s="142" t="inlineStr">
        <is>
          <t xml:space="preserve">300ml </t>
        </is>
      </c>
      <c r="I124" s="36" t="inlineStr">
        <is>
          <t>Refil</t>
        </is>
      </c>
      <c r="J124" s="11" t="inlineStr">
        <is>
          <t xml:space="preserve">Corpo e Mãos </t>
        </is>
      </c>
      <c r="K124" s="184" t="n"/>
      <c r="L124" s="184" t="n">
        <v>58.9</v>
      </c>
    </row>
    <row r="125" ht="15" customFormat="1" customHeight="1" s="10">
      <c r="B125" s="63" t="inlineStr">
        <is>
          <t>Natura</t>
        </is>
      </c>
      <c r="C125" s="71" t="inlineStr">
        <is>
          <t>Tododia</t>
        </is>
      </c>
      <c r="D125" s="66" t="inlineStr">
        <is>
          <t xml:space="preserve">Sabonete Liquido em Gel </t>
        </is>
      </c>
      <c r="E125" s="136">
        <f>TRIM(CONCATENATE(D125, " ", C125, " ", F125, " ", IF(G125&gt;0, G125 &amp; "x" &amp; H125, H125), " ", I125))</f>
        <v/>
      </c>
      <c r="F125" s="3" t="inlineStr">
        <is>
          <t xml:space="preserve">Ameixa e Flor de Baunilha </t>
        </is>
      </c>
      <c r="G125" s="131" t="n"/>
      <c r="H125" s="142" t="inlineStr">
        <is>
          <t xml:space="preserve">300ml </t>
        </is>
      </c>
      <c r="I125" s="36" t="inlineStr">
        <is>
          <t>Refil</t>
        </is>
      </c>
      <c r="J125" s="11" t="inlineStr">
        <is>
          <t xml:space="preserve">Cremoso \ Perfume \ Hidrata </t>
        </is>
      </c>
      <c r="K125" s="141" t="n"/>
      <c r="L125" s="141" t="inlineStr">
        <is>
          <t xml:space="preserve"> R$: 37,90</t>
        </is>
      </c>
    </row>
    <row r="126" ht="15" customFormat="1" customHeight="1" s="10">
      <c r="B126" s="63" t="inlineStr">
        <is>
          <t>Natura</t>
        </is>
      </c>
      <c r="C126" s="71" t="inlineStr">
        <is>
          <t>Tododia</t>
        </is>
      </c>
      <c r="D126" s="66" t="inlineStr">
        <is>
          <t xml:space="preserve">Sabonete Liquido em Gel </t>
        </is>
      </c>
      <c r="E126" s="136">
        <f>TRIM(CONCATENATE(D126, " ", C126, " ", F126, " ", IF(G126&gt;0, G126 &amp; "x" &amp; H126, H126), " ", I126))</f>
        <v/>
      </c>
      <c r="F126" s="3" t="inlineStr">
        <is>
          <t xml:space="preserve">Amora Vermelha e Jabuticaba </t>
        </is>
      </c>
      <c r="G126" s="131" t="n"/>
      <c r="H126" s="142" t="inlineStr">
        <is>
          <t xml:space="preserve">300ml </t>
        </is>
      </c>
      <c r="I126" s="36" t="inlineStr">
        <is>
          <t>Refil</t>
        </is>
      </c>
      <c r="J126" s="11" t="inlineStr">
        <is>
          <t xml:space="preserve">Cremoso \ Perfume \ Hidrata </t>
        </is>
      </c>
      <c r="K126" s="141" t="n"/>
      <c r="L126" s="141" t="inlineStr">
        <is>
          <t xml:space="preserve"> R$: 37,90</t>
        </is>
      </c>
    </row>
    <row r="127" ht="15" customFormat="1" customHeight="1" s="10">
      <c r="B127" s="63" t="inlineStr">
        <is>
          <t>Natura</t>
        </is>
      </c>
      <c r="C127" s="71" t="inlineStr">
        <is>
          <t>Tododia</t>
        </is>
      </c>
      <c r="D127" s="66" t="inlineStr">
        <is>
          <t xml:space="preserve">Sabonete Liquido em Gel </t>
        </is>
      </c>
      <c r="E127" s="136">
        <f>TRIM(CONCATENATE(D127, " ", C127, " ", F127, " ", IF(G127&gt;0, G127 &amp; "x" &amp; H127, H127), " ", I127))</f>
        <v/>
      </c>
      <c r="F127" s="3" t="inlineStr">
        <is>
          <t>Cereja e Avelã</t>
        </is>
      </c>
      <c r="G127" s="131" t="n"/>
      <c r="H127" s="142" t="inlineStr">
        <is>
          <t xml:space="preserve">300ml </t>
        </is>
      </c>
      <c r="I127" s="36" t="inlineStr">
        <is>
          <t>Refil</t>
        </is>
      </c>
      <c r="J127" s="11" t="inlineStr">
        <is>
          <t xml:space="preserve">Cremoso \ Perfume \ Hidrata </t>
        </is>
      </c>
      <c r="K127" s="141" t="n"/>
      <c r="L127" s="141" t="inlineStr">
        <is>
          <t xml:space="preserve"> R$: 37,90</t>
        </is>
      </c>
    </row>
    <row r="128" ht="15" customFormat="1" customHeight="1" s="10">
      <c r="B128" s="63" t="inlineStr">
        <is>
          <t>Natura</t>
        </is>
      </c>
      <c r="C128" s="71" t="inlineStr">
        <is>
          <t>Tododia</t>
        </is>
      </c>
      <c r="D128" s="66" t="inlineStr">
        <is>
          <t xml:space="preserve">Sabonete Liquido em Gel </t>
        </is>
      </c>
      <c r="E128" s="136">
        <f>TRIM(CONCATENATE(D128, " ", C128, " ", F128, " ", IF(G128&gt;0, G128 &amp; "x" &amp; H128, H128), " ", I128))</f>
        <v/>
      </c>
      <c r="F128" s="2" t="inlineStr">
        <is>
          <t>Todanoite</t>
        </is>
      </c>
      <c r="G128" s="131" t="n"/>
      <c r="H128" s="142" t="inlineStr">
        <is>
          <t xml:space="preserve">300ml </t>
        </is>
      </c>
      <c r="I128" s="36" t="inlineStr">
        <is>
          <t>Refil</t>
        </is>
      </c>
      <c r="J128" s="12" t="inlineStr">
        <is>
          <t xml:space="preserve">Tranquilizante \ Banho nas Nuvens </t>
        </is>
      </c>
      <c r="K128" s="141" t="n"/>
      <c r="L128" s="141" t="inlineStr">
        <is>
          <t xml:space="preserve"> R$: 37,90</t>
        </is>
      </c>
    </row>
    <row r="129" ht="15" customFormat="1" customHeight="1" s="10">
      <c r="B129" s="63" t="inlineStr">
        <is>
          <t>Natura</t>
        </is>
      </c>
      <c r="C129" s="71" t="inlineStr">
        <is>
          <t>Tododia</t>
        </is>
      </c>
      <c r="D129" s="66" t="inlineStr">
        <is>
          <t xml:space="preserve">Sabonete Liquido em Gel </t>
        </is>
      </c>
      <c r="E129" s="136">
        <f>TRIM(CONCATENATE(D129, " ", C129, " ", F129, " ", IF(G129&gt;0, G129 &amp; "x" &amp; H129, H129), " ", I129))</f>
        <v/>
      </c>
      <c r="F129" s="2" t="inlineStr">
        <is>
          <t xml:space="preserve">Flor de Gengibre e Tangerina </t>
        </is>
      </c>
      <c r="G129" s="131" t="n"/>
      <c r="H129" s="142" t="inlineStr">
        <is>
          <t xml:space="preserve">300ml </t>
        </is>
      </c>
      <c r="I129" s="36" t="inlineStr">
        <is>
          <t>Refil</t>
        </is>
      </c>
      <c r="J129" s="11" t="inlineStr">
        <is>
          <t xml:space="preserve">Banho Energizante </t>
        </is>
      </c>
      <c r="K129" s="141" t="n"/>
      <c r="L129" s="141" t="inlineStr">
        <is>
          <t xml:space="preserve"> R$: 37,90</t>
        </is>
      </c>
    </row>
    <row r="130" ht="15" customFormat="1" customHeight="1" s="10">
      <c r="B130" s="63" t="inlineStr">
        <is>
          <t>Natura</t>
        </is>
      </c>
      <c r="C130" s="71" t="inlineStr">
        <is>
          <t>Tododia</t>
        </is>
      </c>
      <c r="D130" s="66" t="inlineStr">
        <is>
          <t xml:space="preserve">Sabonete Liquido em Gel </t>
        </is>
      </c>
      <c r="E130" s="136">
        <f>TRIM(CONCATENATE(D130, " ", C130, " ", F130, " ", IF(G130&gt;0, G130 &amp; "x" &amp; H130, H130), " ", I130))</f>
        <v/>
      </c>
      <c r="F130" s="2" t="inlineStr">
        <is>
          <t xml:space="preserve">Macadamia </t>
        </is>
      </c>
      <c r="G130" s="131" t="n"/>
      <c r="H130" s="142" t="inlineStr">
        <is>
          <t xml:space="preserve">300ml </t>
        </is>
      </c>
      <c r="I130" s="36" t="inlineStr">
        <is>
          <t>Refil</t>
        </is>
      </c>
      <c r="J130" s="11" t="inlineStr">
        <is>
          <t xml:space="preserve">Cremoso \ Perfume \ Hidrata </t>
        </is>
      </c>
      <c r="K130" s="141" t="n"/>
      <c r="L130" s="141" t="inlineStr">
        <is>
          <t xml:space="preserve"> R$: 37,90</t>
        </is>
      </c>
    </row>
    <row r="131" ht="15" customFormat="1" customHeight="1" s="10">
      <c r="B131" s="63" t="inlineStr">
        <is>
          <t>Natura</t>
        </is>
      </c>
      <c r="C131" s="71" t="inlineStr">
        <is>
          <t>Tododia</t>
        </is>
      </c>
      <c r="D131" s="66" t="inlineStr">
        <is>
          <t xml:space="preserve">Sabonete Liquido em Gel </t>
        </is>
      </c>
      <c r="E131" s="136">
        <f>TRIM(CONCATENATE(D131, " ", C131, " ", F131, " ", IF(G131&gt;0, G131 &amp; "x" &amp; H131, H131), " ", I131))</f>
        <v/>
      </c>
      <c r="F131" s="2" t="inlineStr">
        <is>
          <t>Noz Pecã e Cacau</t>
        </is>
      </c>
      <c r="G131" s="131" t="n"/>
      <c r="H131" s="142" t="inlineStr">
        <is>
          <t xml:space="preserve">300ml </t>
        </is>
      </c>
      <c r="I131" s="36" t="inlineStr">
        <is>
          <t>Refil</t>
        </is>
      </c>
      <c r="J131" s="11" t="inlineStr">
        <is>
          <t xml:space="preserve">Cremoso \ Perfume \ Hidrata </t>
        </is>
      </c>
      <c r="K131" s="141" t="n"/>
      <c r="L131" s="141" t="inlineStr">
        <is>
          <t xml:space="preserve"> R$: 37,90</t>
        </is>
      </c>
    </row>
    <row r="132" ht="15" customFormat="1" customHeight="1" s="10">
      <c r="B132" s="63" t="inlineStr">
        <is>
          <t>Natura</t>
        </is>
      </c>
      <c r="C132" s="71" t="inlineStr">
        <is>
          <t>Tododia</t>
        </is>
      </c>
      <c r="D132" s="66" t="inlineStr">
        <is>
          <t xml:space="preserve">Sabonete Liquido em Gel </t>
        </is>
      </c>
      <c r="E132" s="136">
        <f>TRIM(CONCATENATE(D132, " ", C132, " ", F132, " ", IF(G132&gt;0, G132 &amp; "x" &amp; H132, H132), " ", I132))</f>
        <v/>
      </c>
      <c r="F132" s="2" t="inlineStr">
        <is>
          <t xml:space="preserve">Tamara e Canela </t>
        </is>
      </c>
      <c r="G132" s="131" t="n"/>
      <c r="H132" s="142" t="inlineStr">
        <is>
          <t xml:space="preserve">300ml </t>
        </is>
      </c>
      <c r="I132" s="36" t="inlineStr">
        <is>
          <t>Refil</t>
        </is>
      </c>
      <c r="J132" s="11" t="inlineStr">
        <is>
          <t xml:space="preserve">Cremoso \ Perfume \ Hidrata </t>
        </is>
      </c>
      <c r="K132" s="141" t="n"/>
      <c r="L132" s="141" t="inlineStr">
        <is>
          <t xml:space="preserve"> R$: 37,90</t>
        </is>
      </c>
    </row>
    <row r="133" ht="15" customFormat="1" customHeight="1" s="10">
      <c r="A133" t="inlineStr">
        <is>
          <t>NATBRA-121969</t>
        </is>
      </c>
      <c r="B133" s="63" t="inlineStr">
        <is>
          <t>Natura</t>
        </is>
      </c>
      <c r="C133" s="71" t="inlineStr">
        <is>
          <t>Tododia</t>
        </is>
      </c>
      <c r="D133" s="64" t="inlineStr">
        <is>
          <t>Sabonete em Barra</t>
        </is>
      </c>
      <c r="E133" s="136">
        <f>TRIM(CONCATENATE(D133, " ", C133, " ", F133, " ", IF(G133&gt;0, G133 &amp; "x" &amp; H133, H133), " ", I133))</f>
        <v/>
      </c>
      <c r="F133" s="9" t="inlineStr">
        <is>
          <t xml:space="preserve">Todonoite </t>
        </is>
      </c>
      <c r="G133" s="131" t="n">
        <v>5</v>
      </c>
      <c r="H133" s="56" t="inlineStr">
        <is>
          <t>80g</t>
        </is>
      </c>
      <c r="I133" s="89" t="inlineStr">
        <is>
          <t>Caixa</t>
        </is>
      </c>
      <c r="J133" s="11" t="inlineStr">
        <is>
          <t xml:space="preserve">Banho nas Nuvens / Barra de Sabonete Massageadora </t>
        </is>
      </c>
      <c r="K133" s="184" t="n"/>
      <c r="L133" s="184" t="n">
        <v>19.9</v>
      </c>
    </row>
    <row r="134" ht="15" customFormat="1" customHeight="1" s="10">
      <c r="B134" s="63" t="inlineStr">
        <is>
          <t>Natura</t>
        </is>
      </c>
      <c r="C134" s="71" t="inlineStr">
        <is>
          <t>Tododia</t>
        </is>
      </c>
      <c r="D134" s="64" t="inlineStr">
        <is>
          <t xml:space="preserve">Sabonete em Barra </t>
        </is>
      </c>
      <c r="E134" s="136">
        <f>TRIM(CONCATENATE(D134, " ", C134, " ", F134, " ", IF(G134&gt;0, G134 &amp; "x" &amp; H134, H134), " ", I134))</f>
        <v/>
      </c>
      <c r="F134" s="9" t="inlineStr">
        <is>
          <t xml:space="preserve">Flor de Gengibre e Tangerina </t>
        </is>
      </c>
      <c r="G134" s="131" t="n">
        <v>5</v>
      </c>
      <c r="H134" s="56" t="inlineStr">
        <is>
          <t>80g</t>
        </is>
      </c>
      <c r="I134" s="89" t="inlineStr">
        <is>
          <t>Caixa</t>
        </is>
      </c>
      <c r="J134" s="11" t="inlineStr">
        <is>
          <t xml:space="preserve">Banho Energizante </t>
        </is>
      </c>
      <c r="K134" s="184" t="n"/>
      <c r="L134" s="184" t="n">
        <v>19.9</v>
      </c>
    </row>
    <row r="135" ht="15" customFormat="1" customHeight="1" s="10">
      <c r="B135" s="63" t="inlineStr">
        <is>
          <t>Natura</t>
        </is>
      </c>
      <c r="C135" s="71" t="inlineStr">
        <is>
          <t>Tododia</t>
        </is>
      </c>
      <c r="D135" s="64" t="inlineStr">
        <is>
          <t>Body Splash</t>
        </is>
      </c>
      <c r="E135" s="136">
        <f>TRIM(CONCATENATE(D135, " ", C135, " ", F135, " ", IF(G135&gt;0, G135 &amp; "x" &amp; H135, H135), " ", I135))</f>
        <v/>
      </c>
      <c r="F135" s="9" t="inlineStr">
        <is>
          <t xml:space="preserve">Algodão </t>
        </is>
      </c>
      <c r="G135" s="131" t="n"/>
      <c r="H135" s="11" t="inlineStr">
        <is>
          <t xml:space="preserve">200ml </t>
        </is>
      </c>
      <c r="I135" s="33" t="inlineStr">
        <is>
          <t xml:space="preserve">Frasco </t>
        </is>
      </c>
      <c r="J135" s="9" t="inlineStr">
        <is>
          <t xml:space="preserve">Suave \ confortavel \ notas Florais </t>
        </is>
      </c>
      <c r="K135" s="185" t="n"/>
      <c r="L135" s="185" t="n">
        <v>87.90000000000001</v>
      </c>
    </row>
    <row r="136" ht="15.75" customHeight="1" s="145">
      <c r="B136" s="63" t="inlineStr">
        <is>
          <t>Natura</t>
        </is>
      </c>
      <c r="C136" s="71" t="inlineStr">
        <is>
          <t>Tododia</t>
        </is>
      </c>
      <c r="D136" s="64" t="inlineStr">
        <is>
          <t>Body Splash</t>
        </is>
      </c>
      <c r="E136" s="136">
        <f>TRIM(CONCATENATE(D136, " ", C136, " ", F136, " ", IF(G136&gt;0, G136 &amp; "x" &amp; H136, H136), " ", I136))</f>
        <v/>
      </c>
      <c r="F136" s="3" t="inlineStr">
        <is>
          <t xml:space="preserve">Ameixa e Flor de Baunilha </t>
        </is>
      </c>
      <c r="G136" s="131" t="n"/>
      <c r="H136" s="11" t="inlineStr">
        <is>
          <t xml:space="preserve">200ml </t>
        </is>
      </c>
      <c r="I136" s="33" t="inlineStr">
        <is>
          <t xml:space="preserve">Frasco </t>
        </is>
      </c>
      <c r="J136" s="11" t="inlineStr">
        <is>
          <t xml:space="preserve">Atraente \ Autentica \ Notas Florais </t>
        </is>
      </c>
      <c r="K136" s="185" t="n"/>
      <c r="L136" s="185" t="n">
        <v>87.90000000000001</v>
      </c>
    </row>
    <row r="137" ht="15.75" customHeight="1" s="145">
      <c r="B137" s="63" t="inlineStr">
        <is>
          <t>Natura</t>
        </is>
      </c>
      <c r="C137" s="71" t="inlineStr">
        <is>
          <t>Tododia</t>
        </is>
      </c>
      <c r="D137" s="64" t="inlineStr">
        <is>
          <t>Body Splash</t>
        </is>
      </c>
      <c r="E137" s="136">
        <f>TRIM(CONCATENATE(D137, " ", C137, " ", F137, " ", IF(G137&gt;0, G137 &amp; "x" &amp; H137, H137), " ", I137))</f>
        <v/>
      </c>
      <c r="F137" s="3" t="inlineStr">
        <is>
          <t>Amora Vermelha e Jabuticaba</t>
        </is>
      </c>
      <c r="G137" s="131" t="n"/>
      <c r="H137" s="11" t="inlineStr">
        <is>
          <t xml:space="preserve">200ml </t>
        </is>
      </c>
      <c r="I137" s="33" t="inlineStr">
        <is>
          <t xml:space="preserve">Frasco </t>
        </is>
      </c>
      <c r="J137" s="11" t="inlineStr">
        <is>
          <t xml:space="preserve">Alegre \ Exuberante\ Notas Frutais </t>
        </is>
      </c>
      <c r="K137" s="185" t="n"/>
      <c r="L137" s="185" t="n">
        <v>87.90000000000001</v>
      </c>
    </row>
    <row r="138" ht="15.75" customHeight="1" s="145">
      <c r="B138" s="63" t="inlineStr">
        <is>
          <t>Natura</t>
        </is>
      </c>
      <c r="C138" s="71" t="inlineStr">
        <is>
          <t>Tododia</t>
        </is>
      </c>
      <c r="D138" s="64" t="inlineStr">
        <is>
          <t>Body Splash</t>
        </is>
      </c>
      <c r="E138" s="136">
        <f>TRIM(CONCATENATE(D138, " ", C138, " ", F138, " ", IF(G138&gt;0, G138 &amp; "x" &amp; H138, H138), " ", I138))</f>
        <v/>
      </c>
      <c r="F138" s="3" t="inlineStr">
        <is>
          <t>Cereja Negra e Pranilé</t>
        </is>
      </c>
      <c r="G138" s="131" t="n"/>
      <c r="H138" s="11" t="inlineStr">
        <is>
          <t xml:space="preserve">200ml </t>
        </is>
      </c>
      <c r="I138" s="33" t="inlineStr">
        <is>
          <t xml:space="preserve">Frasco </t>
        </is>
      </c>
      <c r="J138" s="11" t="inlineStr">
        <is>
          <t xml:space="preserve">Sedutora \ intensa \ Notas Doces </t>
        </is>
      </c>
      <c r="K138" s="185" t="n"/>
      <c r="L138" s="185" t="n">
        <v>87.90000000000001</v>
      </c>
    </row>
    <row r="139" ht="15" customHeight="1" s="145">
      <c r="B139" s="63" t="inlineStr">
        <is>
          <t>Natura</t>
        </is>
      </c>
      <c r="C139" s="71" t="inlineStr">
        <is>
          <t>Tododia</t>
        </is>
      </c>
      <c r="D139" s="64" t="inlineStr">
        <is>
          <t>Body Splash</t>
        </is>
      </c>
      <c r="E139" s="136">
        <f>TRIM(CONCATENATE(D139, " ", C139, " ", F139, " ", IF(G139&gt;0, G139 &amp; "x" &amp; H139, H139), " ", I139))</f>
        <v/>
      </c>
      <c r="F139" s="2" t="inlineStr">
        <is>
          <t>Cereja e Avelã</t>
        </is>
      </c>
      <c r="G139" s="131" t="n"/>
      <c r="H139" s="11" t="inlineStr">
        <is>
          <t xml:space="preserve">200ml </t>
        </is>
      </c>
      <c r="I139" s="33" t="inlineStr">
        <is>
          <t xml:space="preserve">Frasco </t>
        </is>
      </c>
      <c r="J139" s="11" t="inlineStr">
        <is>
          <t xml:space="preserve">Atraente \ Marcante Adocicado </t>
        </is>
      </c>
      <c r="K139" s="185" t="n"/>
      <c r="L139" s="185" t="n">
        <v>87.90000000000001</v>
      </c>
    </row>
    <row r="140" ht="15" customHeight="1" s="145">
      <c r="B140" s="63" t="inlineStr">
        <is>
          <t>Natura</t>
        </is>
      </c>
      <c r="C140" s="71" t="inlineStr">
        <is>
          <t>Tododia</t>
        </is>
      </c>
      <c r="D140" s="64" t="inlineStr">
        <is>
          <t>Body Splash</t>
        </is>
      </c>
      <c r="E140" s="136">
        <f>TRIM(CONCATENATE(D140, " ", C140, " ", F140, " ", IF(G140&gt;0, G140 &amp; "x" &amp; H140, H140), " ", I140))</f>
        <v/>
      </c>
      <c r="F140" s="2" t="inlineStr">
        <is>
          <t xml:space="preserve">Cha Camomila e Lavanda </t>
        </is>
      </c>
      <c r="G140" s="131" t="n"/>
      <c r="H140" s="11" t="inlineStr">
        <is>
          <t xml:space="preserve">200ml </t>
        </is>
      </c>
      <c r="I140" s="33" t="inlineStr">
        <is>
          <t xml:space="preserve">Frasco </t>
        </is>
      </c>
      <c r="J140" s="12" t="inlineStr">
        <is>
          <t xml:space="preserve">Relaxante \ Aconchegante \ Inusitada \ Nota Floral </t>
        </is>
      </c>
      <c r="K140" s="185" t="n"/>
      <c r="L140" s="185" t="n">
        <v>87.90000000000001</v>
      </c>
    </row>
    <row r="141" ht="15" customHeight="1" s="145">
      <c r="B141" s="63" t="inlineStr">
        <is>
          <t>Natura</t>
        </is>
      </c>
      <c r="C141" s="71" t="inlineStr">
        <is>
          <t>Tododia</t>
        </is>
      </c>
      <c r="D141" s="64" t="inlineStr">
        <is>
          <t>Body Splash</t>
        </is>
      </c>
      <c r="E141" s="136">
        <f>TRIM(CONCATENATE(D141, " ", C141, " ", F141, " ", IF(G141&gt;0, G141 &amp; "x" &amp; H141, H141), " ", I141))</f>
        <v/>
      </c>
      <c r="F141" s="2" t="inlineStr">
        <is>
          <t xml:space="preserve">Flor de Pera e Melissa </t>
        </is>
      </c>
      <c r="G141" s="131" t="n"/>
      <c r="H141" s="11" t="inlineStr">
        <is>
          <t xml:space="preserve">200ml </t>
        </is>
      </c>
      <c r="I141" s="33" t="inlineStr">
        <is>
          <t xml:space="preserve">Frasco </t>
        </is>
      </c>
      <c r="J141" s="11" t="inlineStr">
        <is>
          <t xml:space="preserve">Encatadora \ Confortavel \ Notas Florais Frescas </t>
        </is>
      </c>
      <c r="K141" s="185" t="n"/>
      <c r="L141" s="185" t="n">
        <v>87.90000000000001</v>
      </c>
    </row>
    <row r="142" ht="15" customHeight="1" s="145">
      <c r="B142" s="63" t="inlineStr">
        <is>
          <t>Natura</t>
        </is>
      </c>
      <c r="C142" s="71" t="inlineStr">
        <is>
          <t>Tododia</t>
        </is>
      </c>
      <c r="D142" s="64" t="inlineStr">
        <is>
          <t>Body Splash</t>
        </is>
      </c>
      <c r="E142" s="136">
        <f>TRIM(CONCATENATE(D142, " ", C142, " ", F142, " ", IF(G142&gt;0, G142 &amp; "x" &amp; H142, H142), " ", I142))</f>
        <v/>
      </c>
      <c r="F142" s="2" t="inlineStr">
        <is>
          <t xml:space="preserve">Flor de Gengibre e Tangerina </t>
        </is>
      </c>
      <c r="G142" s="131" t="n"/>
      <c r="H142" s="11" t="inlineStr">
        <is>
          <t xml:space="preserve">200ml </t>
        </is>
      </c>
      <c r="I142" s="33" t="inlineStr">
        <is>
          <t xml:space="preserve">Frasco </t>
        </is>
      </c>
      <c r="J142" s="2" t="inlineStr">
        <is>
          <t xml:space="preserve">Energizante </t>
        </is>
      </c>
      <c r="K142" s="185" t="n"/>
      <c r="L142" s="185" t="n">
        <v>87.90000000000001</v>
      </c>
    </row>
    <row r="143" ht="15" customHeight="1" s="145">
      <c r="B143" s="63" t="inlineStr">
        <is>
          <t>Natura</t>
        </is>
      </c>
      <c r="C143" s="71" t="inlineStr">
        <is>
          <t>Tododia</t>
        </is>
      </c>
      <c r="D143" s="64" t="inlineStr">
        <is>
          <t>Body Splash</t>
        </is>
      </c>
      <c r="E143" s="136">
        <f>TRIM(CONCATENATE(D143, " ", C143, " ", F143, " ", IF(G143&gt;0, G143 &amp; "x" &amp; H143, H143), " ", I143))</f>
        <v/>
      </c>
      <c r="F143" s="2" t="inlineStr">
        <is>
          <t xml:space="preserve">Frambuesa e Pimenta Vermelha </t>
        </is>
      </c>
      <c r="G143" s="131" t="n"/>
      <c r="H143" s="11" t="inlineStr">
        <is>
          <t xml:space="preserve">200ml </t>
        </is>
      </c>
      <c r="I143" s="33" t="inlineStr">
        <is>
          <t xml:space="preserve">Frasco </t>
        </is>
      </c>
      <c r="J143" s="2" t="inlineStr">
        <is>
          <t xml:space="preserve">Alegre \ Exuberante\ Notas Frutais </t>
        </is>
      </c>
      <c r="K143" s="185" t="n"/>
      <c r="L143" s="185" t="n">
        <v>87.90000000000001</v>
      </c>
    </row>
    <row r="144" ht="15" customHeight="1" s="145">
      <c r="B144" s="63" t="inlineStr">
        <is>
          <t>Natura</t>
        </is>
      </c>
      <c r="C144" s="71" t="inlineStr">
        <is>
          <t>Tododia</t>
        </is>
      </c>
      <c r="D144" s="64" t="inlineStr">
        <is>
          <t>Body Splash</t>
        </is>
      </c>
      <c r="E144" s="136">
        <f>TRIM(CONCATENATE(D144, " ", C144, " ", F144, " ", IF(G144&gt;0, G144 &amp; "x" &amp; H144, H144), " ", I144))</f>
        <v/>
      </c>
      <c r="F144" s="2" t="inlineStr">
        <is>
          <t xml:space="preserve">Jambo Rosa e Flor De Caju </t>
        </is>
      </c>
      <c r="G144" s="131" t="n"/>
      <c r="H144" s="11" t="inlineStr">
        <is>
          <t xml:space="preserve">200ml </t>
        </is>
      </c>
      <c r="I144" s="33" t="inlineStr">
        <is>
          <t xml:space="preserve">Frasco </t>
        </is>
      </c>
      <c r="J144" s="2" t="inlineStr">
        <is>
          <t xml:space="preserve">Frutas Tropicais \ Tons de Pele Pretas e Pardas </t>
        </is>
      </c>
      <c r="K144" s="185" t="n"/>
      <c r="L144" s="185" t="n">
        <v>87.90000000000001</v>
      </c>
    </row>
    <row r="145" ht="15" customHeight="1" s="145">
      <c r="B145" s="63" t="inlineStr">
        <is>
          <t>Natura</t>
        </is>
      </c>
      <c r="C145" s="71" t="inlineStr">
        <is>
          <t>Tododia</t>
        </is>
      </c>
      <c r="D145" s="64" t="inlineStr">
        <is>
          <t>Body Splash</t>
        </is>
      </c>
      <c r="E145" s="136">
        <f>TRIM(CONCATENATE(D145, " ", C145, " ", F145, " ", IF(G145&gt;0, G145 &amp; "x" &amp; H145, H145), " ", I145))</f>
        <v/>
      </c>
      <c r="F145" s="2" t="inlineStr">
        <is>
          <t xml:space="preserve">Maça Caramelada e Baunilha </t>
        </is>
      </c>
      <c r="G145" s="131" t="n"/>
      <c r="H145" s="11" t="inlineStr">
        <is>
          <t xml:space="preserve">200ml </t>
        </is>
      </c>
      <c r="I145" s="33" t="inlineStr">
        <is>
          <t xml:space="preserve">Frasco </t>
        </is>
      </c>
      <c r="J145" s="121" t="inlineStr">
        <is>
          <t xml:space="preserve"> suculenta e envolte \ Especial São João</t>
        </is>
      </c>
      <c r="K145" s="185" t="n"/>
      <c r="L145" s="185" t="n">
        <v>87.90000000000001</v>
      </c>
    </row>
    <row r="146" ht="15" customHeight="1" s="145">
      <c r="B146" s="63" t="inlineStr">
        <is>
          <t>Natura</t>
        </is>
      </c>
      <c r="C146" s="71" t="inlineStr">
        <is>
          <t>Tododia</t>
        </is>
      </c>
      <c r="D146" s="64" t="inlineStr">
        <is>
          <t>Body Splash</t>
        </is>
      </c>
      <c r="E146" s="136">
        <f>TRIM(CONCATENATE(D146, " ", C146, " ", F146, " ", IF(G146&gt;0, G146 &amp; "x" &amp; H146, H146), " ", I146))</f>
        <v/>
      </c>
      <c r="F146" s="2" t="inlineStr">
        <is>
          <t>Noz pecã e cacau</t>
        </is>
      </c>
      <c r="G146" s="131" t="n"/>
      <c r="H146" s="11" t="inlineStr">
        <is>
          <t xml:space="preserve">200ml </t>
        </is>
      </c>
      <c r="I146" s="33" t="inlineStr">
        <is>
          <t xml:space="preserve">Frasco </t>
        </is>
      </c>
      <c r="J146" s="2" t="n"/>
      <c r="K146" s="185" t="n"/>
      <c r="L146" s="185" t="n">
        <v>87.90000000000001</v>
      </c>
    </row>
    <row r="147" ht="15" customHeight="1" s="145">
      <c r="B147" s="63" t="inlineStr">
        <is>
          <t>Natura</t>
        </is>
      </c>
      <c r="C147" s="71" t="inlineStr">
        <is>
          <t>Tododia</t>
        </is>
      </c>
      <c r="D147" s="64" t="inlineStr">
        <is>
          <t>Body Splash</t>
        </is>
      </c>
      <c r="E147" s="136">
        <f>TRIM(CONCATENATE(D147, " ", C147, " ", F147, " ", IF(G147&gt;0, G147 &amp; "x" &amp; H147, H147), " ", I147))</f>
        <v/>
      </c>
      <c r="F147" s="2" t="inlineStr">
        <is>
          <t xml:space="preserve">Romã e Flor de Amora </t>
        </is>
      </c>
      <c r="G147" s="131" t="n"/>
      <c r="H147" s="11" t="inlineStr">
        <is>
          <t xml:space="preserve">200ml </t>
        </is>
      </c>
      <c r="I147" s="33" t="inlineStr">
        <is>
          <t xml:space="preserve">Frasco </t>
        </is>
      </c>
      <c r="J147" s="2" t="inlineStr">
        <is>
          <t xml:space="preserve">Marcante \ Envolvente \ Florais Adocicadas </t>
        </is>
      </c>
      <c r="K147" s="185" t="n"/>
      <c r="L147" s="185" t="n">
        <v>87.90000000000001</v>
      </c>
    </row>
    <row r="148" ht="15" customHeight="1" s="145">
      <c r="B148" s="63" t="inlineStr">
        <is>
          <t>Natura</t>
        </is>
      </c>
      <c r="C148" s="71" t="inlineStr">
        <is>
          <t>Tododia</t>
        </is>
      </c>
      <c r="D148" s="64" t="inlineStr">
        <is>
          <t xml:space="preserve">Spray de Ambientes </t>
        </is>
      </c>
      <c r="E148" s="136">
        <f>TRIM(CONCATENATE(D148, " ", C148, " ", F148, " ", IF(G148&gt;0, G148 &amp; "x" &amp; H148, H148), " ", I148))</f>
        <v/>
      </c>
      <c r="F148" s="2" t="inlineStr">
        <is>
          <t>Todanoite</t>
        </is>
      </c>
      <c r="G148" s="131" t="n"/>
      <c r="H148" s="11" t="inlineStr">
        <is>
          <t xml:space="preserve">200ml </t>
        </is>
      </c>
      <c r="I148" s="33" t="inlineStr">
        <is>
          <t xml:space="preserve">Frasco </t>
        </is>
      </c>
      <c r="J148" s="121" t="inlineStr">
        <is>
          <t xml:space="preserve">Fragancia Acogeadora e Serena </t>
        </is>
      </c>
      <c r="K148" s="186" t="n"/>
      <c r="L148" s="186" t="n">
        <v>83.90000000000001</v>
      </c>
    </row>
    <row r="149" ht="15" customHeight="1" s="145">
      <c r="B149" s="63" t="inlineStr">
        <is>
          <t>Natura</t>
        </is>
      </c>
      <c r="C149" s="71" t="inlineStr">
        <is>
          <t>Tododia</t>
        </is>
      </c>
      <c r="D149" s="64" t="inlineStr">
        <is>
          <t xml:space="preserve">Spray de Ambientes </t>
        </is>
      </c>
      <c r="E149" s="136">
        <f>TRIM(CONCATENATE(D149, " ", C149, " ", F149, " ", IF(G149&gt;0, G149 &amp; "x" &amp; H149, H149), " ", I149))</f>
        <v/>
      </c>
      <c r="F149" s="2" t="inlineStr">
        <is>
          <t>Todanoite</t>
        </is>
      </c>
      <c r="G149" s="131" t="n"/>
      <c r="H149" s="11" t="inlineStr">
        <is>
          <t xml:space="preserve">200ml </t>
        </is>
      </c>
      <c r="I149" s="33" t="inlineStr">
        <is>
          <t xml:space="preserve">Refil </t>
        </is>
      </c>
      <c r="J149" s="141" t="inlineStr">
        <is>
          <t>Fragancia Acogeadora e Serena</t>
        </is>
      </c>
      <c r="K149" s="186" t="n"/>
      <c r="L149" s="186" t="n">
        <v>58.9</v>
      </c>
    </row>
    <row r="150" ht="15" customHeight="1" s="145">
      <c r="B150" s="63" t="inlineStr">
        <is>
          <t>Natura</t>
        </is>
      </c>
      <c r="C150" s="71" t="inlineStr">
        <is>
          <t>Tododia</t>
        </is>
      </c>
      <c r="D150" s="64" t="inlineStr">
        <is>
          <t>Shampoo</t>
        </is>
      </c>
      <c r="E150" s="136">
        <f>TRIM(CONCATENATE(D150, " ", C150, " ", F150, " ", IF(G150&gt;0, G150 &amp; "x" &amp; H150, H150), " ", I150))</f>
        <v/>
      </c>
      <c r="F150" s="2" t="inlineStr">
        <is>
          <t xml:space="preserve">Amora e Oleo De Coco </t>
        </is>
      </c>
      <c r="G150" s="131" t="n"/>
      <c r="H150" s="2" t="inlineStr">
        <is>
          <t xml:space="preserve">300ml </t>
        </is>
      </c>
      <c r="I150" s="33" t="inlineStr">
        <is>
          <t xml:space="preserve">Frasco </t>
        </is>
      </c>
      <c r="J150" s="121" t="inlineStr">
        <is>
          <t xml:space="preserve">Limpeza Antiressecamento </t>
        </is>
      </c>
      <c r="K150" s="2" t="n"/>
      <c r="L150" s="2" t="inlineStr">
        <is>
          <t xml:space="preserve">R$ 33,90 </t>
        </is>
      </c>
    </row>
    <row r="151" ht="15" customHeight="1" s="145">
      <c r="B151" s="63" t="inlineStr">
        <is>
          <t>Natura</t>
        </is>
      </c>
      <c r="C151" s="71" t="inlineStr">
        <is>
          <t>Tododia</t>
        </is>
      </c>
      <c r="D151" s="64" t="inlineStr">
        <is>
          <t>Shampoo</t>
        </is>
      </c>
      <c r="E151" s="136">
        <f>TRIM(CONCATENATE(D151, " ", C151, " ", F151, " ", IF(G151&gt;0, G151 &amp; "x" &amp; H151, H151), " ", I151))</f>
        <v/>
      </c>
      <c r="F151" s="2" t="inlineStr">
        <is>
          <t xml:space="preserve">Flor de Cereja e Abacate </t>
        </is>
      </c>
      <c r="G151" s="131" t="n"/>
      <c r="H151" s="2" t="inlineStr">
        <is>
          <t xml:space="preserve">300ml </t>
        </is>
      </c>
      <c r="I151" s="33" t="inlineStr">
        <is>
          <t xml:space="preserve">Frasco </t>
        </is>
      </c>
      <c r="J151" s="11" t="inlineStr">
        <is>
          <t xml:space="preserve">Limpa delicadamente \ Repara os fios </t>
        </is>
      </c>
      <c r="K151" s="2" t="n"/>
      <c r="L151" s="2" t="inlineStr">
        <is>
          <t xml:space="preserve">R$ 33,90 </t>
        </is>
      </c>
    </row>
    <row r="152" ht="15" customHeight="1" s="145">
      <c r="B152" s="63" t="inlineStr">
        <is>
          <t>Natura</t>
        </is>
      </c>
      <c r="C152" s="118" t="inlineStr">
        <is>
          <t>Tododia</t>
        </is>
      </c>
      <c r="D152" s="64" t="inlineStr">
        <is>
          <t>Shampoo</t>
        </is>
      </c>
      <c r="E152" s="136">
        <f>TRIM(CONCATENATE(D152, " ", C152, " ", F152, " ", IF(G152&gt;0, G152 &amp; "x" &amp; H152, H152), " ", I152))</f>
        <v/>
      </c>
      <c r="F152" s="2" t="inlineStr">
        <is>
          <t xml:space="preserve">Maçã Verde e Aloe Vera </t>
        </is>
      </c>
      <c r="G152" s="131" t="n"/>
      <c r="H152" s="2" t="inlineStr">
        <is>
          <t xml:space="preserve">300ml </t>
        </is>
      </c>
      <c r="I152" s="33" t="inlineStr">
        <is>
          <t xml:space="preserve">Frasco </t>
        </is>
      </c>
      <c r="J152" s="2" t="inlineStr">
        <is>
          <t xml:space="preserve">Purifica \ Equilibra os fios </t>
        </is>
      </c>
      <c r="K152" s="2" t="n"/>
      <c r="L152" s="2" t="inlineStr">
        <is>
          <t xml:space="preserve">R$ 33,90 </t>
        </is>
      </c>
    </row>
    <row r="153" ht="15" customHeight="1" s="145">
      <c r="B153" s="63" t="inlineStr">
        <is>
          <t>Natura</t>
        </is>
      </c>
      <c r="C153" s="118" t="inlineStr">
        <is>
          <t>Tododia</t>
        </is>
      </c>
      <c r="D153" s="64" t="inlineStr">
        <is>
          <t>Shampoo</t>
        </is>
      </c>
      <c r="E153" s="136">
        <f>TRIM(CONCATENATE(D153, " ", C153, " ", F153, " ", IF(G153&gt;0, G153 &amp; "x" &amp; H153, H153), " ", I153))</f>
        <v/>
      </c>
      <c r="F153" s="121" t="inlineStr">
        <is>
          <t xml:space="preserve">Pessego e Amendoa </t>
        </is>
      </c>
      <c r="G153" s="131" t="n"/>
      <c r="H153" s="2" t="inlineStr">
        <is>
          <t xml:space="preserve">300ml </t>
        </is>
      </c>
      <c r="I153" s="33" t="inlineStr">
        <is>
          <t xml:space="preserve">Frasco </t>
        </is>
      </c>
      <c r="J153" s="121" t="inlineStr">
        <is>
          <t xml:space="preserve">Limpa os Fios \ Sem Ressecar </t>
        </is>
      </c>
      <c r="K153" s="2" t="n"/>
      <c r="L153" s="2" t="inlineStr">
        <is>
          <t xml:space="preserve">R$ 33,90 </t>
        </is>
      </c>
    </row>
    <row r="154" ht="15" customHeight="1" s="145">
      <c r="B154" s="63" t="inlineStr">
        <is>
          <t>Natura</t>
        </is>
      </c>
      <c r="C154" s="118" t="inlineStr">
        <is>
          <t>Tododia</t>
        </is>
      </c>
      <c r="D154" s="64" t="inlineStr">
        <is>
          <t>Shampoo</t>
        </is>
      </c>
      <c r="E154" s="136">
        <f>TRIM(CONCATENATE(D154, " ", C154, " ", F154, " ", IF(G154&gt;0, G154 &amp; "x" &amp; H154, H154), " ", I154))</f>
        <v/>
      </c>
      <c r="F154" s="2" t="inlineStr">
        <is>
          <t xml:space="preserve">Amora e Oleo De Coco </t>
        </is>
      </c>
      <c r="G154" s="131" t="n"/>
      <c r="H154" s="2" t="inlineStr">
        <is>
          <t xml:space="preserve">300ml </t>
        </is>
      </c>
      <c r="I154" s="33" t="inlineStr">
        <is>
          <t xml:space="preserve">Refil </t>
        </is>
      </c>
      <c r="J154" s="121" t="inlineStr">
        <is>
          <t xml:space="preserve">Limpeza Antiressecamento </t>
        </is>
      </c>
      <c r="K154" s="187" t="n"/>
      <c r="L154" s="187" t="n">
        <v>26.9</v>
      </c>
    </row>
    <row r="155" ht="15" customHeight="1" s="145">
      <c r="B155" s="63" t="inlineStr">
        <is>
          <t>Natura</t>
        </is>
      </c>
      <c r="C155" s="118" t="inlineStr">
        <is>
          <t>Tododia</t>
        </is>
      </c>
      <c r="D155" s="64" t="inlineStr">
        <is>
          <t>Shampoo</t>
        </is>
      </c>
      <c r="E155" s="136">
        <f>TRIM(CONCATENATE(D155, " ", C155, " ", F155, " ", IF(G155&gt;0, G155 &amp; "x" &amp; H155, H155), " ", I155))</f>
        <v/>
      </c>
      <c r="F155" s="2" t="inlineStr">
        <is>
          <t xml:space="preserve">Flor de Cereja e Abacate </t>
        </is>
      </c>
      <c r="G155" s="131" t="n"/>
      <c r="H155" s="2" t="inlineStr">
        <is>
          <t xml:space="preserve">300ml </t>
        </is>
      </c>
      <c r="I155" s="33" t="inlineStr">
        <is>
          <t xml:space="preserve">Refil </t>
        </is>
      </c>
      <c r="J155" s="11" t="inlineStr">
        <is>
          <t xml:space="preserve">Limpa delicadamente \ Repara os fios </t>
        </is>
      </c>
      <c r="K155" s="187" t="n"/>
      <c r="L155" s="187" t="n">
        <v>26.9</v>
      </c>
    </row>
    <row r="156" ht="15" customHeight="1" s="145">
      <c r="B156" s="63" t="inlineStr">
        <is>
          <t>Natura</t>
        </is>
      </c>
      <c r="C156" s="118" t="inlineStr">
        <is>
          <t>Tododia</t>
        </is>
      </c>
      <c r="D156" s="64" t="inlineStr">
        <is>
          <t>Shampoo</t>
        </is>
      </c>
      <c r="E156" s="136">
        <f>TRIM(CONCATENATE(D156, " ", C156, " ", F156, " ", IF(G156&gt;0, G156 &amp; "x" &amp; H156, H156), " ", I156))</f>
        <v/>
      </c>
      <c r="F156" s="2" t="inlineStr">
        <is>
          <t xml:space="preserve">Maçã Verde e Aloe Vera </t>
        </is>
      </c>
      <c r="G156" s="131" t="n"/>
      <c r="H156" s="2" t="inlineStr">
        <is>
          <t xml:space="preserve">300ml </t>
        </is>
      </c>
      <c r="I156" s="33" t="inlineStr">
        <is>
          <t xml:space="preserve">Refil </t>
        </is>
      </c>
      <c r="J156" s="2" t="inlineStr">
        <is>
          <t xml:space="preserve">Purifica \ Equilibra os fios </t>
        </is>
      </c>
      <c r="K156" s="187" t="n"/>
      <c r="L156" s="187" t="n">
        <v>26.9</v>
      </c>
    </row>
    <row r="157" ht="15" customHeight="1" s="145">
      <c r="B157" s="63" t="inlineStr">
        <is>
          <t>Natura</t>
        </is>
      </c>
      <c r="C157" s="118" t="inlineStr">
        <is>
          <t>Tododia</t>
        </is>
      </c>
      <c r="D157" s="64" t="inlineStr">
        <is>
          <t>Shampoo</t>
        </is>
      </c>
      <c r="E157" s="136">
        <f>TRIM(CONCATENATE(D157, " ", C157, " ", F157, " ", IF(G157&gt;0, G157 &amp; "x" &amp; H157, H157), " ", I157))</f>
        <v/>
      </c>
      <c r="F157" s="121" t="inlineStr">
        <is>
          <t xml:space="preserve">Pessego e Amendoa </t>
        </is>
      </c>
      <c r="G157" s="131" t="n"/>
      <c r="H157" s="2" t="inlineStr">
        <is>
          <t xml:space="preserve">300ml </t>
        </is>
      </c>
      <c r="I157" s="33" t="inlineStr">
        <is>
          <t xml:space="preserve">Refil </t>
        </is>
      </c>
      <c r="J157" s="121" t="inlineStr">
        <is>
          <t xml:space="preserve">Limpa os Fios \ Sem Ressecar </t>
        </is>
      </c>
      <c r="K157" s="187" t="n"/>
      <c r="L157" s="187" t="n">
        <v>26.9</v>
      </c>
    </row>
    <row r="158" ht="15" customHeight="1" s="145">
      <c r="B158" s="63" t="inlineStr">
        <is>
          <t>Natura</t>
        </is>
      </c>
      <c r="C158" s="118" t="inlineStr">
        <is>
          <t>Tododia</t>
        </is>
      </c>
      <c r="D158" s="119" t="inlineStr">
        <is>
          <t xml:space="preserve">Condicionador </t>
        </is>
      </c>
      <c r="E158" s="136">
        <f>TRIM(CONCATENATE(D158, " ", C158, " ", F158, " ", IF(G158&gt;0, G158 &amp; "x" &amp; H158, H158), " ", I158))</f>
        <v/>
      </c>
      <c r="F158" s="121" t="inlineStr">
        <is>
          <t xml:space="preserve">Amora e Oleo De Coco </t>
        </is>
      </c>
      <c r="G158" s="131" t="n"/>
      <c r="H158" s="121" t="inlineStr">
        <is>
          <t>280ml</t>
        </is>
      </c>
      <c r="I158" s="126" t="inlineStr">
        <is>
          <t xml:space="preserve">Frasco </t>
        </is>
      </c>
      <c r="J158" s="121" t="inlineStr">
        <is>
          <t xml:space="preserve">Hidrata \ Desembaraça os fios </t>
        </is>
      </c>
      <c r="K158" s="178" t="n"/>
      <c r="L158" s="178" t="n">
        <v>35.9</v>
      </c>
    </row>
    <row r="159" ht="15" customHeight="1" s="145">
      <c r="B159" s="63" t="inlineStr">
        <is>
          <t>Natura</t>
        </is>
      </c>
      <c r="C159" s="118" t="inlineStr">
        <is>
          <t>Tododia</t>
        </is>
      </c>
      <c r="D159" s="119" t="inlineStr">
        <is>
          <t xml:space="preserve">Condicionador </t>
        </is>
      </c>
      <c r="E159" s="136">
        <f>TRIM(CONCATENATE(D159, " ", C159, " ", F159, " ", IF(G159&gt;0, G159 &amp; "x" &amp; H159, H159), " ", I159))</f>
        <v/>
      </c>
      <c r="F159" s="121" t="inlineStr">
        <is>
          <t xml:space="preserve">Flor de Cereja e Abacate </t>
        </is>
      </c>
      <c r="G159" s="131" t="n"/>
      <c r="H159" s="121" t="inlineStr">
        <is>
          <t>280ml</t>
        </is>
      </c>
      <c r="I159" s="126" t="inlineStr">
        <is>
          <t xml:space="preserve">Frasco </t>
        </is>
      </c>
      <c r="J159" s="11" t="inlineStr">
        <is>
          <t xml:space="preserve">Repara Pontas Duplas e Sela os Fios </t>
        </is>
      </c>
      <c r="K159" s="178" t="n"/>
      <c r="L159" s="178" t="n">
        <v>35.9</v>
      </c>
    </row>
    <row r="160" ht="15" customHeight="1" s="145">
      <c r="B160" s="63" t="inlineStr">
        <is>
          <t>Natura</t>
        </is>
      </c>
      <c r="C160" s="118" t="inlineStr">
        <is>
          <t>Tododia</t>
        </is>
      </c>
      <c r="D160" s="119" t="inlineStr">
        <is>
          <t xml:space="preserve">Condicionador </t>
        </is>
      </c>
      <c r="E160" s="136">
        <f>TRIM(CONCATENATE(D160, " ", C160, " ", F160, " ", IF(G160&gt;0, G160 &amp; "x" &amp; H160, H160), " ", I160))</f>
        <v/>
      </c>
      <c r="F160" s="121" t="inlineStr">
        <is>
          <t xml:space="preserve">Maçã Verde e Aloe Vera </t>
        </is>
      </c>
      <c r="G160" s="131" t="n"/>
      <c r="H160" s="121" t="inlineStr">
        <is>
          <t>280ml</t>
        </is>
      </c>
      <c r="I160" s="126" t="inlineStr">
        <is>
          <t xml:space="preserve">Frasco </t>
        </is>
      </c>
      <c r="J160" s="2" t="inlineStr">
        <is>
          <t xml:space="preserve">Hidrata Profundamente \ Sem Pesar </t>
        </is>
      </c>
      <c r="K160" s="178" t="n"/>
      <c r="L160" s="178" t="n">
        <v>35.9</v>
      </c>
    </row>
    <row r="161" ht="15" customHeight="1" s="145">
      <c r="B161" s="63" t="inlineStr">
        <is>
          <t>Natura</t>
        </is>
      </c>
      <c r="C161" s="118" t="inlineStr">
        <is>
          <t>Tododia</t>
        </is>
      </c>
      <c r="D161" s="119" t="inlineStr">
        <is>
          <t xml:space="preserve">Condicionador </t>
        </is>
      </c>
      <c r="E161" s="136">
        <f>TRIM(CONCATENATE(D161, " ", C161, " ", F161, " ", IF(G161&gt;0, G161 &amp; "x" &amp; H161, H161), " ", I161))</f>
        <v/>
      </c>
      <c r="F161" s="121" t="inlineStr">
        <is>
          <t xml:space="preserve">Pessego e Amendoa </t>
        </is>
      </c>
      <c r="G161" s="131" t="n"/>
      <c r="H161" s="121" t="inlineStr">
        <is>
          <t>280ml</t>
        </is>
      </c>
      <c r="I161" s="126" t="inlineStr">
        <is>
          <t xml:space="preserve">Frasco </t>
        </is>
      </c>
      <c r="J161" s="121" t="inlineStr">
        <is>
          <t xml:space="preserve">Nutre e desembaraça os fios \ Sem frizz </t>
        </is>
      </c>
      <c r="K161" s="178" t="n"/>
      <c r="L161" s="178" t="n">
        <v>35.9</v>
      </c>
    </row>
    <row r="162" ht="15" customHeight="1" s="145">
      <c r="B162" s="63" t="inlineStr">
        <is>
          <t>Natura</t>
        </is>
      </c>
      <c r="C162" s="118" t="inlineStr">
        <is>
          <t>Tododia</t>
        </is>
      </c>
      <c r="D162" s="119" t="inlineStr">
        <is>
          <t xml:space="preserve">Condicionador </t>
        </is>
      </c>
      <c r="E162" s="136">
        <f>TRIM(CONCATENATE(D162, " ", C162, " ", F162, " ", IF(G162&gt;0, G162 &amp; "x" &amp; H162, H162), " ", I162))</f>
        <v/>
      </c>
      <c r="F162" s="121" t="inlineStr">
        <is>
          <t xml:space="preserve">Amora e Oleo De Coco </t>
        </is>
      </c>
      <c r="G162" s="131" t="n"/>
      <c r="H162" s="121" t="inlineStr">
        <is>
          <t>280ml</t>
        </is>
      </c>
      <c r="I162" s="126" t="inlineStr">
        <is>
          <t xml:space="preserve">Refil </t>
        </is>
      </c>
      <c r="J162" s="121" t="inlineStr">
        <is>
          <t xml:space="preserve">Hidrata \ Desembaraça os fios </t>
        </is>
      </c>
      <c r="K162" s="178" t="n"/>
      <c r="L162" s="178" t="n">
        <v>27.9</v>
      </c>
    </row>
    <row r="163" ht="15" customHeight="1" s="145">
      <c r="B163" s="63" t="inlineStr">
        <is>
          <t>Natura</t>
        </is>
      </c>
      <c r="C163" s="118" t="inlineStr">
        <is>
          <t>Tododia</t>
        </is>
      </c>
      <c r="D163" s="119" t="inlineStr">
        <is>
          <t xml:space="preserve">Condicionador </t>
        </is>
      </c>
      <c r="E163" s="136">
        <f>TRIM(CONCATENATE(D163, " ", C163, " ", F163, " ", IF(G163&gt;0, G163 &amp; "x" &amp; H163, H163), " ", I163))</f>
        <v/>
      </c>
      <c r="F163" s="121" t="inlineStr">
        <is>
          <t xml:space="preserve">Flor de Cereja e Abacate </t>
        </is>
      </c>
      <c r="G163" s="131" t="n"/>
      <c r="H163" s="121" t="inlineStr">
        <is>
          <t>280ml</t>
        </is>
      </c>
      <c r="I163" s="126" t="inlineStr">
        <is>
          <t xml:space="preserve">Refil </t>
        </is>
      </c>
      <c r="J163" s="11" t="inlineStr">
        <is>
          <t xml:space="preserve">Repara Pontas Duplas e Sela os Fios </t>
        </is>
      </c>
      <c r="K163" s="178" t="n"/>
      <c r="L163" s="178" t="n">
        <v>27.9</v>
      </c>
    </row>
    <row r="164" ht="15" customHeight="1" s="145">
      <c r="B164" s="63" t="inlineStr">
        <is>
          <t>Natura</t>
        </is>
      </c>
      <c r="C164" s="118" t="inlineStr">
        <is>
          <t>Tododia</t>
        </is>
      </c>
      <c r="D164" s="119" t="inlineStr">
        <is>
          <t xml:space="preserve">Condicionador </t>
        </is>
      </c>
      <c r="E164" s="136">
        <f>TRIM(CONCATENATE(D164, " ", C164, " ", F164, " ", IF(G164&gt;0, G164 &amp; "x" &amp; H164, H164), " ", I164))</f>
        <v/>
      </c>
      <c r="F164" s="121" t="inlineStr">
        <is>
          <t xml:space="preserve">Maçã Verde e Aloe Vera </t>
        </is>
      </c>
      <c r="G164" s="131" t="n"/>
      <c r="H164" s="121" t="inlineStr">
        <is>
          <t>280ml</t>
        </is>
      </c>
      <c r="I164" s="126" t="inlineStr">
        <is>
          <t xml:space="preserve">Refil </t>
        </is>
      </c>
      <c r="J164" s="2" t="inlineStr">
        <is>
          <t xml:space="preserve">Hidrata Profundamente \ Sem Pesar </t>
        </is>
      </c>
      <c r="K164" s="178" t="n"/>
      <c r="L164" s="178" t="n">
        <v>27.9</v>
      </c>
    </row>
    <row r="165" ht="15" customHeight="1" s="145">
      <c r="B165" s="63" t="inlineStr">
        <is>
          <t>Natura</t>
        </is>
      </c>
      <c r="C165" s="118" t="inlineStr">
        <is>
          <t>Tododia</t>
        </is>
      </c>
      <c r="D165" s="119" t="inlineStr">
        <is>
          <t xml:space="preserve">Condicionador </t>
        </is>
      </c>
      <c r="E165" s="136">
        <f>TRIM(CONCATENATE(D165, " ", C165, " ", F165, " ", IF(G165&gt;0, G165 &amp; "x" &amp; H165, H165), " ", I165))</f>
        <v/>
      </c>
      <c r="F165" s="121" t="inlineStr">
        <is>
          <t xml:space="preserve">Pessego e Amendoa </t>
        </is>
      </c>
      <c r="G165" s="131" t="n"/>
      <c r="H165" s="121" t="inlineStr">
        <is>
          <t>280ml</t>
        </is>
      </c>
      <c r="I165" s="126" t="inlineStr">
        <is>
          <t xml:space="preserve">Refil </t>
        </is>
      </c>
      <c r="J165" s="121" t="inlineStr">
        <is>
          <t xml:space="preserve">Nutre e desembaraça os fios \ Sem frizz </t>
        </is>
      </c>
      <c r="K165" s="178" t="n"/>
      <c r="L165" s="178" t="n">
        <v>27.9</v>
      </c>
    </row>
    <row r="166" ht="15" customHeight="1" s="145">
      <c r="B166" s="63" t="inlineStr">
        <is>
          <t>Natura</t>
        </is>
      </c>
      <c r="C166" s="118" t="inlineStr">
        <is>
          <t>Tododia</t>
        </is>
      </c>
      <c r="D166" s="119" t="inlineStr">
        <is>
          <t xml:space="preserve">Mascara Concentrada Cronograma Capilar </t>
        </is>
      </c>
      <c r="E166" s="136">
        <f>TRIM(CONCATENATE(D166, " ", C166, " ", F166, " ", IF(G166&gt;0, G166 &amp; "x" &amp; H166, H166), " ", I166))</f>
        <v/>
      </c>
      <c r="F166" s="50" t="inlineStr">
        <is>
          <t xml:space="preserve">Flor de Cereja e Abacate </t>
        </is>
      </c>
      <c r="G166" s="131" t="n"/>
      <c r="H166" s="124" t="inlineStr">
        <is>
          <t>250ml</t>
        </is>
      </c>
      <c r="I166" s="125" t="inlineStr">
        <is>
          <t xml:space="preserve">Frasco </t>
        </is>
      </c>
      <c r="J166" s="124" t="inlineStr">
        <is>
          <t>Repara</t>
        </is>
      </c>
      <c r="K166" s="178" t="n"/>
      <c r="L166" s="178" t="n">
        <v>45.9</v>
      </c>
    </row>
    <row r="167" ht="15" customHeight="1" s="145">
      <c r="B167" s="63" t="inlineStr">
        <is>
          <t>Natura</t>
        </is>
      </c>
      <c r="C167" s="118" t="inlineStr">
        <is>
          <t>Tododia</t>
        </is>
      </c>
      <c r="D167" s="119" t="inlineStr">
        <is>
          <t xml:space="preserve">Mascara Concentrada Cronograma Capilar </t>
        </is>
      </c>
      <c r="E167" s="136">
        <f>TRIM(CONCATENATE(D167, " ", C167, " ", F167, " ", IF(G167&gt;0, G167 &amp; "x" &amp; H167, H167), " ", I167))</f>
        <v/>
      </c>
      <c r="F167" s="51" t="inlineStr">
        <is>
          <t xml:space="preserve">Maçã Verde e Aloe Vera </t>
        </is>
      </c>
      <c r="G167" s="131" t="n"/>
      <c r="H167" s="124" t="inlineStr">
        <is>
          <t>250ml</t>
        </is>
      </c>
      <c r="I167" s="125" t="inlineStr">
        <is>
          <t xml:space="preserve">Frasco </t>
        </is>
      </c>
      <c r="J167" s="124" t="inlineStr">
        <is>
          <t xml:space="preserve">Hidrata </t>
        </is>
      </c>
      <c r="K167" s="178" t="n"/>
      <c r="L167" s="178" t="n">
        <v>45.9</v>
      </c>
    </row>
    <row r="168" ht="15" customHeight="1" s="145">
      <c r="B168" s="63" t="inlineStr">
        <is>
          <t>Natura</t>
        </is>
      </c>
      <c r="C168" s="118" t="inlineStr">
        <is>
          <t>Tododia</t>
        </is>
      </c>
      <c r="D168" s="119" t="inlineStr">
        <is>
          <t xml:space="preserve">Mascara Concentrada Cronograma Capilar </t>
        </is>
      </c>
      <c r="E168" s="136">
        <f>TRIM(CONCATENATE(D168, " ", C168, " ", F168, " ", IF(G168&gt;0, G168 &amp; "x" &amp; H168, H168), " ", I168))</f>
        <v/>
      </c>
      <c r="F168" s="52" t="inlineStr">
        <is>
          <t xml:space="preserve">Pessego e Amendoa </t>
        </is>
      </c>
      <c r="G168" s="131" t="n"/>
      <c r="H168" s="124" t="inlineStr">
        <is>
          <t>250ml</t>
        </is>
      </c>
      <c r="I168" s="125" t="inlineStr">
        <is>
          <t xml:space="preserve">Frasco </t>
        </is>
      </c>
      <c r="J168" s="124" t="inlineStr">
        <is>
          <t xml:space="preserve">Nutri </t>
        </is>
      </c>
      <c r="K168" s="178" t="n"/>
      <c r="L168" s="178" t="n">
        <v>45.9</v>
      </c>
    </row>
    <row r="169" ht="15" customHeight="1" s="145">
      <c r="B169" s="63" t="inlineStr">
        <is>
          <t>Natura</t>
        </is>
      </c>
      <c r="C169" s="118" t="inlineStr">
        <is>
          <t>Tododia</t>
        </is>
      </c>
      <c r="D169" s="119" t="inlineStr">
        <is>
          <t xml:space="preserve">Mascara Concentrada Cronograma Capilar </t>
        </is>
      </c>
      <c r="E169" s="136">
        <f>TRIM(CONCATENATE(D169, " ", C169, " ", F169, " ", IF(G169&gt;0, G169 &amp; "x" &amp; H169, H169), " ", I169))</f>
        <v/>
      </c>
      <c r="F169" s="50" t="inlineStr">
        <is>
          <t xml:space="preserve">Flor de Cereja e Abacate </t>
        </is>
      </c>
      <c r="G169" s="131" t="n"/>
      <c r="H169" s="124" t="inlineStr">
        <is>
          <t>250ml</t>
        </is>
      </c>
      <c r="I169" s="125" t="inlineStr">
        <is>
          <t xml:space="preserve">Refil </t>
        </is>
      </c>
      <c r="J169" s="124" t="inlineStr">
        <is>
          <t>Repara</t>
        </is>
      </c>
      <c r="K169" s="188" t="n"/>
      <c r="L169" s="188" t="n">
        <v>35.9</v>
      </c>
    </row>
    <row r="170" ht="15" customHeight="1" s="145">
      <c r="B170" s="63" t="inlineStr">
        <is>
          <t>Natura</t>
        </is>
      </c>
      <c r="C170" s="118" t="inlineStr">
        <is>
          <t>Tododia</t>
        </is>
      </c>
      <c r="D170" s="119" t="inlineStr">
        <is>
          <t xml:space="preserve">Mascara Concentrada Cronograma Capilar </t>
        </is>
      </c>
      <c r="E170" s="136">
        <f>TRIM(CONCATENATE(D170, " ", C170, " ", F170, " ", IF(G170&gt;0, G170 &amp; "x" &amp; H170, H170), " ", I170))</f>
        <v/>
      </c>
      <c r="F170" s="51" t="inlineStr">
        <is>
          <t xml:space="preserve">Maçã Verde e Aloe Vera </t>
        </is>
      </c>
      <c r="G170" s="131" t="n"/>
      <c r="H170" s="124" t="inlineStr">
        <is>
          <t>250ml</t>
        </is>
      </c>
      <c r="I170" s="125" t="inlineStr">
        <is>
          <t xml:space="preserve">Refil </t>
        </is>
      </c>
      <c r="J170" s="124" t="inlineStr">
        <is>
          <t xml:space="preserve">Hidrata </t>
        </is>
      </c>
      <c r="K170" s="188" t="n"/>
      <c r="L170" s="188" t="n">
        <v>35.9</v>
      </c>
    </row>
    <row r="171" ht="15" customHeight="1" s="145">
      <c r="B171" s="63" t="inlineStr">
        <is>
          <t>Natura</t>
        </is>
      </c>
      <c r="C171" s="118" t="inlineStr">
        <is>
          <t>Tododia</t>
        </is>
      </c>
      <c r="D171" s="119" t="inlineStr">
        <is>
          <t xml:space="preserve">Mascara Concentrada Cronograma Capilar </t>
        </is>
      </c>
      <c r="E171" s="136">
        <f>TRIM(CONCATENATE(D171, " ", C171, " ", F171, " ", IF(G171&gt;0, G171 &amp; "x" &amp; H171, H171), " ", I171))</f>
        <v/>
      </c>
      <c r="F171" s="52" t="inlineStr">
        <is>
          <t xml:space="preserve">Pessego e Amendoa </t>
        </is>
      </c>
      <c r="G171" s="131" t="n"/>
      <c r="H171" s="124" t="inlineStr">
        <is>
          <t>250ml</t>
        </is>
      </c>
      <c r="I171" s="125" t="inlineStr">
        <is>
          <t xml:space="preserve">Refil </t>
        </is>
      </c>
      <c r="J171" s="124" t="inlineStr">
        <is>
          <t xml:space="preserve">Nutri </t>
        </is>
      </c>
      <c r="K171" s="188" t="n"/>
      <c r="L171" s="188" t="n">
        <v>35.9</v>
      </c>
    </row>
    <row r="172" ht="15" customHeight="1" s="145">
      <c r="B172" s="63" t="inlineStr">
        <is>
          <t>Natura</t>
        </is>
      </c>
      <c r="C172" s="118" t="inlineStr">
        <is>
          <t>Tododia</t>
        </is>
      </c>
      <c r="D172" s="119" t="inlineStr">
        <is>
          <t xml:space="preserve">Creme para pentear </t>
        </is>
      </c>
      <c r="E172" s="136">
        <f>TRIM(CONCATENATE(D172, " ", C172, " ", F172, " ", IF(G172&gt;0, G172 &amp; "x" &amp; H172, H172), " ", I172))</f>
        <v/>
      </c>
      <c r="F172" s="136" t="inlineStr">
        <is>
          <t xml:space="preserve"> Amora e Oléo Coco  (Crespo)</t>
        </is>
      </c>
      <c r="G172" s="131" t="n"/>
      <c r="H172" s="121" t="inlineStr">
        <is>
          <t>280ml</t>
        </is>
      </c>
      <c r="I172" s="125" t="inlineStr">
        <is>
          <t xml:space="preserve">Frasco </t>
        </is>
      </c>
      <c r="J172" s="124" t="inlineStr">
        <is>
          <t xml:space="preserve">Crespo </t>
        </is>
      </c>
      <c r="K172" s="178" t="n"/>
      <c r="L172" s="178" t="n">
        <v>37.9</v>
      </c>
    </row>
    <row r="173" ht="15" customHeight="1" s="145">
      <c r="B173" s="63" t="inlineStr">
        <is>
          <t>Natura</t>
        </is>
      </c>
      <c r="C173" s="118" t="inlineStr">
        <is>
          <t>Tododia</t>
        </is>
      </c>
      <c r="D173" s="119" t="inlineStr">
        <is>
          <t xml:space="preserve">Creme para pentear </t>
        </is>
      </c>
      <c r="E173" s="136">
        <f>TRIM(CONCATENATE(D173, " ", C173, " ", F173, " ", IF(G173&gt;0, G173 &amp; "x" &amp; H173, H173), " ", I173))</f>
        <v/>
      </c>
      <c r="F173" s="136" t="inlineStr">
        <is>
          <t xml:space="preserve"> Amora e Oléo Coco (Cachos)</t>
        </is>
      </c>
      <c r="G173" s="131" t="n"/>
      <c r="H173" s="121" t="inlineStr">
        <is>
          <t>280ml</t>
        </is>
      </c>
      <c r="I173" s="125" t="inlineStr">
        <is>
          <t xml:space="preserve">Frasco </t>
        </is>
      </c>
      <c r="J173" s="124" t="inlineStr">
        <is>
          <t xml:space="preserve">Cachos </t>
        </is>
      </c>
      <c r="K173" s="178" t="n"/>
      <c r="L173" s="178" t="n">
        <v>37.9</v>
      </c>
    </row>
    <row r="174" ht="15" customHeight="1" s="145">
      <c r="B174" s="63" t="inlineStr">
        <is>
          <t>Natura</t>
        </is>
      </c>
      <c r="C174" s="118" t="inlineStr">
        <is>
          <t>Tododia</t>
        </is>
      </c>
      <c r="D174" s="119" t="inlineStr">
        <is>
          <t xml:space="preserve">Creme para pentear </t>
        </is>
      </c>
      <c r="E174" s="136">
        <f>TRIM(CONCATENATE(D174, " ", C174, " ", F174, " ", IF(G174&gt;0, G174 &amp; "x" &amp; H174, H174), " ", I174))</f>
        <v/>
      </c>
      <c r="F174" s="53" t="inlineStr">
        <is>
          <t xml:space="preserve">Flor de Cereja e Abacate </t>
        </is>
      </c>
      <c r="G174" s="131" t="n"/>
      <c r="H174" s="124" t="inlineStr">
        <is>
          <t>180ml</t>
        </is>
      </c>
      <c r="I174" s="125" t="inlineStr">
        <is>
          <t xml:space="preserve">Frasco </t>
        </is>
      </c>
      <c r="J174" s="121" t="inlineStr">
        <is>
          <t xml:space="preserve">Reaparador </t>
        </is>
      </c>
      <c r="K174" s="178" t="n"/>
      <c r="L174" s="178" t="n">
        <v>35.9</v>
      </c>
    </row>
    <row r="175" ht="15" customHeight="1" s="145">
      <c r="B175" s="63" t="inlineStr">
        <is>
          <t>Natura</t>
        </is>
      </c>
      <c r="C175" s="118" t="inlineStr">
        <is>
          <t>Tododia</t>
        </is>
      </c>
      <c r="D175" s="119" t="inlineStr">
        <is>
          <t xml:space="preserve">Creme para pentear </t>
        </is>
      </c>
      <c r="E175" s="136">
        <f>TRIM(CONCATENATE(D175, " ", C175, " ", F175, " ", IF(G175&gt;0, G175 &amp; "x" &amp; H175, H175), " ", I175))</f>
        <v/>
      </c>
      <c r="F175" s="121" t="inlineStr">
        <is>
          <t xml:space="preserve">Pessego e Amendoa </t>
        </is>
      </c>
      <c r="G175" s="131" t="n"/>
      <c r="H175" s="121" t="inlineStr">
        <is>
          <t>180ml</t>
        </is>
      </c>
      <c r="I175" s="125" t="inlineStr">
        <is>
          <t xml:space="preserve">Frasco </t>
        </is>
      </c>
      <c r="J175" s="124" t="inlineStr">
        <is>
          <t xml:space="preserve">Nutritivo </t>
        </is>
      </c>
      <c r="K175" s="178" t="n"/>
      <c r="L175" s="178" t="n">
        <v>35.9</v>
      </c>
    </row>
    <row r="176" ht="15" customHeight="1" s="145">
      <c r="B176" s="63" t="inlineStr">
        <is>
          <t>Natura</t>
        </is>
      </c>
      <c r="C176" s="118" t="inlineStr">
        <is>
          <t>Tododia</t>
        </is>
      </c>
      <c r="D176" s="119" t="inlineStr">
        <is>
          <t xml:space="preserve">Creme para pentear </t>
        </is>
      </c>
      <c r="E176" s="136">
        <f>TRIM(CONCATENATE(D176, " ", C176, " ", F176, " ", IF(G176&gt;0, G176 &amp; "x" &amp; H176, H176), " ", I176))</f>
        <v/>
      </c>
      <c r="F176" s="136" t="inlineStr">
        <is>
          <t xml:space="preserve"> Amora e Oléo Coco (Crespo)</t>
        </is>
      </c>
      <c r="G176" s="131" t="n"/>
      <c r="H176" s="121" t="inlineStr">
        <is>
          <t>280ml</t>
        </is>
      </c>
      <c r="I176" s="125" t="inlineStr">
        <is>
          <t xml:space="preserve">Refil </t>
        </is>
      </c>
      <c r="J176" s="124" t="inlineStr">
        <is>
          <t xml:space="preserve">Crespo </t>
        </is>
      </c>
      <c r="K176" s="178" t="n"/>
      <c r="L176" s="178" t="n">
        <v>29.9</v>
      </c>
    </row>
    <row r="177" ht="15" customHeight="1" s="145">
      <c r="B177" s="63" t="inlineStr">
        <is>
          <t>Natura</t>
        </is>
      </c>
      <c r="C177" s="118" t="inlineStr">
        <is>
          <t>Tododia</t>
        </is>
      </c>
      <c r="D177" s="119" t="inlineStr">
        <is>
          <t xml:space="preserve">Creme para pentear </t>
        </is>
      </c>
      <c r="E177" s="136">
        <f>TRIM(CONCATENATE(D177, " ", C177, " ", F177, " ", IF(G177&gt;0, G177 &amp; "x" &amp; H177, H177), " ", I177))</f>
        <v/>
      </c>
      <c r="F177" s="136" t="inlineStr">
        <is>
          <t xml:space="preserve"> Amora e Oléo Coco (Cachos)</t>
        </is>
      </c>
      <c r="G177" s="131" t="n"/>
      <c r="H177" s="121" t="inlineStr">
        <is>
          <t>280ml</t>
        </is>
      </c>
      <c r="I177" s="125" t="inlineStr">
        <is>
          <t xml:space="preserve">Refil </t>
        </is>
      </c>
      <c r="J177" s="124" t="inlineStr">
        <is>
          <t xml:space="preserve">Cachos </t>
        </is>
      </c>
      <c r="K177" s="178" t="n"/>
      <c r="L177" s="178" t="n">
        <v>29.9</v>
      </c>
    </row>
    <row r="178" ht="15" customHeight="1" s="145">
      <c r="B178" s="63" t="inlineStr">
        <is>
          <t>Natura</t>
        </is>
      </c>
      <c r="C178" s="118" t="inlineStr">
        <is>
          <t>Tododia</t>
        </is>
      </c>
      <c r="D178" s="119" t="inlineStr">
        <is>
          <t xml:space="preserve">Creme para pentear </t>
        </is>
      </c>
      <c r="E178" s="136">
        <f>TRIM(CONCATENATE(D178, " ", C178, " ", F178, " ", IF(G178&gt;0, G178 &amp; "x" &amp; H178, H178), " ", I178))</f>
        <v/>
      </c>
      <c r="F178" s="13" t="inlineStr">
        <is>
          <t xml:space="preserve">Flor de Cereja e Abacate </t>
        </is>
      </c>
      <c r="G178" s="131" t="n"/>
      <c r="H178" s="124" t="inlineStr">
        <is>
          <t>180ml</t>
        </is>
      </c>
      <c r="I178" s="125" t="inlineStr">
        <is>
          <t xml:space="preserve">Refil </t>
        </is>
      </c>
      <c r="J178" s="121" t="inlineStr">
        <is>
          <t xml:space="preserve">Reaparador </t>
        </is>
      </c>
      <c r="K178" s="178" t="n"/>
      <c r="L178" s="178" t="n">
        <v>29.9</v>
      </c>
    </row>
    <row r="179" ht="15" customHeight="1" s="145">
      <c r="B179" s="63" t="inlineStr">
        <is>
          <t>Natura</t>
        </is>
      </c>
      <c r="C179" s="118" t="inlineStr">
        <is>
          <t>Tododia</t>
        </is>
      </c>
      <c r="D179" s="119" t="inlineStr">
        <is>
          <t xml:space="preserve">Creme para pentear </t>
        </is>
      </c>
      <c r="E179" s="136">
        <f>TRIM(CONCATENATE(D179, " ", C179, " ", F179, " ", IF(G179&gt;0, G179 &amp; "x" &amp; H179, H179), " ", I179))</f>
        <v/>
      </c>
      <c r="F179" s="121" t="inlineStr">
        <is>
          <t xml:space="preserve">Pessego e Amendoa </t>
        </is>
      </c>
      <c r="G179" s="131" t="n"/>
      <c r="H179" s="124" t="inlineStr">
        <is>
          <t>180ml</t>
        </is>
      </c>
      <c r="I179" s="125" t="inlineStr">
        <is>
          <t xml:space="preserve">Refil </t>
        </is>
      </c>
      <c r="J179" s="124" t="inlineStr">
        <is>
          <t xml:space="preserve">Nutritivo </t>
        </is>
      </c>
      <c r="K179" s="178" t="n"/>
      <c r="L179" s="178" t="n">
        <v>29.9</v>
      </c>
    </row>
    <row r="180" ht="15" customHeight="1" s="145">
      <c r="B180" s="63" t="inlineStr">
        <is>
          <t>Natura</t>
        </is>
      </c>
      <c r="C180" s="118" t="inlineStr">
        <is>
          <t>Tododia</t>
        </is>
      </c>
      <c r="D180" s="119" t="inlineStr">
        <is>
          <t>Spray Reativador Cachos e Crespos</t>
        </is>
      </c>
      <c r="E180" s="136">
        <f>TRIM(CONCATENATE(D180, " ", C180, " ", F180, " ", IF(G180&gt;0, G180 &amp; "x" &amp; H180, H180), " ", I180))</f>
        <v/>
      </c>
      <c r="F180" s="139" t="inlineStr">
        <is>
          <t>Amora e Oléo Coco</t>
        </is>
      </c>
      <c r="G180" s="131" t="n"/>
      <c r="H180" s="121" t="inlineStr">
        <is>
          <t xml:space="preserve">200ml </t>
        </is>
      </c>
      <c r="I180" s="46" t="inlineStr">
        <is>
          <t xml:space="preserve">Frasco </t>
        </is>
      </c>
      <c r="J180" s="123" t="inlineStr">
        <is>
          <t xml:space="preserve">Spray Reativador de Cachos </t>
        </is>
      </c>
      <c r="K180" s="178" t="n"/>
      <c r="L180" s="178" t="n">
        <v>37.9</v>
      </c>
    </row>
    <row r="181" ht="15" customHeight="1" s="145">
      <c r="B181" s="63" t="inlineStr">
        <is>
          <t>Natura</t>
        </is>
      </c>
      <c r="C181" s="71" t="inlineStr">
        <is>
          <t>Tododia</t>
        </is>
      </c>
      <c r="D181" s="119" t="inlineStr">
        <is>
          <t>Spray Hidratante  para Cabelos</t>
        </is>
      </c>
      <c r="E181" s="136">
        <f>TRIM(CONCATENATE(D181, " ", C181, " ", F181, " ", IF(G181&gt;0, G181 &amp; "x" &amp; H181, H181), " ", I181))</f>
        <v/>
      </c>
      <c r="F181" s="139" t="inlineStr">
        <is>
          <t>Maça verde e Aloe Vera</t>
        </is>
      </c>
      <c r="G181" s="131" t="n"/>
      <c r="H181" s="121" t="inlineStr">
        <is>
          <t xml:space="preserve">200ml </t>
        </is>
      </c>
      <c r="I181" s="46" t="inlineStr">
        <is>
          <t xml:space="preserve">Frasco </t>
        </is>
      </c>
      <c r="J181" s="123" t="inlineStr">
        <is>
          <t>Spray Hidrataçao antifrizz</t>
        </is>
      </c>
      <c r="K181" s="178" t="n"/>
      <c r="L181" s="178" t="n">
        <v>37.9</v>
      </c>
    </row>
    <row r="182" ht="15" customHeight="1" s="145">
      <c r="B182" s="63" t="inlineStr">
        <is>
          <t>Natura</t>
        </is>
      </c>
      <c r="C182" s="71" t="inlineStr">
        <is>
          <t>Tododia</t>
        </is>
      </c>
      <c r="D182" s="119" t="inlineStr">
        <is>
          <t xml:space="preserve">Gelatina Cachos e Crespos </t>
        </is>
      </c>
      <c r="E182" s="136">
        <f>TRIM(CONCATENATE(D182, " ", C182, " ", F182, " ", IF(G182&gt;0, G182 &amp; "x" &amp; H182, H182), " ", I182))</f>
        <v/>
      </c>
      <c r="F182" s="121" t="inlineStr">
        <is>
          <t xml:space="preserve">Amora e Oléo Coco </t>
        </is>
      </c>
      <c r="G182" s="131" t="n"/>
      <c r="H182" s="47" t="inlineStr">
        <is>
          <t>240g</t>
        </is>
      </c>
      <c r="I182" s="48" t="inlineStr">
        <is>
          <t xml:space="preserve">Pote </t>
        </is>
      </c>
      <c r="J182" s="124" t="inlineStr">
        <is>
          <t>Potencializa a Definição \ Fixação</t>
        </is>
      </c>
      <c r="K182" s="155" t="n"/>
      <c r="L182" s="155" t="n"/>
    </row>
    <row r="183" ht="15" customHeight="1" s="145">
      <c r="B183" s="63" t="inlineStr">
        <is>
          <t>Natura</t>
        </is>
      </c>
      <c r="C183" s="118" t="inlineStr">
        <is>
          <t>Tododia</t>
        </is>
      </c>
      <c r="D183" s="119" t="inlineStr">
        <is>
          <t xml:space="preserve">Essencia para os Cabelos </t>
        </is>
      </c>
      <c r="E183" s="136">
        <f>TRIM(CONCATENATE(D183, " ", C183, " ", F183, " ", IF(G183&gt;0, G183 &amp; "x" &amp; H183, H183), " ", I183))</f>
        <v/>
      </c>
      <c r="F183" s="121" t="inlineStr">
        <is>
          <t xml:space="preserve">Flor  De Ameixa </t>
        </is>
      </c>
      <c r="G183" s="131" t="n"/>
      <c r="H183" s="47" t="inlineStr">
        <is>
          <t>60ml</t>
        </is>
      </c>
      <c r="I183" s="48" t="inlineStr">
        <is>
          <t xml:space="preserve">Frasco </t>
        </is>
      </c>
      <c r="J183" s="124" t="inlineStr">
        <is>
          <t xml:space="preserve">Fios perrfumados a qualuqer hora do dia </t>
        </is>
      </c>
      <c r="K183" s="178" t="n"/>
      <c r="L183" s="178" t="n">
        <v>49.9</v>
      </c>
    </row>
    <row r="184" ht="15" customHeight="1" s="145">
      <c r="B184" s="63" t="inlineStr">
        <is>
          <t>Natura</t>
        </is>
      </c>
      <c r="C184" s="118" t="inlineStr">
        <is>
          <t>Tododia</t>
        </is>
      </c>
      <c r="D184" s="119" t="inlineStr">
        <is>
          <t xml:space="preserve">Essencia para os Cabelos </t>
        </is>
      </c>
      <c r="E184" s="136">
        <f>TRIM(CONCATENATE(D184, " ", C184, " ", F184, " ", IF(G184&gt;0, G184 &amp; "x" &amp; H184, H184), " ", I184))</f>
        <v/>
      </c>
      <c r="F184" s="121" t="inlineStr">
        <is>
          <t xml:space="preserve">Cereja e Avelã </t>
        </is>
      </c>
      <c r="G184" s="131" t="n"/>
      <c r="H184" s="47" t="inlineStr">
        <is>
          <t>60ml</t>
        </is>
      </c>
      <c r="I184" s="49" t="inlineStr">
        <is>
          <t xml:space="preserve">Frasco </t>
        </is>
      </c>
      <c r="J184" s="124" t="inlineStr">
        <is>
          <t xml:space="preserve">Fios perrfumados a qualuqer hora do dia </t>
        </is>
      </c>
      <c r="K184" s="178" t="n"/>
      <c r="L184" s="178" t="n">
        <v>49.9</v>
      </c>
    </row>
    <row r="185" ht="15" customHeight="1" s="145">
      <c r="B185" s="63" t="inlineStr">
        <is>
          <t>Natura</t>
        </is>
      </c>
      <c r="C185" s="129" t="inlineStr">
        <is>
          <t>Ekos</t>
        </is>
      </c>
      <c r="D185" s="132" t="inlineStr">
        <is>
          <t>Polpa Hidrante</t>
        </is>
      </c>
      <c r="E185" s="136">
        <f>TRIM(CONCATENATE(D185, " ", C185, " ", F185, " ", IF(G185&gt;0, G185 &amp; "x" &amp; H185, H185), " ", I185))</f>
        <v/>
      </c>
      <c r="F185" s="121" t="inlineStr">
        <is>
          <t xml:space="preserve">Açaí </t>
        </is>
      </c>
      <c r="G185" s="131" t="n"/>
      <c r="H185" s="45" t="inlineStr">
        <is>
          <t>75g</t>
        </is>
      </c>
      <c r="I185" s="189" t="inlineStr">
        <is>
          <t xml:space="preserve">Frasco </t>
        </is>
      </c>
      <c r="J185" s="124" t="inlineStr">
        <is>
          <t xml:space="preserve">Hidrata as mãos </t>
        </is>
      </c>
      <c r="K185" s="178" t="n"/>
      <c r="L185" s="178" t="n">
        <v>57.9</v>
      </c>
    </row>
    <row r="186" ht="15" customHeight="1" s="145">
      <c r="B186" s="63" t="inlineStr">
        <is>
          <t>Natura</t>
        </is>
      </c>
      <c r="C186" s="129" t="inlineStr">
        <is>
          <t>Ekos</t>
        </is>
      </c>
      <c r="D186" s="132" t="inlineStr">
        <is>
          <t>Polpa Hidrante</t>
        </is>
      </c>
      <c r="E186" s="136">
        <f>TRIM(CONCATENATE(D186, " ", C186, " ", F186, " ", IF(G186&gt;0, G186 &amp; "x" &amp; H186, H186), " ", I186))</f>
        <v/>
      </c>
      <c r="F186" s="121" t="inlineStr">
        <is>
          <t xml:space="preserve">Andiroba </t>
        </is>
      </c>
      <c r="G186" s="131" t="n"/>
      <c r="H186" s="45" t="inlineStr">
        <is>
          <t>75g</t>
        </is>
      </c>
      <c r="I186" s="189" t="inlineStr">
        <is>
          <t xml:space="preserve">Frasco </t>
        </is>
      </c>
      <c r="J186" s="124" t="inlineStr">
        <is>
          <t xml:space="preserve">Hidrata as mãos </t>
        </is>
      </c>
      <c r="K186" s="178" t="n"/>
      <c r="L186" s="178" t="n">
        <v>57.9</v>
      </c>
    </row>
    <row r="187" ht="15" customHeight="1" s="145">
      <c r="B187" s="63" t="inlineStr">
        <is>
          <t>Natura</t>
        </is>
      </c>
      <c r="C187" s="129" t="inlineStr">
        <is>
          <t>Ekos</t>
        </is>
      </c>
      <c r="D187" s="132" t="inlineStr">
        <is>
          <t>Polpa Hidrante para Maos</t>
        </is>
      </c>
      <c r="E187" s="136">
        <f>TRIM(CONCATENATE(D187, " ", C187, " ", F187, " ", IF(G187&gt;0, G187 &amp; "x" &amp; H187, H187), " ", I187))</f>
        <v/>
      </c>
      <c r="F187" s="121" t="inlineStr">
        <is>
          <t xml:space="preserve">Castanha </t>
        </is>
      </c>
      <c r="G187" s="131" t="n"/>
      <c r="H187" s="45" t="inlineStr">
        <is>
          <t>75g</t>
        </is>
      </c>
      <c r="I187" s="189" t="inlineStr">
        <is>
          <t xml:space="preserve">Frasco </t>
        </is>
      </c>
      <c r="J187" s="124" t="inlineStr">
        <is>
          <t xml:space="preserve">Hidrata as mãos </t>
        </is>
      </c>
      <c r="K187" s="178" t="n"/>
      <c r="L187" s="178" t="n">
        <v>57.9</v>
      </c>
    </row>
    <row r="188" ht="15" customHeight="1" s="145">
      <c r="B188" s="63" t="inlineStr">
        <is>
          <t>Natura</t>
        </is>
      </c>
      <c r="C188" s="129" t="inlineStr">
        <is>
          <t>Ekos</t>
        </is>
      </c>
      <c r="D188" s="132" t="inlineStr">
        <is>
          <t>Polpa Hidrante para os Pes</t>
        </is>
      </c>
      <c r="E188" s="136">
        <f>TRIM(CONCATENATE(D188, " ", C188, " ", F188, " ", IF(G188&gt;0, G188 &amp; "x" &amp; H188, H188), " ", I188))</f>
        <v/>
      </c>
      <c r="F188" s="121" t="inlineStr">
        <is>
          <t xml:space="preserve">Castanha </t>
        </is>
      </c>
      <c r="G188" s="131" t="n"/>
      <c r="H188" s="45" t="inlineStr">
        <is>
          <t>75g</t>
        </is>
      </c>
      <c r="I188" s="189" t="inlineStr">
        <is>
          <t xml:space="preserve">Frasco </t>
        </is>
      </c>
      <c r="J188" s="124" t="inlineStr">
        <is>
          <t xml:space="preserve">Desosdorante \ Hidratante \ para os pés </t>
        </is>
      </c>
      <c r="K188" s="178" t="n"/>
      <c r="L188" s="178" t="n">
        <v>57.9</v>
      </c>
    </row>
    <row r="189" ht="15" customHeight="1" s="145">
      <c r="B189" s="63" t="inlineStr">
        <is>
          <t>Natura</t>
        </is>
      </c>
      <c r="C189" s="129" t="inlineStr">
        <is>
          <t>Ekos</t>
        </is>
      </c>
      <c r="D189" s="132" t="inlineStr">
        <is>
          <t>Polpa Hidrante para Maos</t>
        </is>
      </c>
      <c r="E189" s="136">
        <f>TRIM(CONCATENATE(D189, " ", C189, " ", F189, " ", IF(G189&gt;0, G189 &amp; "x" &amp; H189, H189), " ", I189))</f>
        <v/>
      </c>
      <c r="F189" s="14" t="inlineStr">
        <is>
          <t xml:space="preserve">Cacau </t>
        </is>
      </c>
      <c r="G189" s="131" t="n"/>
      <c r="H189" s="45" t="inlineStr">
        <is>
          <t>75g</t>
        </is>
      </c>
      <c r="I189" s="189" t="inlineStr">
        <is>
          <t xml:space="preserve">Frasco </t>
        </is>
      </c>
      <c r="J189" s="124" t="inlineStr">
        <is>
          <t xml:space="preserve">Fortalece as unhas \ Perfuma e hidrata as mãos </t>
        </is>
      </c>
      <c r="K189" s="178" t="n"/>
      <c r="L189" s="178" t="n">
        <v>57.9</v>
      </c>
    </row>
    <row r="190" ht="15" customHeight="1" s="145">
      <c r="B190" s="63" t="inlineStr">
        <is>
          <t>Natura</t>
        </is>
      </c>
      <c r="C190" s="129" t="inlineStr">
        <is>
          <t>Ekos</t>
        </is>
      </c>
      <c r="D190" s="132" t="inlineStr">
        <is>
          <t>Nectar Hidrante</t>
        </is>
      </c>
      <c r="E190" s="136">
        <f>TRIM(CONCATENATE(D190, " ", C190, " ", F190, " ", IF(G190&gt;0, G190 &amp; "x" &amp; H190, H190), " ", I190))</f>
        <v/>
      </c>
      <c r="F190" s="121" t="inlineStr">
        <is>
          <t xml:space="preserve">Maracujá </t>
        </is>
      </c>
      <c r="G190" s="131" t="n"/>
      <c r="H190" s="45" t="inlineStr">
        <is>
          <t>75g</t>
        </is>
      </c>
      <c r="I190" s="189" t="inlineStr">
        <is>
          <t xml:space="preserve">Frasco </t>
        </is>
      </c>
      <c r="J190" s="124" t="inlineStr">
        <is>
          <t xml:space="preserve">Hidrata as mãos </t>
        </is>
      </c>
      <c r="K190" s="178" t="n"/>
      <c r="L190" s="178" t="n">
        <v>57.9</v>
      </c>
    </row>
    <row r="191" ht="15" customHeight="1" s="145">
      <c r="B191" s="63" t="inlineStr">
        <is>
          <t>Natura</t>
        </is>
      </c>
      <c r="C191" s="129" t="inlineStr">
        <is>
          <t>Ekos</t>
        </is>
      </c>
      <c r="D191" s="132" t="inlineStr">
        <is>
          <t>Polpa Hidrante</t>
        </is>
      </c>
      <c r="E191" s="136">
        <f>TRIM(CONCATENATE(D191, " ", C191, " ", F191, " ", IF(G191&gt;0, G191 &amp; "x" &amp; H191, H191), " ", I191))</f>
        <v/>
      </c>
      <c r="F191" s="121" t="inlineStr">
        <is>
          <t xml:space="preserve">Tukumã </t>
        </is>
      </c>
      <c r="G191" s="131" t="n"/>
      <c r="H191" s="45" t="inlineStr">
        <is>
          <t>75g</t>
        </is>
      </c>
      <c r="I191" s="189" t="inlineStr">
        <is>
          <t xml:space="preserve">Frasco </t>
        </is>
      </c>
      <c r="J191" s="124" t="inlineStr">
        <is>
          <t xml:space="preserve">Hidrata as mãos </t>
        </is>
      </c>
      <c r="K191" s="178" t="n"/>
      <c r="L191" s="178" t="n">
        <v>57.9</v>
      </c>
    </row>
    <row r="192" ht="15" customHeight="1" s="145">
      <c r="B192" s="63" t="inlineStr">
        <is>
          <t>Natura</t>
        </is>
      </c>
      <c r="C192" s="129" t="inlineStr">
        <is>
          <t>Ekos</t>
        </is>
      </c>
      <c r="D192" s="132" t="inlineStr">
        <is>
          <t>Creme de massagem</t>
        </is>
      </c>
      <c r="E192" s="136">
        <f>TRIM(CONCATENATE(D192, " ", C192, " ", F192, " ", IF(G192&gt;0, G192 &amp; "x" &amp; H192, H192), " ", I192))</f>
        <v/>
      </c>
      <c r="F192" s="121" t="inlineStr">
        <is>
          <t xml:space="preserve">Andirobá </t>
        </is>
      </c>
      <c r="G192" s="131" t="n"/>
      <c r="H192" s="45" t="inlineStr">
        <is>
          <t>100g</t>
        </is>
      </c>
      <c r="I192" s="46" t="inlineStr">
        <is>
          <t xml:space="preserve">Frasco </t>
        </is>
      </c>
      <c r="J192" s="121" t="inlineStr">
        <is>
          <t xml:space="preserve">Polpa \ hidrata \ massagem </t>
        </is>
      </c>
      <c r="K192" s="178" t="n"/>
      <c r="L192" s="178" t="n">
        <v>76.90000000000001</v>
      </c>
    </row>
    <row r="193" ht="15" customHeight="1" s="145">
      <c r="B193" s="63" t="inlineStr">
        <is>
          <t>Natura</t>
        </is>
      </c>
      <c r="C193" s="129" t="inlineStr">
        <is>
          <t>Ekos</t>
        </is>
      </c>
      <c r="D193" s="119" t="inlineStr">
        <is>
          <t xml:space="preserve">Balsamo polpa concentrada </t>
        </is>
      </c>
      <c r="E193" s="136">
        <f>TRIM(CONCATENATE(D193, " ", C193, " ", F193, " ", IF(G193&gt;0, G193 &amp; "x" &amp; H193, H193), " ", I193))</f>
        <v/>
      </c>
      <c r="F193" s="136" t="inlineStr">
        <is>
          <t>Tukumã</t>
        </is>
      </c>
      <c r="G193" s="131" t="n"/>
      <c r="H193" s="45" t="inlineStr">
        <is>
          <t xml:space="preserve">200g </t>
        </is>
      </c>
      <c r="I193" s="31" t="inlineStr">
        <is>
          <t xml:space="preserve">Pote </t>
        </is>
      </c>
      <c r="J193" s="136" t="inlineStr">
        <is>
          <t>Polpa Balsomo Concentrado</t>
        </is>
      </c>
      <c r="K193" s="178" t="n"/>
      <c r="L193" s="178" t="n">
        <v>97.90000000000001</v>
      </c>
    </row>
    <row r="194" ht="15" customHeight="1" s="145">
      <c r="B194" s="63" t="inlineStr">
        <is>
          <t>Natura</t>
        </is>
      </c>
      <c r="C194" s="129" t="inlineStr">
        <is>
          <t>Ekos</t>
        </is>
      </c>
      <c r="D194" s="132" t="inlineStr">
        <is>
          <t>Polpa Desodorante Hidratante</t>
        </is>
      </c>
      <c r="E194" s="136">
        <f>TRIM(CONCATENATE(D194, " ", C194, " ", F194, " ", IF(G194&gt;0, G194 &amp; "x" &amp; H194, H194), " ", I194))</f>
        <v/>
      </c>
      <c r="F194" s="121" t="inlineStr">
        <is>
          <t xml:space="preserve">Andiroba </t>
        </is>
      </c>
      <c r="G194" s="131" t="n"/>
      <c r="H194" s="44" t="inlineStr">
        <is>
          <t xml:space="preserve">200ml </t>
        </is>
      </c>
      <c r="I194" s="126" t="inlineStr">
        <is>
          <t xml:space="preserve">Frasco </t>
        </is>
      </c>
      <c r="J194" s="121" t="inlineStr">
        <is>
          <t xml:space="preserve">Polpa desodorante e hidratante </t>
        </is>
      </c>
      <c r="K194" s="178" t="n"/>
      <c r="L194" s="178" t="n">
        <v>63.9</v>
      </c>
    </row>
    <row r="195" ht="15" customHeight="1" s="145">
      <c r="B195" s="63" t="inlineStr">
        <is>
          <t>Natura</t>
        </is>
      </c>
      <c r="C195" s="129" t="inlineStr">
        <is>
          <t>Ekos</t>
        </is>
      </c>
      <c r="D195" s="132" t="inlineStr">
        <is>
          <t>Polpa Desodorante Hidratante</t>
        </is>
      </c>
      <c r="E195" s="136">
        <f>TRIM(CONCATENATE(D195, " ", C195, " ", F195, " ", IF(G195&gt;0, G195 &amp; "x" &amp; H195, H195), " ", I195))</f>
        <v/>
      </c>
      <c r="F195" s="121" t="inlineStr">
        <is>
          <t xml:space="preserve">Açaí </t>
        </is>
      </c>
      <c r="G195" s="131" t="n"/>
      <c r="H195" s="44" t="inlineStr">
        <is>
          <t xml:space="preserve">200 ml </t>
        </is>
      </c>
      <c r="I195" s="126" t="inlineStr">
        <is>
          <t xml:space="preserve">Frasco </t>
        </is>
      </c>
      <c r="J195" s="121" t="inlineStr">
        <is>
          <t xml:space="preserve">Polpa desodorante e hidratante </t>
        </is>
      </c>
      <c r="K195" s="178" t="n"/>
      <c r="L195" s="178" t="n">
        <v>63.9</v>
      </c>
    </row>
    <row r="196" ht="15" customHeight="1" s="145">
      <c r="B196" s="63" t="inlineStr">
        <is>
          <t>Natura</t>
        </is>
      </c>
      <c r="C196" s="129" t="inlineStr">
        <is>
          <t>Ekos</t>
        </is>
      </c>
      <c r="D196" s="132" t="inlineStr">
        <is>
          <t>Polpa Desodorante Hidratante</t>
        </is>
      </c>
      <c r="E196" s="136">
        <f>TRIM(CONCATENATE(D196, " ", C196, " ", F196, " ", IF(G196&gt;0, G196 &amp; "x" &amp; H196, H196), " ", I196))</f>
        <v/>
      </c>
      <c r="F196" s="121" t="inlineStr">
        <is>
          <t xml:space="preserve">Cacau </t>
        </is>
      </c>
      <c r="G196" s="131" t="n"/>
      <c r="H196" s="44" t="inlineStr">
        <is>
          <t xml:space="preserve">200 ml </t>
        </is>
      </c>
      <c r="I196" s="126" t="inlineStr">
        <is>
          <t xml:space="preserve">Frasco </t>
        </is>
      </c>
      <c r="J196" s="121" t="inlineStr">
        <is>
          <t xml:space="preserve">Polpa desodorante e hidratante </t>
        </is>
      </c>
      <c r="K196" s="178" t="n"/>
      <c r="L196" s="178" t="n">
        <v>67.90000000000001</v>
      </c>
    </row>
    <row r="197" ht="15" customHeight="1" s="145">
      <c r="B197" s="63" t="inlineStr">
        <is>
          <t>Natura</t>
        </is>
      </c>
      <c r="C197" s="129" t="inlineStr">
        <is>
          <t>Ekos</t>
        </is>
      </c>
      <c r="D197" s="132" t="inlineStr">
        <is>
          <t>Polpa Desodorante Hidratante</t>
        </is>
      </c>
      <c r="E197" s="136">
        <f>TRIM(CONCATENATE(D197, " ", C197, " ", F197, " ", IF(G197&gt;0, G197 &amp; "x" &amp; H197, H197), " ", I197))</f>
        <v/>
      </c>
      <c r="F197" s="121" t="inlineStr">
        <is>
          <t xml:space="preserve">Castanha </t>
        </is>
      </c>
      <c r="G197" s="131" t="n"/>
      <c r="H197" s="44" t="inlineStr">
        <is>
          <t xml:space="preserve">200 ml </t>
        </is>
      </c>
      <c r="I197" s="126" t="inlineStr">
        <is>
          <t xml:space="preserve">Frasco </t>
        </is>
      </c>
      <c r="J197" s="121" t="inlineStr">
        <is>
          <t xml:space="preserve">Polpa desodorante e hidratante </t>
        </is>
      </c>
      <c r="K197" s="178" t="n"/>
      <c r="L197" s="178" t="n">
        <v>63.9</v>
      </c>
    </row>
    <row r="198" ht="15" customHeight="1" s="145">
      <c r="B198" s="63" t="inlineStr">
        <is>
          <t>Natura</t>
        </is>
      </c>
      <c r="C198" s="129" t="inlineStr">
        <is>
          <t>Ekos</t>
        </is>
      </c>
      <c r="D198" s="132" t="inlineStr">
        <is>
          <t>Polpa Desodorante Hidratante</t>
        </is>
      </c>
      <c r="E198" s="136">
        <f>TRIM(CONCATENATE(D198, " ", C198, " ", F198, " ", IF(G198&gt;0, G198 &amp; "x" &amp; H198, H198), " ", I198))</f>
        <v/>
      </c>
      <c r="F198" s="121" t="inlineStr">
        <is>
          <t>Flor do Luar</t>
        </is>
      </c>
      <c r="G198" s="131" t="n"/>
      <c r="H198" s="44" t="inlineStr">
        <is>
          <t xml:space="preserve">200 ml </t>
        </is>
      </c>
      <c r="I198" s="126" t="inlineStr">
        <is>
          <t xml:space="preserve">Frasco </t>
        </is>
      </c>
      <c r="J198" s="121" t="inlineStr">
        <is>
          <t xml:space="preserve">Polpa desodorante e hidratante </t>
        </is>
      </c>
      <c r="K198" s="178" t="n"/>
      <c r="L198" s="178" t="n">
        <v>63.9</v>
      </c>
    </row>
    <row r="199" ht="15" customHeight="1" s="145">
      <c r="B199" s="63" t="inlineStr">
        <is>
          <t>Natura</t>
        </is>
      </c>
      <c r="C199" s="129" t="inlineStr">
        <is>
          <t>Ekos</t>
        </is>
      </c>
      <c r="D199" s="132" t="inlineStr">
        <is>
          <t>Polpa Desodorante Hidratante</t>
        </is>
      </c>
      <c r="E199" s="136">
        <f>TRIM(CONCATENATE(D199, " ", C199, " ", F199, " ", IF(G199&gt;0, G199 &amp; "x" &amp; H199, H199), " ", I199))</f>
        <v/>
      </c>
      <c r="F199" s="29" t="inlineStr">
        <is>
          <t xml:space="preserve">Maracujá </t>
        </is>
      </c>
      <c r="G199" s="131" t="n"/>
      <c r="H199" s="44" t="inlineStr">
        <is>
          <t xml:space="preserve">200 ml </t>
        </is>
      </c>
      <c r="I199" s="126" t="inlineStr">
        <is>
          <t xml:space="preserve">Frasco </t>
        </is>
      </c>
      <c r="J199" s="121" t="inlineStr">
        <is>
          <t xml:space="preserve">Polpa desodorante e hidratante </t>
        </is>
      </c>
      <c r="K199" s="178" t="n"/>
      <c r="L199" s="178" t="n">
        <v>63.9</v>
      </c>
    </row>
    <row r="200" ht="15" customHeight="1" s="145">
      <c r="B200" s="63" t="inlineStr">
        <is>
          <t>Natura</t>
        </is>
      </c>
      <c r="C200" s="129" t="inlineStr">
        <is>
          <t>Ekos</t>
        </is>
      </c>
      <c r="D200" s="132" t="inlineStr">
        <is>
          <t>Polpa Desodorante Hidratante</t>
        </is>
      </c>
      <c r="E200" s="136">
        <f>TRIM(CONCATENATE(D200, " ", C200, " ", F200, " ", IF(G200&gt;0, G200 &amp; "x" &amp; H200, H200), " ", I200))</f>
        <v/>
      </c>
      <c r="F200" s="14" t="inlineStr">
        <is>
          <t xml:space="preserve">Madeira em Flor </t>
        </is>
      </c>
      <c r="G200" s="131" t="n"/>
      <c r="H200" s="44" t="inlineStr">
        <is>
          <t xml:space="preserve">200 ml </t>
        </is>
      </c>
      <c r="I200" s="126" t="inlineStr">
        <is>
          <t xml:space="preserve">Frasco </t>
        </is>
      </c>
      <c r="J200" s="121" t="inlineStr">
        <is>
          <t xml:space="preserve">Polpa desodorante e hidratante </t>
        </is>
      </c>
      <c r="K200" s="178" t="n"/>
      <c r="L200" s="178" t="n">
        <v>63.9</v>
      </c>
    </row>
    <row r="201" ht="15" customHeight="1" s="145">
      <c r="B201" s="63" t="inlineStr">
        <is>
          <t>Natura</t>
        </is>
      </c>
      <c r="C201" s="129" t="inlineStr">
        <is>
          <t>Ekos</t>
        </is>
      </c>
      <c r="D201" s="132" t="inlineStr">
        <is>
          <t>Polpa Desodorante Hidratante</t>
        </is>
      </c>
      <c r="E201" s="136">
        <f>TRIM(CONCATENATE(D201, " ", C201, " ", F201, " ", IF(G201&gt;0, G201 &amp; "x" &amp; H201, H201), " ", I201))</f>
        <v/>
      </c>
      <c r="F201" s="30" t="inlineStr">
        <is>
          <t xml:space="preserve">Tukumã </t>
        </is>
      </c>
      <c r="G201" s="131" t="n"/>
      <c r="H201" s="44" t="inlineStr">
        <is>
          <t xml:space="preserve">200 ml </t>
        </is>
      </c>
      <c r="I201" s="126" t="inlineStr">
        <is>
          <t xml:space="preserve">Frasco </t>
        </is>
      </c>
      <c r="J201" s="121" t="inlineStr">
        <is>
          <t xml:space="preserve">Polpa desodorante e hidratante </t>
        </is>
      </c>
      <c r="K201" s="178" t="n"/>
      <c r="L201" s="178" t="n">
        <v>63.9</v>
      </c>
    </row>
    <row r="202" ht="15" customHeight="1" s="145">
      <c r="B202" s="63" t="inlineStr">
        <is>
          <t>Natura</t>
        </is>
      </c>
      <c r="C202" s="129" t="inlineStr">
        <is>
          <t>Ekos</t>
        </is>
      </c>
      <c r="D202" s="132" t="inlineStr">
        <is>
          <t>Polpa Desodorante Hidratante</t>
        </is>
      </c>
      <c r="E202" s="136">
        <f>TRIM(CONCATENATE(D202, " ", C202, " ", F202, " ", IF(G202&gt;0, G202 &amp; "x" &amp; H202, H202), " ", I202))</f>
        <v/>
      </c>
      <c r="F202" s="121" t="inlineStr">
        <is>
          <t>Andiroba</t>
        </is>
      </c>
      <c r="G202" s="131" t="n"/>
      <c r="H202" s="121" t="inlineStr">
        <is>
          <t xml:space="preserve">400ml </t>
        </is>
      </c>
      <c r="I202" s="126" t="inlineStr">
        <is>
          <t xml:space="preserve">Frasco </t>
        </is>
      </c>
      <c r="J202" s="121" t="inlineStr">
        <is>
          <t xml:space="preserve">Polpa desodorante e hidratante </t>
        </is>
      </c>
      <c r="L202" s="124" t="inlineStr">
        <is>
          <t xml:space="preserve">R$ 88, 90 </t>
        </is>
      </c>
    </row>
    <row r="203" ht="15" customHeight="1" s="145">
      <c r="B203" s="63" t="inlineStr">
        <is>
          <t>Natura</t>
        </is>
      </c>
      <c r="C203" s="129" t="inlineStr">
        <is>
          <t>Ekos</t>
        </is>
      </c>
      <c r="D203" s="132" t="inlineStr">
        <is>
          <t>Polpa Desodorante Hidratante</t>
        </is>
      </c>
      <c r="E203" s="136">
        <f>TRIM(CONCATENATE(D203, " ", C203, " ", F203, " ", IF(G203&gt;0, G203 &amp; "x" &amp; H203, H203), " ", I203))</f>
        <v/>
      </c>
      <c r="F203" s="121" t="inlineStr">
        <is>
          <t>Açai</t>
        </is>
      </c>
      <c r="G203" s="131" t="n"/>
      <c r="H203" s="121" t="inlineStr">
        <is>
          <t xml:space="preserve">400ml </t>
        </is>
      </c>
      <c r="I203" s="126" t="inlineStr">
        <is>
          <t xml:space="preserve">Frasco </t>
        </is>
      </c>
      <c r="J203" s="121" t="inlineStr">
        <is>
          <t xml:space="preserve">Polpa desodorante e hidratante </t>
        </is>
      </c>
      <c r="L203" s="124" t="inlineStr">
        <is>
          <t xml:space="preserve">R$ 88, 90 </t>
        </is>
      </c>
    </row>
    <row r="204" ht="15" customHeight="1" s="145">
      <c r="B204" s="63" t="inlineStr">
        <is>
          <t>Natura</t>
        </is>
      </c>
      <c r="C204" s="129" t="inlineStr">
        <is>
          <t>Ekos</t>
        </is>
      </c>
      <c r="D204" s="132" t="inlineStr">
        <is>
          <t>Polpa Desodorante Hidratante</t>
        </is>
      </c>
      <c r="E204" s="136">
        <f>TRIM(CONCATENATE(D204, " ", C204, " ", F204, " ", IF(G204&gt;0, G204 &amp; "x" &amp; H204, H204), " ", I204))</f>
        <v/>
      </c>
      <c r="F204" s="121" t="inlineStr">
        <is>
          <t xml:space="preserve">Cacau </t>
        </is>
      </c>
      <c r="G204" s="131" t="n"/>
      <c r="H204" s="121" t="inlineStr">
        <is>
          <t xml:space="preserve">400ml </t>
        </is>
      </c>
      <c r="I204" s="126" t="inlineStr">
        <is>
          <t xml:space="preserve">Frasco </t>
        </is>
      </c>
      <c r="J204" s="121" t="inlineStr">
        <is>
          <t xml:space="preserve">Polpa desodorante e hidratante </t>
        </is>
      </c>
      <c r="L204" s="124" t="inlineStr">
        <is>
          <t xml:space="preserve">R$ 88, 90 </t>
        </is>
      </c>
    </row>
    <row r="205" ht="15" customHeight="1" s="145">
      <c r="B205" s="63" t="inlineStr">
        <is>
          <t>Natura</t>
        </is>
      </c>
      <c r="C205" s="129" t="inlineStr">
        <is>
          <t>Ekos</t>
        </is>
      </c>
      <c r="D205" s="132" t="inlineStr">
        <is>
          <t>Polpa Desodorante Hidratante</t>
        </is>
      </c>
      <c r="E205" s="136">
        <f>TRIM(CONCATENATE(D205, " ", C205, " ", F205, " ", IF(G205&gt;0, G205 &amp; "x" &amp; H205, H205), " ", I205))</f>
        <v/>
      </c>
      <c r="F205" s="121" t="inlineStr">
        <is>
          <t xml:space="preserve">Castanha </t>
        </is>
      </c>
      <c r="G205" s="131" t="n"/>
      <c r="H205" s="121" t="inlineStr">
        <is>
          <t xml:space="preserve">400ml </t>
        </is>
      </c>
      <c r="I205" s="126" t="inlineStr">
        <is>
          <t xml:space="preserve">Frasco </t>
        </is>
      </c>
      <c r="J205" s="121" t="inlineStr">
        <is>
          <t xml:space="preserve">Polpa desodorante e hidratante </t>
        </is>
      </c>
      <c r="L205" s="124" t="inlineStr">
        <is>
          <t xml:space="preserve">R$ 88, 90 </t>
        </is>
      </c>
    </row>
    <row r="206" ht="15" customHeight="1" s="145">
      <c r="B206" s="63" t="inlineStr">
        <is>
          <t>Natura</t>
        </is>
      </c>
      <c r="C206" s="129" t="inlineStr">
        <is>
          <t>Ekos</t>
        </is>
      </c>
      <c r="D206" s="132" t="inlineStr">
        <is>
          <t>Polpa Desodorante Hidratante</t>
        </is>
      </c>
      <c r="E206" s="136">
        <f>TRIM(CONCATENATE(D206, " ", C206, " ", F206, " ", IF(G206&gt;0, G206 &amp; "x" &amp; H206, H206), " ", I206))</f>
        <v/>
      </c>
      <c r="F206" s="121" t="inlineStr">
        <is>
          <t xml:space="preserve">Flor de Luar </t>
        </is>
      </c>
      <c r="G206" s="131" t="n"/>
      <c r="H206" s="121" t="inlineStr">
        <is>
          <t xml:space="preserve">400ml </t>
        </is>
      </c>
      <c r="I206" s="126" t="inlineStr">
        <is>
          <t xml:space="preserve">Frasco </t>
        </is>
      </c>
      <c r="J206" s="121" t="inlineStr">
        <is>
          <t xml:space="preserve">Polpa desodorante e hidratante </t>
        </is>
      </c>
      <c r="L206" s="124" t="inlineStr">
        <is>
          <t xml:space="preserve">R$ 88, 90 </t>
        </is>
      </c>
    </row>
    <row r="207" ht="15" customHeight="1" s="145">
      <c r="B207" s="63" t="inlineStr">
        <is>
          <t>Natura</t>
        </is>
      </c>
      <c r="C207" s="129" t="inlineStr">
        <is>
          <t>Ekos</t>
        </is>
      </c>
      <c r="D207" s="132" t="inlineStr">
        <is>
          <t>Polpa Desodorante Hidratante</t>
        </is>
      </c>
      <c r="E207" s="136">
        <f>TRIM(CONCATENATE(D207, " ", C207, " ", F207, " ", IF(G207&gt;0, G207 &amp; "x" &amp; H207, H207), " ", I207))</f>
        <v/>
      </c>
      <c r="F207" s="121" t="inlineStr">
        <is>
          <t xml:space="preserve">Flor de Madereira </t>
        </is>
      </c>
      <c r="G207" s="131" t="n"/>
      <c r="H207" s="121" t="inlineStr">
        <is>
          <t xml:space="preserve">400ml </t>
        </is>
      </c>
      <c r="I207" s="126" t="inlineStr">
        <is>
          <t xml:space="preserve">Frasco </t>
        </is>
      </c>
      <c r="J207" s="121" t="inlineStr">
        <is>
          <t xml:space="preserve">Polpa desodorante e hidratante </t>
        </is>
      </c>
      <c r="L207" s="124" t="inlineStr">
        <is>
          <t xml:space="preserve">R$ 88, 90 </t>
        </is>
      </c>
    </row>
    <row r="208" ht="15" customHeight="1" s="145">
      <c r="B208" s="63" t="inlineStr">
        <is>
          <t>Natura</t>
        </is>
      </c>
      <c r="C208" s="129" t="inlineStr">
        <is>
          <t>Ekos</t>
        </is>
      </c>
      <c r="D208" s="132" t="inlineStr">
        <is>
          <t>Polpa Desodorante Hidratante</t>
        </is>
      </c>
      <c r="E208" s="136">
        <f>TRIM(CONCATENATE(D208, " ", C208, " ", F208, " ", IF(G208&gt;0, G208 &amp; "x" &amp; H208, H208), " ", I208))</f>
        <v/>
      </c>
      <c r="F208" s="121" t="inlineStr">
        <is>
          <t xml:space="preserve">Maracujá </t>
        </is>
      </c>
      <c r="G208" s="131" t="n"/>
      <c r="H208" s="121" t="inlineStr">
        <is>
          <t xml:space="preserve">400ml </t>
        </is>
      </c>
      <c r="I208" s="126" t="inlineStr">
        <is>
          <t xml:space="preserve">Frasco </t>
        </is>
      </c>
      <c r="J208" s="121" t="inlineStr">
        <is>
          <t xml:space="preserve">Polpa desodorante e hidratante </t>
        </is>
      </c>
      <c r="L208" s="124" t="inlineStr">
        <is>
          <t xml:space="preserve">R$ 88, 90 </t>
        </is>
      </c>
    </row>
    <row r="209" ht="15" customHeight="1" s="145">
      <c r="B209" s="63" t="inlineStr">
        <is>
          <t>Natura</t>
        </is>
      </c>
      <c r="C209" s="129" t="inlineStr">
        <is>
          <t>Ekos</t>
        </is>
      </c>
      <c r="D209" s="132" t="inlineStr">
        <is>
          <t>Polpa Desodorante Hidratante</t>
        </is>
      </c>
      <c r="E209" s="136">
        <f>TRIM(CONCATENATE(D209, " ", C209, " ", F209, " ", IF(G209&gt;0, G209 &amp; "x" &amp; H209, H209), " ", I209))</f>
        <v/>
      </c>
      <c r="F209" s="121" t="inlineStr">
        <is>
          <t xml:space="preserve">Tukumã </t>
        </is>
      </c>
      <c r="G209" s="131" t="n"/>
      <c r="H209" s="121" t="inlineStr">
        <is>
          <t xml:space="preserve">400ml </t>
        </is>
      </c>
      <c r="I209" s="126" t="inlineStr">
        <is>
          <t xml:space="preserve">Frasco </t>
        </is>
      </c>
      <c r="J209" s="121" t="inlineStr">
        <is>
          <t xml:space="preserve">Polpa desodorante e hidratante </t>
        </is>
      </c>
      <c r="L209" s="124" t="inlineStr">
        <is>
          <t xml:space="preserve">R$ 88, 90 </t>
        </is>
      </c>
    </row>
    <row r="210" ht="15" customHeight="1" s="145">
      <c r="B210" s="63" t="inlineStr">
        <is>
          <t>Natura</t>
        </is>
      </c>
      <c r="C210" s="129" t="inlineStr">
        <is>
          <t>Ekos</t>
        </is>
      </c>
      <c r="D210" s="119" t="inlineStr">
        <is>
          <t xml:space="preserve">Dou Esfoliante Multicamadas </t>
        </is>
      </c>
      <c r="E210" s="136">
        <f>TRIM(CONCATENATE(D210, " ", C210, " ", F210, " ", IF(G210&gt;0, G210 &amp; "x" &amp; H210, H210), " ", I210))</f>
        <v/>
      </c>
      <c r="F210" s="121" t="inlineStr">
        <is>
          <t xml:space="preserve">Maracujá </t>
        </is>
      </c>
      <c r="G210" s="131" t="n"/>
      <c r="H210" s="121" t="inlineStr">
        <is>
          <t xml:space="preserve">200g </t>
        </is>
      </c>
      <c r="I210" s="126" t="inlineStr">
        <is>
          <t xml:space="preserve">Pote </t>
        </is>
      </c>
      <c r="J210" s="121" t="inlineStr">
        <is>
          <t xml:space="preserve">Esfoliante multicamadas \ ceu estrelado noite </t>
        </is>
      </c>
      <c r="K210" s="178" t="n"/>
      <c r="L210" s="178" t="n">
        <v>95.90000000000001</v>
      </c>
    </row>
    <row r="211" ht="15" customHeight="1" s="145">
      <c r="B211" s="63" t="inlineStr">
        <is>
          <t>Natura</t>
        </is>
      </c>
      <c r="C211" s="129" t="inlineStr">
        <is>
          <t>Ekos</t>
        </is>
      </c>
      <c r="D211" s="119" t="inlineStr">
        <is>
          <t xml:space="preserve">Esfoliante Hidrata e Renovação </t>
        </is>
      </c>
      <c r="E211" s="136">
        <f>TRIM(CONCATENATE(D211, " ", C211, " ", F211, " ", IF(G211&gt;0, G211 &amp; "x" &amp; H211, H211), " ", I211))</f>
        <v/>
      </c>
      <c r="F211" s="121" t="inlineStr">
        <is>
          <t xml:space="preserve">Castanha </t>
        </is>
      </c>
      <c r="G211" s="131" t="n"/>
      <c r="H211" s="121" t="inlineStr">
        <is>
          <t xml:space="preserve">200g </t>
        </is>
      </c>
      <c r="I211" s="126" t="inlineStr">
        <is>
          <t xml:space="preserve">Pote </t>
        </is>
      </c>
      <c r="J211" s="121" t="inlineStr">
        <is>
          <t xml:space="preserve">Esfoliante Hidratação prufunda \ Renovação da pele </t>
        </is>
      </c>
      <c r="K211" s="178" t="n"/>
      <c r="L211" s="178" t="n">
        <v>95.90000000000001</v>
      </c>
    </row>
    <row r="212" ht="15" customHeight="1" s="145">
      <c r="B212" s="63" t="inlineStr">
        <is>
          <t>Natura</t>
        </is>
      </c>
      <c r="C212" s="129" t="inlineStr">
        <is>
          <t>Ekos</t>
        </is>
      </c>
      <c r="D212" s="119" t="inlineStr">
        <is>
          <t>Oleo Trifasico e Desodorante</t>
        </is>
      </c>
      <c r="E212" s="136">
        <f>TRIM(CONCATENATE(D212, " ", C212, " ", F212, " ", IF(G212&gt;0, G212 &amp; "x" &amp; H212, H212), " ", I212))</f>
        <v/>
      </c>
      <c r="F212" s="121" t="inlineStr">
        <is>
          <t xml:space="preserve">Açaí </t>
        </is>
      </c>
      <c r="G212" s="131" t="n"/>
      <c r="H212" s="121" t="inlineStr">
        <is>
          <t xml:space="preserve">200ml </t>
        </is>
      </c>
      <c r="I212" s="126" t="inlineStr">
        <is>
          <t xml:space="preserve">Frasco </t>
        </is>
      </c>
      <c r="J212" s="121" t="inlineStr">
        <is>
          <t xml:space="preserve">Antiressecamento \ realiamneto da estrutura da pele </t>
        </is>
      </c>
      <c r="K212" s="178" t="n"/>
      <c r="L212" s="178" t="n">
        <v>96.90000000000001</v>
      </c>
    </row>
    <row r="213" ht="15" customHeight="1" s="145">
      <c r="B213" s="63" t="inlineStr">
        <is>
          <t>Natura</t>
        </is>
      </c>
      <c r="C213" s="129" t="inlineStr">
        <is>
          <t>Ekos</t>
        </is>
      </c>
      <c r="D213" s="119" t="inlineStr">
        <is>
          <t>Oleo Trifasico e Desodorante</t>
        </is>
      </c>
      <c r="E213" s="136">
        <f>TRIM(CONCATENATE(D213, " ", C213, " ", F213, " ", IF(G213&gt;0, G213 &amp; "x" &amp; H213, H213), " ", I213))</f>
        <v/>
      </c>
      <c r="F213" s="121" t="inlineStr">
        <is>
          <t xml:space="preserve">Andiroba </t>
        </is>
      </c>
      <c r="G213" s="131" t="n"/>
      <c r="H213" s="121" t="inlineStr">
        <is>
          <t xml:space="preserve">200ml </t>
        </is>
      </c>
      <c r="I213" s="126" t="inlineStr">
        <is>
          <t xml:space="preserve">Frasco </t>
        </is>
      </c>
      <c r="J213" s="121" t="inlineStr">
        <is>
          <t xml:space="preserve">Antiressecamento \ realiamneto da estrutura da pele </t>
        </is>
      </c>
      <c r="K213" s="178" t="n"/>
      <c r="L213" s="178" t="n">
        <v>96.90000000000001</v>
      </c>
    </row>
    <row r="214" ht="15" customHeight="1" s="145">
      <c r="B214" s="63" t="inlineStr">
        <is>
          <t>Natura</t>
        </is>
      </c>
      <c r="C214" s="129" t="inlineStr">
        <is>
          <t>Ekos</t>
        </is>
      </c>
      <c r="D214" s="119" t="inlineStr">
        <is>
          <t>Oleo Trifasico e Desodorante</t>
        </is>
      </c>
      <c r="E214" s="136">
        <f>TRIM(CONCATENATE(D214, " ", C214, " ", F214, " ", IF(G214&gt;0, G214 &amp; "x" &amp; H214, H214), " ", I214))</f>
        <v/>
      </c>
      <c r="F214" s="121" t="inlineStr">
        <is>
          <t>Castanha</t>
        </is>
      </c>
      <c r="G214" s="131" t="n"/>
      <c r="H214" s="121" t="inlineStr">
        <is>
          <t xml:space="preserve">200ml </t>
        </is>
      </c>
      <c r="I214" s="126" t="inlineStr">
        <is>
          <t xml:space="preserve">Frasco </t>
        </is>
      </c>
      <c r="J214" s="121" t="inlineStr">
        <is>
          <t xml:space="preserve">Antiressecamento \ realiamneto da estrutura da pele </t>
        </is>
      </c>
      <c r="K214" s="178" t="n"/>
      <c r="L214" s="178" t="n">
        <v>96.90000000000001</v>
      </c>
    </row>
    <row r="215" ht="15" customHeight="1" s="145">
      <c r="B215" s="63" t="inlineStr">
        <is>
          <t>Natura</t>
        </is>
      </c>
      <c r="C215" s="129" t="inlineStr">
        <is>
          <t>Ekos</t>
        </is>
      </c>
      <c r="D215" s="119" t="inlineStr">
        <is>
          <t>Oleo Trifasico e Desodorante</t>
        </is>
      </c>
      <c r="E215" s="136">
        <f>TRIM(CONCATENATE(D215, " ", C215, " ", F215, " ", IF(G215&gt;0, G215 &amp; "x" &amp; H215, H215), " ", I215))</f>
        <v/>
      </c>
      <c r="F215" s="121" t="inlineStr">
        <is>
          <t xml:space="preserve">Maracujá </t>
        </is>
      </c>
      <c r="G215" s="131" t="n"/>
      <c r="H215" s="121" t="inlineStr">
        <is>
          <t xml:space="preserve">200ml </t>
        </is>
      </c>
      <c r="I215" s="126" t="inlineStr">
        <is>
          <t xml:space="preserve">Frasco </t>
        </is>
      </c>
      <c r="J215" s="121" t="inlineStr">
        <is>
          <t xml:space="preserve">Antiressecamento \ realiamneto da estrutura da pele </t>
        </is>
      </c>
      <c r="K215" s="178" t="n"/>
      <c r="L215" s="178" t="n">
        <v>96.90000000000001</v>
      </c>
    </row>
    <row r="216" ht="15" customHeight="1" s="145">
      <c r="B216" s="63" t="inlineStr">
        <is>
          <t>Natura</t>
        </is>
      </c>
      <c r="C216" s="129" t="inlineStr">
        <is>
          <t>Ekos</t>
        </is>
      </c>
      <c r="D216" s="119" t="inlineStr">
        <is>
          <t>Oleo Trifasico e Desodorante</t>
        </is>
      </c>
      <c r="E216" s="136">
        <f>TRIM(CONCATENATE(D216, " ", C216, " ", F216, " ", IF(G216&gt;0, G216 &amp; "x" &amp; H216, H216), " ", I216))</f>
        <v/>
      </c>
      <c r="F216" s="2" t="inlineStr">
        <is>
          <t xml:space="preserve">Tukumã </t>
        </is>
      </c>
      <c r="G216" s="131" t="n"/>
      <c r="H216" s="121" t="inlineStr">
        <is>
          <t xml:space="preserve">200ml </t>
        </is>
      </c>
      <c r="I216" s="126" t="inlineStr">
        <is>
          <t xml:space="preserve">Frasco </t>
        </is>
      </c>
      <c r="J216" s="121" t="inlineStr">
        <is>
          <t xml:space="preserve">Antiressecamento \ realiamneto da estrutura da pele </t>
        </is>
      </c>
      <c r="K216" s="178" t="n"/>
      <c r="L216" s="178" t="n">
        <v>96.90000000000001</v>
      </c>
    </row>
    <row r="217" ht="15" customHeight="1" s="145">
      <c r="B217" s="63" t="inlineStr">
        <is>
          <t>Natura</t>
        </is>
      </c>
      <c r="C217" s="129" t="inlineStr">
        <is>
          <t>Ekos</t>
        </is>
      </c>
      <c r="D217" s="119" t="inlineStr">
        <is>
          <t>Oleo Trifasico e Desodorante</t>
        </is>
      </c>
      <c r="E217" s="136">
        <f>TRIM(CONCATENATE(D217, " ", C217, " ", F217, " ", IF(G217&gt;0, G217 &amp; "x" &amp; H217, H217), " ", I217))</f>
        <v/>
      </c>
      <c r="F217" s="121" t="inlineStr">
        <is>
          <t xml:space="preserve">Açaí </t>
        </is>
      </c>
      <c r="G217" s="131" t="n"/>
      <c r="H217" s="121" t="inlineStr">
        <is>
          <t xml:space="preserve">200ml </t>
        </is>
      </c>
      <c r="I217" s="126" t="inlineStr">
        <is>
          <t>Refil</t>
        </is>
      </c>
      <c r="J217" s="121" t="inlineStr">
        <is>
          <t xml:space="preserve">Antiressecamento \ realiamneto da estrutura da pele </t>
        </is>
      </c>
      <c r="K217" s="188" t="n"/>
      <c r="L217" s="188" t="n">
        <v>77.90000000000001</v>
      </c>
    </row>
    <row r="218" ht="15" customHeight="1" s="145">
      <c r="B218" s="63" t="inlineStr">
        <is>
          <t>Natura</t>
        </is>
      </c>
      <c r="C218" s="129" t="inlineStr">
        <is>
          <t>Ekos</t>
        </is>
      </c>
      <c r="D218" s="119" t="inlineStr">
        <is>
          <t>Oleo Trifasico e Desodorante</t>
        </is>
      </c>
      <c r="E218" s="136">
        <f>TRIM(CONCATENATE(D218, " ", C218, " ", F218, " ", IF(G218&gt;0, G218 &amp; "x" &amp; H218, H218), " ", I218))</f>
        <v/>
      </c>
      <c r="F218" s="121" t="inlineStr">
        <is>
          <t xml:space="preserve">Andiroba </t>
        </is>
      </c>
      <c r="G218" s="131" t="n"/>
      <c r="H218" s="121" t="inlineStr">
        <is>
          <t xml:space="preserve">200ml </t>
        </is>
      </c>
      <c r="I218" s="126" t="inlineStr">
        <is>
          <t>Refil</t>
        </is>
      </c>
      <c r="J218" s="121" t="inlineStr">
        <is>
          <t xml:space="preserve">Antiressecamento \ realiamneto da estrutura da pele </t>
        </is>
      </c>
      <c r="K218" s="188" t="n"/>
      <c r="L218" s="188" t="n">
        <v>77.90000000000001</v>
      </c>
    </row>
    <row r="219" ht="15" customHeight="1" s="145">
      <c r="B219" s="63" t="inlineStr">
        <is>
          <t>Natura</t>
        </is>
      </c>
      <c r="C219" s="129" t="inlineStr">
        <is>
          <t>Ekos</t>
        </is>
      </c>
      <c r="D219" s="119" t="inlineStr">
        <is>
          <t>Oleo Trifasico e Desodorante</t>
        </is>
      </c>
      <c r="E219" s="136">
        <f>TRIM(CONCATENATE(D219, " ", C219, " ", F219, " ", IF(G219&gt;0, G219 &amp; "x" &amp; H219, H219), " ", I219))</f>
        <v/>
      </c>
      <c r="F219" s="121" t="inlineStr">
        <is>
          <t>Castanha</t>
        </is>
      </c>
      <c r="G219" s="131" t="n"/>
      <c r="H219" s="121" t="inlineStr">
        <is>
          <t xml:space="preserve">200ml </t>
        </is>
      </c>
      <c r="I219" s="126" t="inlineStr">
        <is>
          <t>Refil</t>
        </is>
      </c>
      <c r="J219" s="121" t="inlineStr">
        <is>
          <t xml:space="preserve">Antiressecamento \ realiamneto da estrutura da pele </t>
        </is>
      </c>
      <c r="K219" s="188" t="n"/>
      <c r="L219" s="188" t="n">
        <v>77.90000000000001</v>
      </c>
    </row>
    <row r="220" ht="15" customHeight="1" s="145">
      <c r="B220" s="63" t="inlineStr">
        <is>
          <t>Natura</t>
        </is>
      </c>
      <c r="C220" s="129" t="inlineStr">
        <is>
          <t>Ekos</t>
        </is>
      </c>
      <c r="D220" s="119" t="inlineStr">
        <is>
          <t>Oleo Trifasico e Desodorante</t>
        </is>
      </c>
      <c r="E220" s="136">
        <f>TRIM(CONCATENATE(D220, " ", C220, " ", F220, " ", IF(G220&gt;0, G220 &amp; "x" &amp; H220, H220), " ", I220))</f>
        <v/>
      </c>
      <c r="F220" s="121" t="inlineStr">
        <is>
          <t xml:space="preserve">Maracujá </t>
        </is>
      </c>
      <c r="G220" s="131" t="n"/>
      <c r="H220" s="121" t="inlineStr">
        <is>
          <t xml:space="preserve">200ml </t>
        </is>
      </c>
      <c r="I220" s="126" t="inlineStr">
        <is>
          <t>Refil</t>
        </is>
      </c>
      <c r="J220" s="121" t="inlineStr">
        <is>
          <t xml:space="preserve">Antiressecamento \ realiamneto da estrutura da pele </t>
        </is>
      </c>
      <c r="K220" s="188" t="n"/>
      <c r="L220" s="188" t="n">
        <v>77.90000000000001</v>
      </c>
    </row>
    <row r="221" ht="15" customHeight="1" s="145">
      <c r="B221" s="63" t="inlineStr">
        <is>
          <t>Natura</t>
        </is>
      </c>
      <c r="C221" s="72" t="inlineStr">
        <is>
          <t>Ekos</t>
        </is>
      </c>
      <c r="D221" s="119" t="inlineStr">
        <is>
          <t>Oleo Trifasico e Desodorante</t>
        </is>
      </c>
      <c r="E221" s="136">
        <f>TRIM(CONCATENATE(D221, " ", C221, " ", F221, " ", IF(G221&gt;0, G221 &amp; "x" &amp; H221, H221), " ", I221))</f>
        <v/>
      </c>
      <c r="F221" s="2" t="inlineStr">
        <is>
          <t xml:space="preserve">Tukumã </t>
        </is>
      </c>
      <c r="G221" s="131" t="n"/>
      <c r="H221" s="121" t="inlineStr">
        <is>
          <t xml:space="preserve">200ml </t>
        </is>
      </c>
      <c r="I221" s="126" t="inlineStr">
        <is>
          <t>Refil</t>
        </is>
      </c>
      <c r="J221" s="121" t="inlineStr">
        <is>
          <t xml:space="preserve">Antiressecamento \ realiamneto da estrutura da pele </t>
        </is>
      </c>
      <c r="K221" s="188" t="n"/>
      <c r="L221" s="188" t="n">
        <v>77.90000000000001</v>
      </c>
    </row>
    <row r="222" ht="15" customHeight="1" s="145">
      <c r="B222" s="63" t="inlineStr">
        <is>
          <t>Natura</t>
        </is>
      </c>
      <c r="C222" s="129" t="inlineStr">
        <is>
          <t>Ekos</t>
        </is>
      </c>
      <c r="D222" s="64" t="inlineStr">
        <is>
          <t>Polpa Hidrante</t>
        </is>
      </c>
      <c r="E222" s="136">
        <f>TRIM(CONCATENATE(D222, " ", C222, " ", F222, " ", IF(G222&gt;0, G222 &amp; "x" &amp; H222, H222), " ", I222))</f>
        <v/>
      </c>
      <c r="F222" s="2" t="inlineStr">
        <is>
          <t>Açaí</t>
        </is>
      </c>
      <c r="G222" s="131" t="n"/>
      <c r="H222" s="11" t="inlineStr">
        <is>
          <t xml:space="preserve">400ml </t>
        </is>
      </c>
      <c r="I222" s="33" t="inlineStr">
        <is>
          <t>Refil</t>
        </is>
      </c>
      <c r="J222" s="121" t="inlineStr">
        <is>
          <t xml:space="preserve">Polpa desodorante e hidratante </t>
        </is>
      </c>
      <c r="K222" s="180" t="n"/>
      <c r="L222" s="180" t="n">
        <v>67.90000000000001</v>
      </c>
    </row>
    <row r="223" ht="15" customHeight="1" s="145">
      <c r="B223" s="63" t="inlineStr">
        <is>
          <t>Natura</t>
        </is>
      </c>
      <c r="C223" s="129" t="inlineStr">
        <is>
          <t>Ekos</t>
        </is>
      </c>
      <c r="D223" s="64" t="inlineStr">
        <is>
          <t>Polpa Hidrante</t>
        </is>
      </c>
      <c r="E223" s="136">
        <f>TRIM(CONCATENATE(D223, " ", C223, " ", F223, " ", IF(G223&gt;0, G223 &amp; "x" &amp; H223, H223), " ", I223))</f>
        <v/>
      </c>
      <c r="F223" s="2" t="inlineStr">
        <is>
          <t>Andiroba</t>
        </is>
      </c>
      <c r="G223" s="131" t="n"/>
      <c r="H223" s="11" t="inlineStr">
        <is>
          <t xml:space="preserve">400ml </t>
        </is>
      </c>
      <c r="I223" s="33" t="inlineStr">
        <is>
          <t>Refil</t>
        </is>
      </c>
      <c r="J223" s="121" t="inlineStr">
        <is>
          <t xml:space="preserve">Polpa desodorante e hidratante </t>
        </is>
      </c>
      <c r="K223" s="180" t="n"/>
      <c r="L223" s="180" t="n">
        <v>67.90000000000001</v>
      </c>
    </row>
    <row r="224" ht="15" customHeight="1" s="145">
      <c r="B224" s="63" t="inlineStr">
        <is>
          <t>Natura</t>
        </is>
      </c>
      <c r="C224" s="129" t="inlineStr">
        <is>
          <t>Ekos</t>
        </is>
      </c>
      <c r="D224" s="64" t="inlineStr">
        <is>
          <t>Polpa Hidrante</t>
        </is>
      </c>
      <c r="E224" s="136">
        <f>TRIM(CONCATENATE(D224, " ", C224, " ", F224, " ", IF(G224&gt;0, G224 &amp; "x" &amp; H224, H224), " ", I224))</f>
        <v/>
      </c>
      <c r="F224" s="2" t="inlineStr">
        <is>
          <t xml:space="preserve">Castanha </t>
        </is>
      </c>
      <c r="G224" s="131" t="n"/>
      <c r="H224" s="11" t="inlineStr">
        <is>
          <t xml:space="preserve">400ml </t>
        </is>
      </c>
      <c r="I224" s="33" t="inlineStr">
        <is>
          <t>Refil</t>
        </is>
      </c>
      <c r="J224" s="121" t="inlineStr">
        <is>
          <t xml:space="preserve">Polpa desodorante e hidratante </t>
        </is>
      </c>
      <c r="K224" s="180" t="n"/>
      <c r="L224" s="180" t="n">
        <v>67.90000000000001</v>
      </c>
    </row>
    <row r="225" ht="15" customHeight="1" s="145">
      <c r="B225" s="63" t="inlineStr">
        <is>
          <t>Natura</t>
        </is>
      </c>
      <c r="C225" s="129" t="inlineStr">
        <is>
          <t>Ekos</t>
        </is>
      </c>
      <c r="D225" s="64" t="inlineStr">
        <is>
          <t>Polpa Hidrante</t>
        </is>
      </c>
      <c r="E225" s="136">
        <f>TRIM(CONCATENATE(D225, " ", C225, " ", F225, " ", IF(G225&gt;0, G225 &amp; "x" &amp; H225, H225), " ", I225))</f>
        <v/>
      </c>
      <c r="F225" s="3" t="inlineStr">
        <is>
          <t xml:space="preserve">Cacau </t>
        </is>
      </c>
      <c r="G225" s="131" t="n"/>
      <c r="H225" s="11" t="inlineStr">
        <is>
          <t xml:space="preserve">400ml </t>
        </is>
      </c>
      <c r="I225" s="33" t="inlineStr">
        <is>
          <t>Refil</t>
        </is>
      </c>
      <c r="J225" s="121" t="inlineStr">
        <is>
          <t xml:space="preserve">Polpa desodorante e hidratante </t>
        </is>
      </c>
      <c r="K225" s="180" t="n"/>
      <c r="L225" s="180" t="n">
        <v>67.90000000000001</v>
      </c>
    </row>
    <row r="226" ht="15" customHeight="1" s="145">
      <c r="B226" s="63" t="inlineStr">
        <is>
          <t>Natura</t>
        </is>
      </c>
      <c r="C226" s="129" t="inlineStr">
        <is>
          <t>Ekos</t>
        </is>
      </c>
      <c r="D226" s="64" t="inlineStr">
        <is>
          <t>Polpa Hidrante</t>
        </is>
      </c>
      <c r="E226" s="136">
        <f>TRIM(CONCATENATE(D226, " ", C226, " ", F226, " ", IF(G226&gt;0, G226 &amp; "x" &amp; H226, H226), " ", I226))</f>
        <v/>
      </c>
      <c r="F226" s="2" t="inlineStr">
        <is>
          <t>Flor do Luar</t>
        </is>
      </c>
      <c r="G226" s="131" t="n"/>
      <c r="H226" s="11" t="inlineStr">
        <is>
          <t xml:space="preserve">400ml </t>
        </is>
      </c>
      <c r="I226" s="33" t="inlineStr">
        <is>
          <t>Refil</t>
        </is>
      </c>
      <c r="J226" s="121" t="inlineStr">
        <is>
          <t xml:space="preserve">Polpa desodorante e hidratante </t>
        </is>
      </c>
      <c r="K226" s="180" t="n"/>
      <c r="L226" s="180" t="n">
        <v>67.90000000000001</v>
      </c>
    </row>
    <row r="227" ht="15" customHeight="1" s="145">
      <c r="B227" s="63" t="inlineStr">
        <is>
          <t>Natura</t>
        </is>
      </c>
      <c r="C227" s="129" t="inlineStr">
        <is>
          <t>Ekos</t>
        </is>
      </c>
      <c r="D227" s="64" t="inlineStr">
        <is>
          <t>Polpa Hidrante</t>
        </is>
      </c>
      <c r="E227" s="136">
        <f>TRIM(CONCATENATE(D227, " ", C227, " ", F227, " ", IF(G227&gt;0, G227 &amp; "x" &amp; H227, H227), " ", I227))</f>
        <v/>
      </c>
      <c r="F227" s="2" t="inlineStr">
        <is>
          <t>Maracujá</t>
        </is>
      </c>
      <c r="G227" s="131" t="n"/>
      <c r="H227" s="11" t="inlineStr">
        <is>
          <t xml:space="preserve">400ml </t>
        </is>
      </c>
      <c r="I227" s="33" t="inlineStr">
        <is>
          <t>Refil</t>
        </is>
      </c>
      <c r="J227" s="121" t="inlineStr">
        <is>
          <t xml:space="preserve">Polpa desodorante e hidratante </t>
        </is>
      </c>
      <c r="K227" s="180" t="n"/>
      <c r="L227" s="180" t="n">
        <v>67.90000000000001</v>
      </c>
    </row>
    <row r="228" ht="15" customHeight="1" s="145">
      <c r="B228" s="63" t="inlineStr">
        <is>
          <t>Natura</t>
        </is>
      </c>
      <c r="C228" s="129" t="inlineStr">
        <is>
          <t>Ekos</t>
        </is>
      </c>
      <c r="D228" s="64" t="inlineStr">
        <is>
          <t>Polpa Hidrante</t>
        </is>
      </c>
      <c r="E228" s="136">
        <f>TRIM(CONCATENATE(D228, " ", C228, " ", F228, " ", IF(G228&gt;0, G228 &amp; "x" &amp; H228, H228), " ", I228))</f>
        <v/>
      </c>
      <c r="F228" s="2" t="inlineStr">
        <is>
          <t>Tukumã</t>
        </is>
      </c>
      <c r="G228" s="131" t="n"/>
      <c r="H228" s="11" t="inlineStr">
        <is>
          <t xml:space="preserve">400ml </t>
        </is>
      </c>
      <c r="I228" s="33" t="inlineStr">
        <is>
          <t>Refil</t>
        </is>
      </c>
      <c r="J228" s="121" t="inlineStr">
        <is>
          <t xml:space="preserve">Polpa desodorante e hidratante </t>
        </is>
      </c>
      <c r="K228" s="180" t="n"/>
      <c r="L228" s="180" t="n">
        <v>67.90000000000001</v>
      </c>
    </row>
    <row r="229" ht="15" customHeight="1" s="145">
      <c r="B229" s="63" t="inlineStr">
        <is>
          <t>Natura</t>
        </is>
      </c>
      <c r="C229" s="129" t="inlineStr">
        <is>
          <t>Ekos</t>
        </is>
      </c>
      <c r="D229" s="67" t="inlineStr">
        <is>
          <t>Sabonete Barra</t>
        </is>
      </c>
      <c r="E229" s="136">
        <f>TRIM(CONCATENATE(D229, " ", C229, " ", F229, " ", IF(G229&gt;0, G229 &amp; "x" &amp; H229, H229), " ", I229))</f>
        <v/>
      </c>
      <c r="F229" s="2" t="inlineStr">
        <is>
          <t xml:space="preserve">Açaí </t>
        </is>
      </c>
      <c r="G229" s="131" t="n">
        <v>4</v>
      </c>
      <c r="H229" s="9" t="inlineStr">
        <is>
          <t>100g</t>
        </is>
      </c>
      <c r="I229" s="125" t="inlineStr">
        <is>
          <t xml:space="preserve">Caixa </t>
        </is>
      </c>
      <c r="J229" s="9" t="inlineStr">
        <is>
          <t xml:space="preserve">Oleo 100% vegano \ limpam \ Perfumam </t>
        </is>
      </c>
      <c r="K229" s="190" t="n"/>
      <c r="L229" s="190" t="n">
        <v>44.4</v>
      </c>
    </row>
    <row r="230" ht="15" customHeight="1" s="145">
      <c r="B230" s="63" t="inlineStr">
        <is>
          <t>Natura</t>
        </is>
      </c>
      <c r="C230" s="129" t="inlineStr">
        <is>
          <t>Ekos</t>
        </is>
      </c>
      <c r="D230" s="67" t="inlineStr">
        <is>
          <t>Sabonete Barra</t>
        </is>
      </c>
      <c r="E230" s="136">
        <f>TRIM(CONCATENATE(D230, " ", C230, " ", F230, " ", IF(G230&gt;0, G230 &amp; "x" &amp; H230, H230), " ", I230))</f>
        <v/>
      </c>
      <c r="F230" s="9" t="inlineStr">
        <is>
          <t xml:space="preserve">Cacau </t>
        </is>
      </c>
      <c r="G230" s="131" t="n">
        <v>4</v>
      </c>
      <c r="H230" s="9" t="inlineStr">
        <is>
          <t>100g</t>
        </is>
      </c>
      <c r="I230" s="125" t="inlineStr">
        <is>
          <t xml:space="preserve">Caixa </t>
        </is>
      </c>
      <c r="J230" s="9" t="inlineStr">
        <is>
          <t xml:space="preserve">Oleo 100% vegano \ limpam \ Perfumam </t>
        </is>
      </c>
      <c r="K230" s="190" t="n"/>
      <c r="L230" s="190" t="n">
        <v>44.4</v>
      </c>
    </row>
    <row r="231" ht="15" customFormat="1" customHeight="1" s="10">
      <c r="B231" s="63" t="inlineStr">
        <is>
          <t>Natura</t>
        </is>
      </c>
      <c r="C231" s="129" t="inlineStr">
        <is>
          <t>Ekos</t>
        </is>
      </c>
      <c r="D231" s="67" t="inlineStr">
        <is>
          <t>Sabonete Barra</t>
        </is>
      </c>
      <c r="E231" s="136">
        <f>TRIM(CONCATENATE(D231, " ", C231, " ", F231, " ", IF(G231&gt;0, G231 &amp; "x" &amp; H231, H231), " ", I231))</f>
        <v/>
      </c>
      <c r="F231" s="9" t="inlineStr">
        <is>
          <t xml:space="preserve">Castanha </t>
        </is>
      </c>
      <c r="G231" s="131" t="n">
        <v>4</v>
      </c>
      <c r="H231" s="9" t="inlineStr">
        <is>
          <t>100g</t>
        </is>
      </c>
      <c r="I231" s="125" t="inlineStr">
        <is>
          <t xml:space="preserve">Caixa </t>
        </is>
      </c>
      <c r="J231" s="9" t="inlineStr">
        <is>
          <t xml:space="preserve">Oleo 100% vegano \ limpam \ Perfumam </t>
        </is>
      </c>
      <c r="K231" s="190" t="n"/>
      <c r="L231" s="190" t="n">
        <v>44.4</v>
      </c>
    </row>
    <row r="232" ht="15" customFormat="1" customHeight="1" s="10">
      <c r="B232" s="63" t="inlineStr">
        <is>
          <t>Natura</t>
        </is>
      </c>
      <c r="C232" s="129" t="inlineStr">
        <is>
          <t>Ekos</t>
        </is>
      </c>
      <c r="D232" s="67" t="inlineStr">
        <is>
          <t>Sabonete Barra</t>
        </is>
      </c>
      <c r="E232" s="136">
        <f>TRIM(CONCATENATE(D232, " ", C232, " ", F232, " ", IF(G232&gt;0, G232 &amp; "x" &amp; H232, H232), " ", I232))</f>
        <v/>
      </c>
      <c r="F232" s="2" t="inlineStr">
        <is>
          <t>Flor do Luar</t>
        </is>
      </c>
      <c r="G232" s="131" t="n">
        <v>4</v>
      </c>
      <c r="H232" s="9" t="inlineStr">
        <is>
          <t>100g</t>
        </is>
      </c>
      <c r="I232" s="125" t="inlineStr">
        <is>
          <t xml:space="preserve">Caixa </t>
        </is>
      </c>
      <c r="J232" s="9" t="inlineStr">
        <is>
          <t xml:space="preserve">Oleo 100% vegano \ limpam \ Perfumam </t>
        </is>
      </c>
      <c r="K232" s="190" t="n"/>
      <c r="L232" s="190" t="n">
        <v>44.4</v>
      </c>
    </row>
    <row r="233" ht="15" customHeight="1" s="145">
      <c r="B233" s="63" t="inlineStr">
        <is>
          <t>Natura</t>
        </is>
      </c>
      <c r="C233" s="129" t="inlineStr">
        <is>
          <t>Ekos</t>
        </is>
      </c>
      <c r="D233" s="67" t="inlineStr">
        <is>
          <t>Sabonete Barra</t>
        </is>
      </c>
      <c r="E233" s="136">
        <f>TRIM(CONCATENATE(D233, " ", C233, " ", F233, " ", IF(G233&gt;0, G233 &amp; "x" &amp; H233, H233), " ", I233))</f>
        <v/>
      </c>
      <c r="F233" s="2" t="inlineStr">
        <is>
          <t xml:space="preserve">Maracujá </t>
        </is>
      </c>
      <c r="G233" s="131" t="n">
        <v>4</v>
      </c>
      <c r="H233" s="9" t="inlineStr">
        <is>
          <t>100g</t>
        </is>
      </c>
      <c r="I233" s="125" t="inlineStr">
        <is>
          <t xml:space="preserve">Caixa </t>
        </is>
      </c>
      <c r="J233" s="9" t="inlineStr">
        <is>
          <t xml:space="preserve">Oleo 100% vegano \ limpam \ Perfumam </t>
        </is>
      </c>
      <c r="K233" s="190" t="n"/>
      <c r="L233" s="190" t="n">
        <v>44.4</v>
      </c>
    </row>
    <row r="234" ht="15" customFormat="1" customHeight="1" s="10">
      <c r="B234" s="63" t="inlineStr">
        <is>
          <t>Natura</t>
        </is>
      </c>
      <c r="C234" s="129" t="inlineStr">
        <is>
          <t>Ekos</t>
        </is>
      </c>
      <c r="D234" s="67" t="inlineStr">
        <is>
          <t>Sabonete Barra</t>
        </is>
      </c>
      <c r="E234" s="136">
        <f>TRIM(CONCATENATE(D234, " ", C234, " ", F234, " ", IF(G234&gt;0, G234 &amp; "x" &amp; H234, H234), " ", I234))</f>
        <v/>
      </c>
      <c r="F234" s="2" t="inlineStr">
        <is>
          <t>Tukumã</t>
        </is>
      </c>
      <c r="G234" s="131" t="n">
        <v>4</v>
      </c>
      <c r="H234" s="9" t="inlineStr">
        <is>
          <t>100g</t>
        </is>
      </c>
      <c r="I234" s="125" t="inlineStr">
        <is>
          <t xml:space="preserve">Caixa </t>
        </is>
      </c>
      <c r="J234" s="9" t="inlineStr">
        <is>
          <t xml:space="preserve">Oleo 100% vegano \ limpam \ Perfumam </t>
        </is>
      </c>
      <c r="K234" s="190" t="n"/>
      <c r="L234" s="190" t="n">
        <v>44.4</v>
      </c>
    </row>
    <row r="235" ht="15" customHeight="1" s="145">
      <c r="B235" s="63" t="inlineStr">
        <is>
          <t>Natura</t>
        </is>
      </c>
      <c r="C235" s="129" t="inlineStr">
        <is>
          <t>Ekos</t>
        </is>
      </c>
      <c r="D235" s="67" t="inlineStr">
        <is>
          <t xml:space="preserve">Sabonete Barra Esfoliante </t>
        </is>
      </c>
      <c r="E235" s="136">
        <f>TRIM(CONCATENATE(D235, " ", C235, " ", F235, " ", IF(G235&gt;0, G235 &amp; "x" &amp; H235, H235), " ", I235))</f>
        <v/>
      </c>
      <c r="F235" s="2" t="inlineStr">
        <is>
          <t>Sortido: castnha, andiroba,ucuuba ,maracuja.</t>
        </is>
      </c>
      <c r="G235" s="131" t="n">
        <v>4</v>
      </c>
      <c r="H235" s="9" t="inlineStr">
        <is>
          <t>100g</t>
        </is>
      </c>
      <c r="I235" s="125" t="inlineStr">
        <is>
          <t xml:space="preserve">Caixa </t>
        </is>
      </c>
      <c r="J235" s="9" t="inlineStr">
        <is>
          <t xml:space="preserve">Oleo 100% vegano \ limpam \ Perfumam </t>
        </is>
      </c>
      <c r="K235" s="190" t="n"/>
      <c r="L235" s="190" t="n">
        <v>44.4</v>
      </c>
    </row>
    <row r="236" ht="15" customHeight="1" s="145">
      <c r="B236" s="63" t="inlineStr">
        <is>
          <t>Natura</t>
        </is>
      </c>
      <c r="C236" s="129" t="inlineStr">
        <is>
          <t>Ekos</t>
        </is>
      </c>
      <c r="D236" s="67" t="inlineStr">
        <is>
          <t xml:space="preserve">Sabonete Barra  Esfoliante </t>
        </is>
      </c>
      <c r="E236" s="136">
        <f>TRIM(CONCATENATE(D236, " ", C236, " ", F236, " ", IF(G236&gt;0, G236 &amp; "x" &amp; H236, H236), " ", I236))</f>
        <v/>
      </c>
      <c r="F236" s="2" t="inlineStr">
        <is>
          <t xml:space="preserve">Sortido: castanha, maracuja, buriti, pitanga. </t>
        </is>
      </c>
      <c r="G236" s="131" t="n">
        <v>4</v>
      </c>
      <c r="H236" s="9" t="inlineStr">
        <is>
          <t>100g</t>
        </is>
      </c>
      <c r="I236" s="125" t="inlineStr">
        <is>
          <t xml:space="preserve">Caixa </t>
        </is>
      </c>
      <c r="J236" s="9" t="inlineStr">
        <is>
          <t xml:space="preserve">Oleo 100% vegano \ limpam \ Perfumam </t>
        </is>
      </c>
      <c r="K236" s="190" t="n"/>
      <c r="L236" s="190" t="n">
        <v>44.4</v>
      </c>
    </row>
    <row r="237" ht="15" customHeight="1" s="145">
      <c r="B237" s="63" t="inlineStr">
        <is>
          <t>Natura</t>
        </is>
      </c>
      <c r="C237" s="129" t="inlineStr">
        <is>
          <t>Ekos</t>
        </is>
      </c>
      <c r="D237" s="67" t="inlineStr">
        <is>
          <t xml:space="preserve">Sabonete Barra Esfoliante </t>
        </is>
      </c>
      <c r="E237" s="136">
        <f>TRIM(CONCATENATE(D237, " ", C237, " ", F237, " ", IF(G237&gt;0, G237 &amp; "x" &amp; H237, H237), " ", I237))</f>
        <v/>
      </c>
      <c r="F237" s="2" t="inlineStr">
        <is>
          <t>Sortido: castanha,maracuja,açai,andiroba</t>
        </is>
      </c>
      <c r="G237" s="131" t="n">
        <v>4</v>
      </c>
      <c r="H237" s="9" t="inlineStr">
        <is>
          <t>100g</t>
        </is>
      </c>
      <c r="I237" s="125" t="inlineStr">
        <is>
          <t xml:space="preserve">Caixa </t>
        </is>
      </c>
      <c r="J237" s="9" t="inlineStr">
        <is>
          <t xml:space="preserve">Oleo 100% vegano \ limpam \ Perfumam </t>
        </is>
      </c>
      <c r="K237" s="190" t="n"/>
      <c r="L237" s="190" t="n">
        <v>44.4</v>
      </c>
    </row>
    <row r="238" ht="15" customHeight="1" s="145">
      <c r="B238" s="63" t="inlineStr">
        <is>
          <t>Natura</t>
        </is>
      </c>
      <c r="C238" s="129" t="inlineStr">
        <is>
          <t>Ekos</t>
        </is>
      </c>
      <c r="D238" s="67" t="inlineStr">
        <is>
          <t xml:space="preserve">Sabonete Barra Esfoliante </t>
        </is>
      </c>
      <c r="E238" s="136">
        <f>TRIM(CONCATENATE(D238, " ", C238, " ", F238, " ", IF(G238&gt;0, G238 &amp; "x" &amp; H238, H238), " ", I238))</f>
        <v/>
      </c>
      <c r="F238" s="2" t="inlineStr">
        <is>
          <t>Sortido: castanha, andiroba, açai, maracujá.</t>
        </is>
      </c>
      <c r="G238" s="131" t="n">
        <v>4</v>
      </c>
      <c r="H238" s="9" t="inlineStr">
        <is>
          <t>100g</t>
        </is>
      </c>
      <c r="I238" s="125" t="inlineStr">
        <is>
          <t xml:space="preserve">Caixa </t>
        </is>
      </c>
      <c r="J238" s="9" t="inlineStr">
        <is>
          <t xml:space="preserve">Oleo 100% vegano \ limpam \ Perfumam </t>
        </is>
      </c>
      <c r="K238" s="190" t="n"/>
      <c r="L238" s="190" t="n">
        <v>44.4</v>
      </c>
    </row>
    <row r="239" ht="15" customHeight="1" s="145">
      <c r="B239" s="63" t="inlineStr">
        <is>
          <t>Natura</t>
        </is>
      </c>
      <c r="C239" s="129" t="inlineStr">
        <is>
          <t>Ekos</t>
        </is>
      </c>
      <c r="D239" s="64" t="inlineStr">
        <is>
          <t xml:space="preserve">Sabonete Barra </t>
        </is>
      </c>
      <c r="E239" s="136">
        <f>TRIM(CONCATENATE(D239, " ", C239, " ", F239, " ", IF(G239&gt;0, G239 &amp; "x" &amp; H239, H239), " ", I239))</f>
        <v/>
      </c>
      <c r="F239" s="8" t="inlineStr">
        <is>
          <t xml:space="preserve">Cacau </t>
        </is>
      </c>
      <c r="G239" s="131" t="n">
        <v>4</v>
      </c>
      <c r="H239" s="9" t="inlineStr">
        <is>
          <t>100g</t>
        </is>
      </c>
      <c r="I239" s="125" t="inlineStr">
        <is>
          <t xml:space="preserve">Caixa </t>
        </is>
      </c>
      <c r="J239" s="11" t="inlineStr">
        <is>
          <t xml:space="preserve">Formato Cacau | Em barra | Cremoso </t>
        </is>
      </c>
      <c r="K239" s="2" t="n"/>
      <c r="L239" s="2" t="inlineStr">
        <is>
          <t xml:space="preserve">R$ 73,90 </t>
        </is>
      </c>
    </row>
    <row r="240" ht="15" customHeight="1" s="145">
      <c r="B240" s="63" t="inlineStr">
        <is>
          <t>Natura</t>
        </is>
      </c>
      <c r="C240" s="129" t="inlineStr">
        <is>
          <t>Ekos</t>
        </is>
      </c>
      <c r="D240" s="64" t="inlineStr">
        <is>
          <t>Sabonete Barra mini</t>
        </is>
      </c>
      <c r="E240" s="136">
        <f>TRIM(CONCATENATE(D240, " ", C240, " ", F240, " ", IF(G240&gt;0, G240 &amp; "x" &amp; H240, H240), " ", I240))</f>
        <v/>
      </c>
      <c r="F240" s="4" t="inlineStr">
        <is>
          <t xml:space="preserve">Maracujá </t>
        </is>
      </c>
      <c r="G240" s="131" t="n">
        <v>6</v>
      </c>
      <c r="H240" s="2" t="inlineStr">
        <is>
          <t>25g</t>
        </is>
      </c>
      <c r="I240" s="125" t="inlineStr">
        <is>
          <t xml:space="preserve">Caixa </t>
        </is>
      </c>
      <c r="J240" s="11" t="inlineStr">
        <is>
          <t xml:space="preserve">Sabonetes Cremesos \ Esfoliante </t>
        </is>
      </c>
      <c r="K240" s="180" t="n"/>
      <c r="L240" s="180" t="n">
        <v>55.9</v>
      </c>
    </row>
    <row r="241" ht="15" customHeight="1" s="145">
      <c r="B241" s="63" t="inlineStr">
        <is>
          <t>Natura</t>
        </is>
      </c>
      <c r="C241" s="129" t="inlineStr">
        <is>
          <t>Ekos</t>
        </is>
      </c>
      <c r="D241" s="64" t="inlineStr">
        <is>
          <t>Sabonete liquido para Maos</t>
        </is>
      </c>
      <c r="E241" s="136">
        <f>TRIM(CONCATENATE(D241, " ", C241, " ", F241, " ", IF(G241&gt;0, G241 &amp; "x" &amp; H241, H241), " ", I241))</f>
        <v/>
      </c>
      <c r="F241" s="15" t="inlineStr">
        <is>
          <t xml:space="preserve">Cacau </t>
        </is>
      </c>
      <c r="G241" s="131" t="n"/>
      <c r="H241" s="2" t="inlineStr">
        <is>
          <t>250ml</t>
        </is>
      </c>
      <c r="I241" s="31" t="inlineStr">
        <is>
          <t xml:space="preserve">Frasco </t>
        </is>
      </c>
      <c r="J241" s="11" t="inlineStr">
        <is>
          <t xml:space="preserve">Sabonteira \ limpa \ hidrata </t>
        </is>
      </c>
      <c r="K241" s="180" t="n"/>
      <c r="L241" s="180" t="n">
        <v>65</v>
      </c>
    </row>
    <row r="242" ht="15" customHeight="1" s="145">
      <c r="B242" s="63" t="inlineStr">
        <is>
          <t>Natura</t>
        </is>
      </c>
      <c r="C242" s="129" t="inlineStr">
        <is>
          <t>Ekos</t>
        </is>
      </c>
      <c r="D242" s="64" t="inlineStr">
        <is>
          <t>Sabonete liquido para Maos</t>
        </is>
      </c>
      <c r="E242" s="136">
        <f>TRIM(CONCATENATE(D242, " ", C242, " ", F242, " ", IF(G242&gt;0, G242 &amp; "x" &amp; H242, H242), " ", I242))</f>
        <v/>
      </c>
      <c r="F242" s="8" t="inlineStr">
        <is>
          <t xml:space="preserve">Castanha </t>
        </is>
      </c>
      <c r="G242" s="131" t="n"/>
      <c r="H242" s="2" t="inlineStr">
        <is>
          <t>250ml</t>
        </is>
      </c>
      <c r="I242" s="31" t="inlineStr">
        <is>
          <t xml:space="preserve">Frasco </t>
        </is>
      </c>
      <c r="J242" s="11" t="inlineStr">
        <is>
          <t xml:space="preserve">Sabonteira \ limpa \ hidrata </t>
        </is>
      </c>
      <c r="K242" s="180" t="n"/>
      <c r="L242" s="180" t="n">
        <v>65</v>
      </c>
    </row>
    <row r="243" ht="15" customHeight="1" s="145">
      <c r="B243" s="63" t="inlineStr">
        <is>
          <t>Natura</t>
        </is>
      </c>
      <c r="C243" s="129" t="inlineStr">
        <is>
          <t>Ekos</t>
        </is>
      </c>
      <c r="D243" s="64" t="inlineStr">
        <is>
          <t>Sabonete liquido para Maos</t>
        </is>
      </c>
      <c r="E243" s="136">
        <f>TRIM(CONCATENATE(D243, " ", C243, " ", F243, " ", IF(G243&gt;0, G243 &amp; "x" &amp; H243, H243), " ", I243))</f>
        <v/>
      </c>
      <c r="F243" s="4" t="inlineStr">
        <is>
          <t xml:space="preserve">Maracujá </t>
        </is>
      </c>
      <c r="G243" s="131" t="n"/>
      <c r="H243" s="2" t="inlineStr">
        <is>
          <t>250ml</t>
        </is>
      </c>
      <c r="I243" s="31" t="inlineStr">
        <is>
          <t xml:space="preserve">Frasco </t>
        </is>
      </c>
      <c r="J243" s="11" t="inlineStr">
        <is>
          <t xml:space="preserve">Sabonteira \ limpa \ hidrata </t>
        </is>
      </c>
      <c r="K243" s="180" t="n"/>
      <c r="L243" s="180" t="n">
        <v>65</v>
      </c>
    </row>
    <row r="244" ht="15" customHeight="1" s="145">
      <c r="B244" s="63" t="inlineStr">
        <is>
          <t>Natura</t>
        </is>
      </c>
      <c r="C244" s="129" t="inlineStr">
        <is>
          <t>Ekos</t>
        </is>
      </c>
      <c r="D244" s="64" t="inlineStr">
        <is>
          <t>Sabonete liquido para Maos</t>
        </is>
      </c>
      <c r="E244" s="136">
        <f>TRIM(CONCATENATE(D244, " ", C244, " ", F244, " ", IF(G244&gt;0, G244 &amp; "x" &amp; H244, H244), " ", I244))</f>
        <v/>
      </c>
      <c r="F244" s="16" t="inlineStr">
        <is>
          <t>Pitanga</t>
        </is>
      </c>
      <c r="G244" s="131" t="n"/>
      <c r="H244" s="2" t="inlineStr">
        <is>
          <t>250ml</t>
        </is>
      </c>
      <c r="I244" s="31" t="inlineStr">
        <is>
          <t xml:space="preserve">Frasco </t>
        </is>
      </c>
      <c r="J244" s="11" t="inlineStr">
        <is>
          <t xml:space="preserve">Sabonteira \ limpa \ hidrata </t>
        </is>
      </c>
      <c r="K244" s="180" t="n"/>
      <c r="L244" s="180" t="n">
        <v>65</v>
      </c>
    </row>
    <row r="245" ht="15" customHeight="1" s="145">
      <c r="B245" s="63" t="inlineStr">
        <is>
          <t>Natura</t>
        </is>
      </c>
      <c r="C245" s="129" t="inlineStr">
        <is>
          <t>Ekos</t>
        </is>
      </c>
      <c r="D245" s="64" t="inlineStr">
        <is>
          <t>Sabonete liquido para Maos</t>
        </is>
      </c>
      <c r="E245" s="136">
        <f>TRIM(CONCATENATE(D245, " ", C245, " ", F245, " ", IF(G245&gt;0, G245 &amp; "x" &amp; H245, H245), " ", I245))</f>
        <v/>
      </c>
      <c r="F245" s="15" t="inlineStr">
        <is>
          <t xml:space="preserve">Cacau </t>
        </is>
      </c>
      <c r="G245" s="131" t="n"/>
      <c r="H245" s="2" t="inlineStr">
        <is>
          <t>250ml</t>
        </is>
      </c>
      <c r="I245" s="31" t="inlineStr">
        <is>
          <t>Refil</t>
        </is>
      </c>
      <c r="J245" s="11" t="inlineStr">
        <is>
          <t xml:space="preserve">Sabonteira \ limpa \ hidrata </t>
        </is>
      </c>
      <c r="K245" s="180" t="n"/>
      <c r="L245" s="180" t="n">
        <v>48.9</v>
      </c>
    </row>
    <row r="246" ht="15" customHeight="1" s="145">
      <c r="B246" s="63" t="inlineStr">
        <is>
          <t>Natura</t>
        </is>
      </c>
      <c r="C246" s="129" t="inlineStr">
        <is>
          <t>Ekos</t>
        </is>
      </c>
      <c r="D246" s="64" t="inlineStr">
        <is>
          <t>Sabonete liquido para Maos</t>
        </is>
      </c>
      <c r="E246" s="136">
        <f>TRIM(CONCATENATE(D246, " ", C246, " ", F246, " ", IF(G246&gt;0, G246 &amp; "x" &amp; H246, H246), " ", I246))</f>
        <v/>
      </c>
      <c r="F246" s="8" t="inlineStr">
        <is>
          <t xml:space="preserve">Castanha </t>
        </is>
      </c>
      <c r="G246" s="131" t="n"/>
      <c r="H246" s="2" t="inlineStr">
        <is>
          <t>250ml</t>
        </is>
      </c>
      <c r="I246" s="31" t="inlineStr">
        <is>
          <t>Refil</t>
        </is>
      </c>
      <c r="J246" s="11" t="inlineStr">
        <is>
          <t xml:space="preserve">Sabonteira \ limpa \ hidrata </t>
        </is>
      </c>
      <c r="K246" s="180" t="n"/>
      <c r="L246" s="180" t="n">
        <v>48.9</v>
      </c>
    </row>
    <row r="247" ht="15" customHeight="1" s="145">
      <c r="B247" s="63" t="inlineStr">
        <is>
          <t>Natura</t>
        </is>
      </c>
      <c r="C247" s="129" t="inlineStr">
        <is>
          <t>Ekos</t>
        </is>
      </c>
      <c r="D247" s="64" t="inlineStr">
        <is>
          <t>Sabonete liquido para Maos</t>
        </is>
      </c>
      <c r="E247" s="136">
        <f>TRIM(CONCATENATE(D247, " ", C247, " ", F247, " ", IF(G247&gt;0, G247 &amp; "x" &amp; H247, H247), " ", I247))</f>
        <v/>
      </c>
      <c r="F247" s="4" t="inlineStr">
        <is>
          <t xml:space="preserve">Maracujá </t>
        </is>
      </c>
      <c r="G247" s="131" t="n"/>
      <c r="H247" s="2" t="inlineStr">
        <is>
          <t>250ml</t>
        </is>
      </c>
      <c r="I247" s="31" t="inlineStr">
        <is>
          <t>Refil</t>
        </is>
      </c>
      <c r="J247" s="11" t="inlineStr">
        <is>
          <t xml:space="preserve">Sabonteira \ limpa \ hidrata </t>
        </is>
      </c>
      <c r="K247" s="180" t="n"/>
      <c r="L247" s="180" t="n">
        <v>48.9</v>
      </c>
    </row>
    <row r="248" ht="15" customHeight="1" s="145">
      <c r="B248" s="63" t="inlineStr">
        <is>
          <t>Natura</t>
        </is>
      </c>
      <c r="C248" s="129" t="inlineStr">
        <is>
          <t>Ekos</t>
        </is>
      </c>
      <c r="D248" s="64" t="inlineStr">
        <is>
          <t>Sabonete liquido para Maos</t>
        </is>
      </c>
      <c r="E248" s="136">
        <f>TRIM(CONCATENATE(D248, " ", C248, " ", F248, " ", IF(G248&gt;0, G248 &amp; "x" &amp; H248, H248), " ", I248))</f>
        <v/>
      </c>
      <c r="F248" s="16" t="inlineStr">
        <is>
          <t>Pitanga</t>
        </is>
      </c>
      <c r="G248" s="131" t="n"/>
      <c r="H248" s="2" t="inlineStr">
        <is>
          <t>250ml</t>
        </is>
      </c>
      <c r="I248" s="31" t="inlineStr">
        <is>
          <t>Refil</t>
        </is>
      </c>
      <c r="J248" s="11" t="inlineStr">
        <is>
          <t xml:space="preserve">Sabonteira \ limpa \ hidrata </t>
        </is>
      </c>
      <c r="K248" s="180" t="n"/>
      <c r="L248" s="180" t="n">
        <v>48.9</v>
      </c>
    </row>
    <row r="249" ht="15" customHeight="1" s="145">
      <c r="B249" s="63" t="inlineStr">
        <is>
          <t>Natura</t>
        </is>
      </c>
      <c r="C249" s="129" t="inlineStr">
        <is>
          <t>Ekos</t>
        </is>
      </c>
      <c r="D249" s="64" t="inlineStr">
        <is>
          <t>Kit</t>
        </is>
      </c>
      <c r="E249" s="136">
        <f>TRIM(CONCATENATE(D249, " ", C249, " ", F249, " ", IF(G249&gt;0, G249 &amp; "x" &amp; H249, H249), " ", I249))</f>
        <v/>
      </c>
      <c r="F249" s="2" t="inlineStr">
        <is>
          <t>Viagem Encontro com a Amazônia</t>
        </is>
      </c>
      <c r="G249" s="131" t="n">
        <v>4</v>
      </c>
      <c r="H249" s="22" t="inlineStr">
        <is>
          <t>KIT</t>
        </is>
      </c>
      <c r="I249" s="31" t="inlineStr">
        <is>
          <t>KIT</t>
        </is>
      </c>
      <c r="J249" s="2" t="n">
        <v>1</v>
      </c>
      <c r="K249" s="11" t="n"/>
      <c r="L249" s="11" t="n"/>
    </row>
    <row r="250" ht="15" customHeight="1" s="145">
      <c r="B250" s="63" t="inlineStr">
        <is>
          <t>Natura</t>
        </is>
      </c>
      <c r="C250" s="129" t="inlineStr">
        <is>
          <t>Ekos</t>
        </is>
      </c>
      <c r="D250" s="64" t="inlineStr">
        <is>
          <t xml:space="preserve">Sabonte Liquido Esfoliante </t>
        </is>
      </c>
      <c r="E250" s="136">
        <f>TRIM(CONCATENATE(D250, " ", C250, " ", F250, " ", IF(G250&gt;0, G250 &amp; "x" &amp; H250, H250), " ", I250))</f>
        <v/>
      </c>
      <c r="F250" s="2" t="inlineStr">
        <is>
          <t xml:space="preserve">Açai </t>
        </is>
      </c>
      <c r="G250" s="131" t="n"/>
      <c r="H250" s="2" t="inlineStr">
        <is>
          <t xml:space="preserve">185ml </t>
        </is>
      </c>
      <c r="I250" s="31" t="inlineStr">
        <is>
          <t xml:space="preserve">Frasco </t>
        </is>
      </c>
      <c r="J250" s="11" t="inlineStr">
        <is>
          <t xml:space="preserve">Hidrata \ Reequilibra \ Amacia \ Oleo </t>
        </is>
      </c>
      <c r="K250" s="180" t="n"/>
      <c r="L250" s="180" t="n">
        <v>54.9</v>
      </c>
    </row>
    <row r="251" ht="15" customHeight="1" s="145">
      <c r="B251" s="63" t="inlineStr">
        <is>
          <t>Natura</t>
        </is>
      </c>
      <c r="C251" s="129" t="inlineStr">
        <is>
          <t>Ekos</t>
        </is>
      </c>
      <c r="D251" s="64" t="inlineStr">
        <is>
          <t xml:space="preserve">Sabonte Liquido Esfoliante </t>
        </is>
      </c>
      <c r="E251" s="136">
        <f>TRIM(CONCATENATE(D251, " ", C251, " ", F251, " ", IF(G251&gt;0, G251 &amp; "x" &amp; H251, H251), " ", I251))</f>
        <v/>
      </c>
      <c r="F251" s="2" t="inlineStr">
        <is>
          <t xml:space="preserve">Maracujá </t>
        </is>
      </c>
      <c r="G251" s="131" t="n"/>
      <c r="H251" s="11" t="inlineStr">
        <is>
          <t>185ml</t>
        </is>
      </c>
      <c r="I251" s="33" t="inlineStr">
        <is>
          <t xml:space="preserve">Frasco </t>
        </is>
      </c>
      <c r="J251" s="11" t="inlineStr">
        <is>
          <t xml:space="preserve">Hidrata \ Reequilibra \ Amacia \ Oleo </t>
        </is>
      </c>
      <c r="K251" s="180" t="n"/>
      <c r="L251" s="180" t="n">
        <v>54.9</v>
      </c>
    </row>
    <row r="252" ht="15" customHeight="1" s="145">
      <c r="B252" s="63" t="inlineStr">
        <is>
          <t>Natura</t>
        </is>
      </c>
      <c r="C252" s="129" t="inlineStr">
        <is>
          <t>Ekos</t>
        </is>
      </c>
      <c r="D252" s="64" t="inlineStr">
        <is>
          <t xml:space="preserve">Sabonte Liquido Esfoliante </t>
        </is>
      </c>
      <c r="E252" s="136">
        <f>TRIM(CONCATENATE(D252, " ", C252, " ", F252, " ", IF(G252&gt;0, G252 &amp; "x" &amp; H252, H252), " ", I252))</f>
        <v/>
      </c>
      <c r="F252" s="2" t="inlineStr">
        <is>
          <t>Tukumã</t>
        </is>
      </c>
      <c r="G252" s="131" t="n"/>
      <c r="H252" s="2" t="inlineStr">
        <is>
          <t>185ml</t>
        </is>
      </c>
      <c r="I252" s="31" t="inlineStr">
        <is>
          <t xml:space="preserve">Frasco </t>
        </is>
      </c>
      <c r="J252" s="2" t="inlineStr">
        <is>
          <t xml:space="preserve">Hidrata \ Reequilibra \ Amacia \ Oleo </t>
        </is>
      </c>
      <c r="K252" s="180" t="n"/>
      <c r="L252" s="180" t="n">
        <v>54.9</v>
      </c>
    </row>
    <row r="253" ht="15" customHeight="1" s="145">
      <c r="B253" s="63" t="inlineStr">
        <is>
          <t>Natura</t>
        </is>
      </c>
      <c r="C253" s="129" t="inlineStr">
        <is>
          <t>Ekos</t>
        </is>
      </c>
      <c r="D253" s="64" t="inlineStr">
        <is>
          <t xml:space="preserve">Sabonte Liquido Esfoliante </t>
        </is>
      </c>
      <c r="E253" s="136">
        <f>TRIM(CONCATENATE(D253, " ", C253, " ", F253, " ", IF(G253&gt;0, G253 &amp; "x" &amp; H253, H253), " ", I253))</f>
        <v/>
      </c>
      <c r="F253" s="2" t="inlineStr">
        <is>
          <t xml:space="preserve">Açai </t>
        </is>
      </c>
      <c r="G253" s="131" t="n"/>
      <c r="H253" s="2" t="inlineStr">
        <is>
          <t>185ml</t>
        </is>
      </c>
      <c r="I253" s="33" t="inlineStr">
        <is>
          <t xml:space="preserve">Refil </t>
        </is>
      </c>
      <c r="J253" s="2" t="inlineStr">
        <is>
          <t xml:space="preserve">Hidrata \ Reequilibra \ Amacia \ Oleo </t>
        </is>
      </c>
      <c r="K253" s="180" t="n"/>
      <c r="L253" s="180" t="n">
        <v>39.9</v>
      </c>
    </row>
    <row r="254" ht="15" customHeight="1" s="145">
      <c r="B254" s="63" t="inlineStr">
        <is>
          <t>Natura</t>
        </is>
      </c>
      <c r="C254" s="129" t="inlineStr">
        <is>
          <t>Ekos</t>
        </is>
      </c>
      <c r="D254" s="64" t="inlineStr">
        <is>
          <t xml:space="preserve">Sabonte Liquido Esfoliante </t>
        </is>
      </c>
      <c r="E254" s="136">
        <f>TRIM(CONCATENATE(D254, " ", C254, " ", F254, " ", IF(G254&gt;0, G254 &amp; "x" &amp; H254, H254), " ", I254))</f>
        <v/>
      </c>
      <c r="F254" s="2" t="inlineStr">
        <is>
          <t xml:space="preserve">Maracujá </t>
        </is>
      </c>
      <c r="G254" s="131" t="n"/>
      <c r="H254" s="2" t="inlineStr">
        <is>
          <t>185ml</t>
        </is>
      </c>
      <c r="I254" s="33" t="inlineStr">
        <is>
          <t xml:space="preserve">Refil </t>
        </is>
      </c>
      <c r="J254" s="2" t="inlineStr">
        <is>
          <t xml:space="preserve">Hidrata \ Reequilibra \ Amacia \ Oleo </t>
        </is>
      </c>
      <c r="K254" s="180" t="n"/>
      <c r="L254" s="180" t="n">
        <v>39.9</v>
      </c>
    </row>
    <row r="255" ht="15" customHeight="1" s="145">
      <c r="B255" s="63" t="inlineStr">
        <is>
          <t>Natura</t>
        </is>
      </c>
      <c r="C255" s="129" t="inlineStr">
        <is>
          <t>Ekos</t>
        </is>
      </c>
      <c r="D255" s="64" t="inlineStr">
        <is>
          <t xml:space="preserve">Sabonte Liquido Esfoliante </t>
        </is>
      </c>
      <c r="E255" s="136">
        <f>TRIM(CONCATENATE(D255, " ", C255, " ", F255, " ", IF(G255&gt;0, G255 &amp; "x" &amp; H255, H255), " ", I255))</f>
        <v/>
      </c>
      <c r="F255" s="2" t="inlineStr">
        <is>
          <t>Tukumã</t>
        </is>
      </c>
      <c r="G255" s="131" t="n"/>
      <c r="H255" s="2" t="inlineStr">
        <is>
          <t>185ml</t>
        </is>
      </c>
      <c r="I255" s="33" t="inlineStr">
        <is>
          <t xml:space="preserve">Refil </t>
        </is>
      </c>
      <c r="J255" s="2" t="inlineStr">
        <is>
          <t xml:space="preserve">Hidrata \ Reequilibra \ Amacia \ Oleo </t>
        </is>
      </c>
      <c r="K255" s="180" t="n"/>
      <c r="L255" s="180" t="n">
        <v>39.9</v>
      </c>
    </row>
    <row r="256" ht="15" customHeight="1" s="145">
      <c r="B256" s="63" t="inlineStr">
        <is>
          <t>Natura</t>
        </is>
      </c>
      <c r="C256" s="129" t="inlineStr">
        <is>
          <t>Ekos</t>
        </is>
      </c>
      <c r="D256" s="64" t="inlineStr">
        <is>
          <t xml:space="preserve">Sabonete Liquido em  Oleo </t>
        </is>
      </c>
      <c r="E256" s="136">
        <f>TRIM(CONCATENATE(D256, " ", C256, " ", F256, " ", IF(G256&gt;0, G256 &amp; "x" &amp; H256, H256), " ", I256))</f>
        <v/>
      </c>
      <c r="F256" s="2" t="inlineStr">
        <is>
          <t xml:space="preserve">Castanha </t>
        </is>
      </c>
      <c r="G256" s="131" t="n"/>
      <c r="H256" s="2" t="inlineStr">
        <is>
          <t xml:space="preserve">200ml </t>
        </is>
      </c>
      <c r="I256" s="31" t="inlineStr">
        <is>
          <t xml:space="preserve">Frasco </t>
        </is>
      </c>
      <c r="J256" s="2" t="inlineStr">
        <is>
          <t xml:space="preserve">Hidrata \ Reequilibra \ Amacia \ Oleo </t>
        </is>
      </c>
      <c r="K256" s="180" t="n"/>
      <c r="L256" s="180" t="n">
        <v>74.90000000000001</v>
      </c>
    </row>
    <row r="257" ht="15" customHeight="1" s="145">
      <c r="B257" s="63" t="inlineStr">
        <is>
          <t>Natura</t>
        </is>
      </c>
      <c r="C257" s="129" t="inlineStr">
        <is>
          <t>Ekos</t>
        </is>
      </c>
      <c r="D257" s="64" t="inlineStr">
        <is>
          <t>Sabonete Liquido Corporal</t>
        </is>
      </c>
      <c r="E257" s="136">
        <f>TRIM(CONCATENATE(D257, " ", C257, " ", F257, " ", IF(G257&gt;0, G257 &amp; "x" &amp; H257, H257), " ", I257))</f>
        <v/>
      </c>
      <c r="F257" s="2" t="inlineStr">
        <is>
          <t xml:space="preserve">Andiroba </t>
        </is>
      </c>
      <c r="G257" s="131" t="n"/>
      <c r="H257" s="2" t="inlineStr">
        <is>
          <t xml:space="preserve">195ml </t>
        </is>
      </c>
      <c r="I257" s="31" t="inlineStr">
        <is>
          <t xml:space="preserve">Frasco </t>
        </is>
      </c>
      <c r="J257" s="11" t="inlineStr">
        <is>
          <t xml:space="preserve">hidrata \ Reequilibra \ Amacia </t>
        </is>
      </c>
      <c r="K257" s="180" t="n"/>
      <c r="L257" s="180" t="n">
        <v>54.9</v>
      </c>
    </row>
    <row r="258" ht="15" customHeight="1" s="145">
      <c r="B258" s="63" t="inlineStr">
        <is>
          <t>Natura</t>
        </is>
      </c>
      <c r="C258" s="129" t="inlineStr">
        <is>
          <t>Ekos</t>
        </is>
      </c>
      <c r="D258" s="64" t="inlineStr">
        <is>
          <t>Sabonete Liquido Corporal</t>
        </is>
      </c>
      <c r="E258" s="136">
        <f>TRIM(CONCATENATE(D258, " ", C258, " ", F258, " ", IF(G258&gt;0, G258 &amp; "x" &amp; H258, H258), " ", I258))</f>
        <v/>
      </c>
      <c r="F258" s="2" t="inlineStr">
        <is>
          <t xml:space="preserve">Andiroba </t>
        </is>
      </c>
      <c r="G258" s="131" t="n"/>
      <c r="H258" s="2" t="inlineStr">
        <is>
          <t xml:space="preserve">195ml </t>
        </is>
      </c>
      <c r="I258" s="33" t="inlineStr">
        <is>
          <t xml:space="preserve">Refil </t>
        </is>
      </c>
      <c r="J258" s="11" t="inlineStr">
        <is>
          <t xml:space="preserve">hidrata \ Reequilibra \ Amacia </t>
        </is>
      </c>
      <c r="K258" s="180" t="n"/>
      <c r="L258" s="180" t="n">
        <v>39.9</v>
      </c>
    </row>
    <row r="259" ht="15" customHeight="1" s="145">
      <c r="B259" s="63" t="inlineStr">
        <is>
          <t>Natura</t>
        </is>
      </c>
      <c r="C259" s="129" t="inlineStr">
        <is>
          <t>Ekos</t>
        </is>
      </c>
      <c r="D259" s="65" t="inlineStr">
        <is>
          <t>Pre Shampoo</t>
        </is>
      </c>
      <c r="E259" s="136">
        <f>TRIM(CONCATENATE(D259, " ", C259, " ", F259, " ", IF(G259&gt;0, G259 &amp; "x" &amp; H259, H259), " ", I259))</f>
        <v/>
      </c>
      <c r="F259" s="2" t="inlineStr">
        <is>
          <t>Murumuru</t>
        </is>
      </c>
      <c r="G259" s="131" t="n"/>
      <c r="H259" s="2" t="inlineStr">
        <is>
          <t>100g</t>
        </is>
      </c>
      <c r="I259" s="31" t="inlineStr">
        <is>
          <t xml:space="preserve">Frasco </t>
        </is>
      </c>
      <c r="J259" s="11" t="inlineStr">
        <is>
          <t xml:space="preserve">nutritivamente a fibra capilar </t>
        </is>
      </c>
      <c r="K259" s="180" t="n"/>
      <c r="L259" s="180" t="n">
        <v>59.9</v>
      </c>
    </row>
    <row r="260" ht="15" customHeight="1" s="145">
      <c r="B260" s="63" t="inlineStr">
        <is>
          <t>Natura</t>
        </is>
      </c>
      <c r="C260" s="129" t="inlineStr">
        <is>
          <t>Ekos</t>
        </is>
      </c>
      <c r="D260" s="64" t="inlineStr">
        <is>
          <t xml:space="preserve">Shampoo </t>
        </is>
      </c>
      <c r="E260" s="136">
        <f>TRIM(CONCATENATE(D260, " ", C260, " ", F260, " ", IF(G260&gt;0, G260 &amp; "x" &amp; H260, H260), " ", I260))</f>
        <v/>
      </c>
      <c r="F260" s="2" t="inlineStr">
        <is>
          <t xml:space="preserve">Murumuru </t>
        </is>
      </c>
      <c r="G260" s="131" t="n"/>
      <c r="H260" s="2" t="inlineStr">
        <is>
          <t xml:space="preserve">300ml </t>
        </is>
      </c>
      <c r="I260" s="31" t="inlineStr">
        <is>
          <t xml:space="preserve">Frasco </t>
        </is>
      </c>
      <c r="J260" s="11" t="inlineStr">
        <is>
          <t xml:space="preserve">Nutritivamnete a Fibra Capilar </t>
        </is>
      </c>
      <c r="K260" s="180" t="n"/>
      <c r="L260" s="180" t="n">
        <v>56.9</v>
      </c>
    </row>
    <row r="261" ht="15" customHeight="1" s="145">
      <c r="B261" s="63" t="inlineStr">
        <is>
          <t>Natura</t>
        </is>
      </c>
      <c r="C261" s="129" t="inlineStr">
        <is>
          <t>Ekos</t>
        </is>
      </c>
      <c r="D261" s="64" t="inlineStr">
        <is>
          <t xml:space="preserve">Shampoo </t>
        </is>
      </c>
      <c r="E261" s="136">
        <f>TRIM(CONCATENATE(D261, " ", C261, " ", F261, " ", IF(G261&gt;0, G261 &amp; "x" &amp; H261, H261), " ", I261))</f>
        <v/>
      </c>
      <c r="F261" s="2" t="inlineStr">
        <is>
          <t xml:space="preserve">Patuá </t>
        </is>
      </c>
      <c r="G261" s="131" t="n"/>
      <c r="H261" s="2" t="inlineStr">
        <is>
          <t xml:space="preserve">300ml </t>
        </is>
      </c>
      <c r="I261" s="31" t="inlineStr">
        <is>
          <t xml:space="preserve">Frasco </t>
        </is>
      </c>
      <c r="J261" s="11" t="inlineStr">
        <is>
          <t xml:space="preserve">Antiqueda \  refortalecer as fibras capilares </t>
        </is>
      </c>
      <c r="K261" s="180" t="n"/>
      <c r="L261" s="180" t="n">
        <v>56.9</v>
      </c>
    </row>
    <row r="262" ht="15" customHeight="1" s="145">
      <c r="B262" s="63" t="inlineStr">
        <is>
          <t>Natura</t>
        </is>
      </c>
      <c r="C262" s="129" t="inlineStr">
        <is>
          <t>Ekos</t>
        </is>
      </c>
      <c r="D262" s="64" t="inlineStr">
        <is>
          <t xml:space="preserve">Shampoo </t>
        </is>
      </c>
      <c r="E262" s="136">
        <f>TRIM(CONCATENATE(D262, " ", C262, " ", F262, " ", IF(G262&gt;0, G262 &amp; "x" &amp; H262, H262), " ", I262))</f>
        <v/>
      </c>
      <c r="F262" s="2" t="inlineStr">
        <is>
          <t xml:space="preserve">Murumuru </t>
        </is>
      </c>
      <c r="G262" s="131" t="n"/>
      <c r="H262" s="2" t="inlineStr">
        <is>
          <t xml:space="preserve">300ml </t>
        </is>
      </c>
      <c r="I262" s="31" t="inlineStr">
        <is>
          <t xml:space="preserve">Refil </t>
        </is>
      </c>
      <c r="J262" s="11" t="inlineStr">
        <is>
          <t xml:space="preserve">Nutritivamnete a Fibra Capilar </t>
        </is>
      </c>
      <c r="K262" s="180" t="n"/>
      <c r="L262" s="180" t="n">
        <v>43.5</v>
      </c>
    </row>
    <row r="263" ht="15" customHeight="1" s="145">
      <c r="A263" t="inlineStr">
        <is>
          <t>NATBRA-151033</t>
        </is>
      </c>
      <c r="B263" s="63" t="inlineStr">
        <is>
          <t>Natura</t>
        </is>
      </c>
      <c r="C263" s="129" t="inlineStr">
        <is>
          <t>Ekos</t>
        </is>
      </c>
      <c r="D263" s="64" t="inlineStr">
        <is>
          <t xml:space="preserve">Shampoo </t>
        </is>
      </c>
      <c r="E263" s="136">
        <f>TRIM(CONCATENATE(D263, " ", C263, " ", F263, " ", IF(G263&gt;0, G263 &amp; "x" &amp; H263, H263), " ", I263))</f>
        <v/>
      </c>
      <c r="F263" s="2" t="inlineStr">
        <is>
          <t xml:space="preserve">Patuá </t>
        </is>
      </c>
      <c r="G263" s="131" t="n"/>
      <c r="H263" s="2" t="inlineStr">
        <is>
          <t xml:space="preserve">300ml </t>
        </is>
      </c>
      <c r="I263" s="31" t="inlineStr">
        <is>
          <t xml:space="preserve">Refil </t>
        </is>
      </c>
      <c r="J263" s="11" t="inlineStr">
        <is>
          <t xml:space="preserve">Antiqueda \  refortalecer as fibras capilares </t>
        </is>
      </c>
      <c r="K263" s="180" t="n"/>
      <c r="L263" s="180" t="n">
        <v>43.5</v>
      </c>
    </row>
    <row r="264" ht="15" customHeight="1" s="145">
      <c r="B264" s="63" t="inlineStr">
        <is>
          <t>Natura</t>
        </is>
      </c>
      <c r="C264" s="129" t="inlineStr">
        <is>
          <t>Ekos</t>
        </is>
      </c>
      <c r="D264" s="65" t="inlineStr">
        <is>
          <t xml:space="preserve">Condicionador </t>
        </is>
      </c>
      <c r="E264" s="136">
        <f>TRIM(CONCATENATE(D264, " ", C264, " ", F264, " ", IF(G264&gt;0, G264 &amp; "x" &amp; H264, H264), " ", I264))</f>
        <v/>
      </c>
      <c r="F264" s="2" t="inlineStr">
        <is>
          <t xml:space="preserve">Murumuru </t>
        </is>
      </c>
      <c r="G264" s="131" t="n"/>
      <c r="H264" s="2" t="inlineStr">
        <is>
          <t xml:space="preserve">300ml </t>
        </is>
      </c>
      <c r="I264" s="31" t="inlineStr">
        <is>
          <t xml:space="preserve">Frasco </t>
        </is>
      </c>
      <c r="J264" s="11" t="inlineStr">
        <is>
          <t xml:space="preserve">Nutritivamnete a Fibra Capilar </t>
        </is>
      </c>
      <c r="K264" s="180" t="n"/>
      <c r="L264" s="180" t="n">
        <v>59.9</v>
      </c>
    </row>
    <row r="265" ht="15" customHeight="1" s="145">
      <c r="B265" s="63" t="inlineStr">
        <is>
          <t>Natura</t>
        </is>
      </c>
      <c r="C265" s="129" t="inlineStr">
        <is>
          <t>Ekos</t>
        </is>
      </c>
      <c r="D265" s="65" t="inlineStr">
        <is>
          <t xml:space="preserve">Condicionador </t>
        </is>
      </c>
      <c r="E265" s="136">
        <f>TRIM(CONCATENATE(D265, " ", C265, " ", F265, " ", IF(G265&gt;0, G265 &amp; "x" &amp; H265, H265), " ", I265))</f>
        <v/>
      </c>
      <c r="F265" s="2" t="inlineStr">
        <is>
          <t xml:space="preserve">Patuá </t>
        </is>
      </c>
      <c r="G265" s="131" t="n"/>
      <c r="H265" s="2" t="inlineStr">
        <is>
          <t xml:space="preserve">300ml </t>
        </is>
      </c>
      <c r="I265" s="31" t="inlineStr">
        <is>
          <t xml:space="preserve">Frasco </t>
        </is>
      </c>
      <c r="J265" s="11" t="inlineStr">
        <is>
          <t xml:space="preserve">Antiqueda \  refortalecer as fibras capilares </t>
        </is>
      </c>
      <c r="K265" s="180" t="n"/>
      <c r="L265" s="180" t="n">
        <v>59.9</v>
      </c>
    </row>
    <row r="266" ht="15" customHeight="1" s="145">
      <c r="B266" s="63" t="inlineStr">
        <is>
          <t>Natura</t>
        </is>
      </c>
      <c r="C266" s="129" t="inlineStr">
        <is>
          <t>Ekos</t>
        </is>
      </c>
      <c r="D266" s="65" t="inlineStr">
        <is>
          <t xml:space="preserve">Condicionador </t>
        </is>
      </c>
      <c r="E266" s="136">
        <f>TRIM(CONCATENATE(D266, " ", C266, " ", F266, " ", IF(G266&gt;0, G266 &amp; "x" &amp; H266, H266), " ", I266))</f>
        <v/>
      </c>
      <c r="F266" s="2" t="inlineStr">
        <is>
          <t xml:space="preserve">Murumuru </t>
        </is>
      </c>
      <c r="G266" s="131" t="n"/>
      <c r="H266" s="2" t="inlineStr">
        <is>
          <t xml:space="preserve">300ml </t>
        </is>
      </c>
      <c r="I266" s="31" t="inlineStr">
        <is>
          <t xml:space="preserve">Refil </t>
        </is>
      </c>
      <c r="J266" s="11" t="inlineStr">
        <is>
          <t xml:space="preserve">Nutritivamnete a Fibra Capilar </t>
        </is>
      </c>
      <c r="K266" s="180" t="n"/>
      <c r="L266" s="180" t="inlineStr">
        <is>
          <t>R$ 45, 50</t>
        </is>
      </c>
    </row>
    <row r="267" ht="15" customHeight="1" s="145">
      <c r="A267" t="inlineStr">
        <is>
          <t>NATBRA-102402</t>
        </is>
      </c>
      <c r="B267" s="63" t="inlineStr">
        <is>
          <t>Natura</t>
        </is>
      </c>
      <c r="C267" s="129" t="inlineStr">
        <is>
          <t>Ekos</t>
        </is>
      </c>
      <c r="D267" s="65" t="inlineStr">
        <is>
          <t xml:space="preserve">Condicionador </t>
        </is>
      </c>
      <c r="E267" s="136">
        <f>TRIM(CONCATENATE(D267, " ", C267, " ", F267, " ", IF(G267&gt;0, G267 &amp; "x" &amp; H267, H267), " ", I267))</f>
        <v/>
      </c>
      <c r="F267" s="2" t="inlineStr">
        <is>
          <t xml:space="preserve">Patuá </t>
        </is>
      </c>
      <c r="G267" s="131" t="n"/>
      <c r="H267" s="2" t="inlineStr">
        <is>
          <t xml:space="preserve">300ml </t>
        </is>
      </c>
      <c r="I267" s="31" t="inlineStr">
        <is>
          <t xml:space="preserve">Refil </t>
        </is>
      </c>
      <c r="J267" s="11" t="inlineStr">
        <is>
          <t xml:space="preserve">Antiqueda \  refortalecer as fibras capilares </t>
        </is>
      </c>
      <c r="K267" s="180" t="n"/>
      <c r="L267" s="180" t="inlineStr">
        <is>
          <t>R$ 45, 51</t>
        </is>
      </c>
    </row>
    <row r="268" ht="15" customHeight="1" s="145">
      <c r="B268" s="63" t="inlineStr">
        <is>
          <t>Natura</t>
        </is>
      </c>
      <c r="C268" s="129" t="inlineStr">
        <is>
          <t>Ekos</t>
        </is>
      </c>
      <c r="D268" s="64" t="inlineStr">
        <is>
          <t xml:space="preserve">Mascara para cabelo </t>
        </is>
      </c>
      <c r="E268" s="136">
        <f>TRIM(CONCATENATE(D268, " ", C268, " ", F268, " ", IF(G268&gt;0, G268 &amp; "x" &amp; H268, H268), " ", I268))</f>
        <v/>
      </c>
      <c r="F268" s="2" t="inlineStr">
        <is>
          <t xml:space="preserve">Murumuru </t>
        </is>
      </c>
      <c r="G268" s="131" t="n"/>
      <c r="H268" s="2" t="inlineStr">
        <is>
          <t xml:space="preserve">200g </t>
        </is>
      </c>
      <c r="I268" s="31" t="inlineStr">
        <is>
          <t xml:space="preserve">Pote </t>
        </is>
      </c>
      <c r="J268" s="2" t="inlineStr">
        <is>
          <t xml:space="preserve">Reconstrutora </t>
        </is>
      </c>
      <c r="K268" s="180" t="n"/>
      <c r="L268" s="180" t="n">
        <v>81.90000000000001</v>
      </c>
    </row>
    <row r="269" ht="15" customHeight="1" s="145">
      <c r="B269" s="63" t="inlineStr">
        <is>
          <t>Natura</t>
        </is>
      </c>
      <c r="C269" s="129" t="inlineStr">
        <is>
          <t>Ekos</t>
        </is>
      </c>
      <c r="D269" s="64" t="inlineStr">
        <is>
          <t xml:space="preserve">Mascara para cabelo </t>
        </is>
      </c>
      <c r="E269" s="136">
        <f>TRIM(CONCATENATE(D269, " ", C269, " ", F269, " ", IF(G269&gt;0, G269 &amp; "x" &amp; H269, H269), " ", I269))</f>
        <v/>
      </c>
      <c r="F269" s="2" t="inlineStr">
        <is>
          <t xml:space="preserve">Patuá </t>
        </is>
      </c>
      <c r="G269" s="131" t="n"/>
      <c r="H269" s="2" t="inlineStr">
        <is>
          <t xml:space="preserve">200g </t>
        </is>
      </c>
      <c r="I269" s="31" t="inlineStr">
        <is>
          <t xml:space="preserve">Pote </t>
        </is>
      </c>
      <c r="J269" s="2" t="inlineStr">
        <is>
          <t xml:space="preserve">Fortalecedora </t>
        </is>
      </c>
      <c r="K269" s="180" t="n"/>
      <c r="L269" s="180" t="n">
        <v>81.90000000000001</v>
      </c>
    </row>
    <row r="270" ht="15" customHeight="1" s="145">
      <c r="B270" s="63" t="inlineStr">
        <is>
          <t>Natura</t>
        </is>
      </c>
      <c r="C270" s="129" t="inlineStr">
        <is>
          <t>Ekos</t>
        </is>
      </c>
      <c r="D270" s="64" t="inlineStr">
        <is>
          <t xml:space="preserve">Creme Para Pentear </t>
        </is>
      </c>
      <c r="E270" s="136">
        <f>TRIM(CONCATENATE(D270, " ", C270, " ", F270, " ", IF(G270&gt;0, G270 &amp; "x" &amp; H270, H270), " ", I270))</f>
        <v/>
      </c>
      <c r="F270" s="2" t="inlineStr">
        <is>
          <t xml:space="preserve">Murumuru </t>
        </is>
      </c>
      <c r="G270" s="131" t="n"/>
      <c r="H270" s="2" t="inlineStr">
        <is>
          <t xml:space="preserve">150ml </t>
        </is>
      </c>
      <c r="I270" s="31" t="inlineStr">
        <is>
          <t xml:space="preserve">Frasco </t>
        </is>
      </c>
      <c r="J270" s="2" t="inlineStr">
        <is>
          <t xml:space="preserve">Creme cond. Multibeneficios </t>
        </is>
      </c>
      <c r="K270" s="180" t="n"/>
      <c r="L270" s="180" t="n">
        <v>59.9</v>
      </c>
    </row>
    <row r="271" ht="15" customFormat="1" customHeight="1" s="10">
      <c r="B271" s="63" t="inlineStr">
        <is>
          <t>Natura</t>
        </is>
      </c>
      <c r="C271" s="129" t="inlineStr">
        <is>
          <t>Ekos</t>
        </is>
      </c>
      <c r="D271" s="68" t="inlineStr">
        <is>
          <t xml:space="preserve">Oleo Finalizador Cabelo </t>
        </is>
      </c>
      <c r="E271" s="136">
        <f>TRIM(CONCATENATE(D271, " ", C271, " ", F271, " ", IF(G271&gt;0, G271 &amp; "x" &amp; H271, H271), " ", I271))</f>
        <v/>
      </c>
      <c r="F271" s="9" t="inlineStr">
        <is>
          <t xml:space="preserve">Patuá </t>
        </is>
      </c>
      <c r="G271" s="131" t="n"/>
      <c r="H271" s="9" t="inlineStr">
        <is>
          <t xml:space="preserve">60ml </t>
        </is>
      </c>
      <c r="I271" s="36" t="inlineStr">
        <is>
          <t xml:space="preserve">Frasco </t>
        </is>
      </c>
      <c r="J271" s="9" t="inlineStr">
        <is>
          <t xml:space="preserve">Blinda o cabelo contra agressoes externas </t>
        </is>
      </c>
      <c r="K271" s="191" t="n"/>
      <c r="L271" s="191" t="n">
        <v>89.90000000000001</v>
      </c>
    </row>
    <row r="272" ht="15" customHeight="1" s="145">
      <c r="B272" s="63" t="inlineStr">
        <is>
          <t>Natura</t>
        </is>
      </c>
      <c r="C272" s="129" t="inlineStr">
        <is>
          <t>Ekos</t>
        </is>
      </c>
      <c r="D272" s="64" t="inlineStr">
        <is>
          <t xml:space="preserve">Serum Noturno Nutritivo </t>
        </is>
      </c>
      <c r="E272" s="136">
        <f>TRIM(CONCATENATE(D272, " ", C272, " ", F272, " ", IF(G272&gt;0, G272 &amp; "x" &amp; H272, H272), " ", I272))</f>
        <v/>
      </c>
      <c r="F272" s="2" t="inlineStr">
        <is>
          <t xml:space="preserve">Murumuru </t>
        </is>
      </c>
      <c r="G272" s="131" t="n"/>
      <c r="H272" s="2" t="inlineStr">
        <is>
          <t xml:space="preserve">30ml </t>
        </is>
      </c>
      <c r="I272" s="31" t="inlineStr">
        <is>
          <t xml:space="preserve">Frasco </t>
        </is>
      </c>
      <c r="J272" s="11" t="inlineStr">
        <is>
          <t xml:space="preserve">Antidanos \ reconstroi nutritivamente a fibra capilar </t>
        </is>
      </c>
      <c r="K272" s="180" t="n"/>
      <c r="L272" s="180" t="n">
        <v>73.90000000000001</v>
      </c>
    </row>
    <row r="273" ht="15" customFormat="1" customHeight="1" s="10">
      <c r="B273" s="63" t="inlineStr">
        <is>
          <t>Natura</t>
        </is>
      </c>
      <c r="C273" s="129" t="inlineStr">
        <is>
          <t>Ekos</t>
        </is>
      </c>
      <c r="D273" s="68" t="inlineStr">
        <is>
          <t xml:space="preserve">Tonico Noturno de Crescimento </t>
        </is>
      </c>
      <c r="E273" s="136">
        <f>TRIM(CONCATENATE(D273, " ", C273, " ", F273, " ", IF(G273&gt;0, G273 &amp; "x" &amp; H273, H273), " ", I273))</f>
        <v/>
      </c>
      <c r="F273" s="9" t="inlineStr">
        <is>
          <t xml:space="preserve">Patuá </t>
        </is>
      </c>
      <c r="G273" s="131" t="n"/>
      <c r="H273" s="2" t="inlineStr">
        <is>
          <t xml:space="preserve">30ml </t>
        </is>
      </c>
      <c r="I273" s="31" t="inlineStr">
        <is>
          <t xml:space="preserve">Frasco </t>
        </is>
      </c>
      <c r="J273" s="9" t="inlineStr">
        <is>
          <t xml:space="preserve">Acelera o crescimento 3 vezes \ Evita a queda dos fios </t>
        </is>
      </c>
      <c r="K273" s="180" t="n"/>
      <c r="L273" s="180" t="n">
        <v>73.90000000000001</v>
      </c>
    </row>
    <row r="274" ht="15" customFormat="1" customHeight="1" s="10">
      <c r="B274" s="63" t="inlineStr">
        <is>
          <t>Natura</t>
        </is>
      </c>
      <c r="C274" s="129" t="inlineStr">
        <is>
          <t>Ekos</t>
        </is>
      </c>
      <c r="D274" s="68" t="inlineStr">
        <is>
          <t>Colonia</t>
        </is>
      </c>
      <c r="E274" s="136">
        <f>TRIM(CONCATENATE(D274, " ", C274, " ", F274, " ", IF(G274&gt;0, G274 &amp; "x" &amp; H274, H274), " ", I274))</f>
        <v/>
      </c>
      <c r="F274" s="9" t="inlineStr">
        <is>
          <t>Frescor Açai Feminino</t>
        </is>
      </c>
      <c r="G274" s="131" t="n"/>
      <c r="H274" s="9" t="inlineStr">
        <is>
          <t xml:space="preserve">150ml </t>
        </is>
      </c>
      <c r="I274" s="36" t="inlineStr">
        <is>
          <t xml:space="preserve">Frasco </t>
        </is>
      </c>
      <c r="J274" s="9" t="inlineStr">
        <is>
          <t xml:space="preserve">Frescor </t>
        </is>
      </c>
      <c r="K274" s="191" t="n"/>
      <c r="L274" s="191" t="n">
        <v>124.9</v>
      </c>
    </row>
    <row r="275" ht="15" customFormat="1" customHeight="1" s="10">
      <c r="B275" s="63" t="inlineStr">
        <is>
          <t>Natura</t>
        </is>
      </c>
      <c r="C275" s="129" t="inlineStr">
        <is>
          <t>Ekos</t>
        </is>
      </c>
      <c r="D275" s="68" t="inlineStr">
        <is>
          <t>Colonia</t>
        </is>
      </c>
      <c r="E275" s="136">
        <f>TRIM(CONCATENATE(D275, " ", C275, " ", F275, " ", IF(G275&gt;0, G275 &amp; "x" &amp; H275, H275), " ", I275))</f>
        <v/>
      </c>
      <c r="F275" s="9" t="inlineStr">
        <is>
          <t>Frescor Andiroba Feminino</t>
        </is>
      </c>
      <c r="G275" s="131" t="n"/>
      <c r="H275" s="9" t="inlineStr">
        <is>
          <t xml:space="preserve">150ml </t>
        </is>
      </c>
      <c r="I275" s="36" t="inlineStr">
        <is>
          <t xml:space="preserve">Frasco </t>
        </is>
      </c>
      <c r="J275" s="9" t="inlineStr">
        <is>
          <t xml:space="preserve">Frescor </t>
        </is>
      </c>
      <c r="K275" s="191" t="n"/>
      <c r="L275" s="191" t="n">
        <v>124.9</v>
      </c>
    </row>
    <row r="276" ht="15" customFormat="1" customHeight="1" s="10">
      <c r="B276" s="63" t="inlineStr">
        <is>
          <t>Natura</t>
        </is>
      </c>
      <c r="C276" s="129" t="inlineStr">
        <is>
          <t>Ekos</t>
        </is>
      </c>
      <c r="D276" s="68" t="inlineStr">
        <is>
          <t>Colonia</t>
        </is>
      </c>
      <c r="E276" s="136">
        <f>TRIM(CONCATENATE(D276, " ", C276, " ", F276, " ", IF(G276&gt;0, G276 &amp; "x" &amp; H276, H276), " ", I276))</f>
        <v/>
      </c>
      <c r="F276" s="9" t="inlineStr">
        <is>
          <t>Frescor Cacau Feminino</t>
        </is>
      </c>
      <c r="G276" s="131" t="n"/>
      <c r="H276" s="9" t="inlineStr">
        <is>
          <t xml:space="preserve">150ml </t>
        </is>
      </c>
      <c r="I276" s="36" t="inlineStr">
        <is>
          <t xml:space="preserve">Frasco </t>
        </is>
      </c>
      <c r="J276" s="9" t="inlineStr">
        <is>
          <t xml:space="preserve">Frescor </t>
        </is>
      </c>
      <c r="K276" s="191" t="n"/>
      <c r="L276" s="191" t="n">
        <v>124.9</v>
      </c>
    </row>
    <row r="277" ht="15" customFormat="1" customHeight="1" s="10">
      <c r="B277" s="63" t="inlineStr">
        <is>
          <t>Natura</t>
        </is>
      </c>
      <c r="C277" s="129" t="inlineStr">
        <is>
          <t>Ekos</t>
        </is>
      </c>
      <c r="D277" s="68" t="inlineStr">
        <is>
          <t>Colonia</t>
        </is>
      </c>
      <c r="E277" s="136">
        <f>TRIM(CONCATENATE(D277, " ", C277, " ", F277, " ", IF(G277&gt;0, G277 &amp; "x" &amp; H277, H277), " ", I277))</f>
        <v/>
      </c>
      <c r="F277" s="9" t="inlineStr">
        <is>
          <t>Frescor Castanha Feminino</t>
        </is>
      </c>
      <c r="G277" s="131" t="n"/>
      <c r="H277" s="9" t="inlineStr">
        <is>
          <t xml:space="preserve">150ml </t>
        </is>
      </c>
      <c r="I277" s="36" t="inlineStr">
        <is>
          <t xml:space="preserve">Frasco </t>
        </is>
      </c>
      <c r="J277" s="9" t="inlineStr">
        <is>
          <t xml:space="preserve">Frescor </t>
        </is>
      </c>
      <c r="K277" s="191" t="n"/>
      <c r="L277" s="191" t="n">
        <v>124.9</v>
      </c>
    </row>
    <row r="278" ht="15" customFormat="1" customHeight="1" s="10">
      <c r="B278" s="63" t="inlineStr">
        <is>
          <t>Natura</t>
        </is>
      </c>
      <c r="C278" s="129" t="inlineStr">
        <is>
          <t>Ekos</t>
        </is>
      </c>
      <c r="D278" s="68" t="inlineStr">
        <is>
          <t>Colonia</t>
        </is>
      </c>
      <c r="E278" s="136">
        <f>TRIM(CONCATENATE(D278, " ", C278, " ", F278, " ", IF(G278&gt;0, G278 &amp; "x" &amp; H278, H278), " ", I278))</f>
        <v/>
      </c>
      <c r="F278" s="9" t="inlineStr">
        <is>
          <t>Frescor Flor do Luar Feminino</t>
        </is>
      </c>
      <c r="G278" s="131" t="n"/>
      <c r="H278" s="9" t="inlineStr">
        <is>
          <t xml:space="preserve">150ml </t>
        </is>
      </c>
      <c r="I278" s="36" t="inlineStr">
        <is>
          <t xml:space="preserve">Frasco </t>
        </is>
      </c>
      <c r="J278" s="9" t="inlineStr">
        <is>
          <t xml:space="preserve">Frescor </t>
        </is>
      </c>
      <c r="K278" s="191" t="n"/>
      <c r="L278" s="191" t="n">
        <v>124.9</v>
      </c>
    </row>
    <row r="279" ht="15" customFormat="1" customHeight="1" s="10">
      <c r="B279" s="63" t="inlineStr">
        <is>
          <t>Natura</t>
        </is>
      </c>
      <c r="C279" s="129" t="inlineStr">
        <is>
          <t>Ekos</t>
        </is>
      </c>
      <c r="D279" s="68" t="inlineStr">
        <is>
          <t>Colonia</t>
        </is>
      </c>
      <c r="E279" s="136">
        <f>TRIM(CONCATENATE(D279, " ", C279, " ", F279, " ", IF(G279&gt;0, G279 &amp; "x" &amp; H279, H279), " ", I279))</f>
        <v/>
      </c>
      <c r="F279" s="9" t="inlineStr">
        <is>
          <t>Frescor Maracuja Feminino</t>
        </is>
      </c>
      <c r="G279" s="131" t="n"/>
      <c r="H279" s="9" t="inlineStr">
        <is>
          <t xml:space="preserve">150ml </t>
        </is>
      </c>
      <c r="I279" s="36" t="inlineStr">
        <is>
          <t xml:space="preserve">Frasco </t>
        </is>
      </c>
      <c r="J279" s="9" t="inlineStr">
        <is>
          <t xml:space="preserve">Frescor </t>
        </is>
      </c>
      <c r="K279" s="191" t="n"/>
      <c r="L279" s="191" t="n">
        <v>124.9</v>
      </c>
    </row>
    <row r="280" ht="15" customFormat="1" customHeight="1" s="10">
      <c r="B280" s="63" t="inlineStr">
        <is>
          <t>Natura</t>
        </is>
      </c>
      <c r="C280" s="129" t="inlineStr">
        <is>
          <t>Ekos</t>
        </is>
      </c>
      <c r="D280" s="68" t="inlineStr">
        <is>
          <t>Colonia</t>
        </is>
      </c>
      <c r="E280" s="136">
        <f>TRIM(CONCATENATE(D280, " ", C280, " ", F280, " ", IF(G280&gt;0, G280 &amp; "x" &amp; H280, H280), " ", I280))</f>
        <v/>
      </c>
      <c r="F280" s="9" t="inlineStr">
        <is>
          <t>Frescor Pitanga Feminino</t>
        </is>
      </c>
      <c r="G280" s="131" t="n"/>
      <c r="H280" s="9" t="inlineStr">
        <is>
          <t xml:space="preserve">150ml </t>
        </is>
      </c>
      <c r="I280" s="36" t="inlineStr">
        <is>
          <t xml:space="preserve">Frasco </t>
        </is>
      </c>
      <c r="J280" s="9" t="inlineStr">
        <is>
          <t xml:space="preserve">Frescor </t>
        </is>
      </c>
      <c r="K280" s="191" t="n"/>
      <c r="L280" s="191" t="n">
        <v>124.9</v>
      </c>
    </row>
    <row r="281" ht="15" customFormat="1" customHeight="1" s="10">
      <c r="B281" s="63" t="inlineStr">
        <is>
          <t>Natura</t>
        </is>
      </c>
      <c r="C281" s="129" t="inlineStr">
        <is>
          <t>Ekos</t>
        </is>
      </c>
      <c r="D281" s="68" t="inlineStr">
        <is>
          <t>Eau De Parfum</t>
        </is>
      </c>
      <c r="E281" s="136">
        <f>TRIM(CONCATENATE(D281, " ", C281, " ", F281, " ", IF(G281&gt;0, G281 &amp; "x" &amp; H281, H281), " ", I281))</f>
        <v/>
      </c>
      <c r="F281" s="9" t="inlineStr">
        <is>
          <t xml:space="preserve">Alma </t>
        </is>
      </c>
      <c r="G281" s="131" t="n"/>
      <c r="H281" s="9" t="inlineStr">
        <is>
          <t xml:space="preserve">50ml </t>
        </is>
      </c>
      <c r="I281" s="36" t="inlineStr">
        <is>
          <t xml:space="preserve">Frasco </t>
        </is>
      </c>
      <c r="J281" s="9" t="inlineStr">
        <is>
          <t>Amadeirado Especiado / Notas de Cumaru / Copaíba</t>
        </is>
      </c>
      <c r="K281" s="191" t="n"/>
      <c r="L281" s="191" t="n">
        <v>375.9</v>
      </c>
    </row>
    <row r="282" ht="15" customFormat="1" customHeight="1" s="10">
      <c r="B282" s="63" t="inlineStr">
        <is>
          <t>Natura</t>
        </is>
      </c>
      <c r="C282" s="129" t="inlineStr">
        <is>
          <t>Ekos</t>
        </is>
      </c>
      <c r="D282" s="68" t="inlineStr">
        <is>
          <t>Eau De Parfum</t>
        </is>
      </c>
      <c r="E282" s="136">
        <f>TRIM(CONCATENATE(D282, " ", C282, " ", F282, " ", IF(G282&gt;0, G282 &amp; "x" &amp; H282, H282), " ", I282))</f>
        <v/>
      </c>
      <c r="F282" s="9" t="inlineStr">
        <is>
          <t xml:space="preserve">Pedra </t>
        </is>
      </c>
      <c r="G282" s="131" t="n"/>
      <c r="H282" s="9" t="inlineStr">
        <is>
          <t xml:space="preserve">50ml </t>
        </is>
      </c>
      <c r="I282" s="36" t="inlineStr">
        <is>
          <t xml:space="preserve">Frasco </t>
        </is>
      </c>
      <c r="J282" s="9" t="inlineStr">
        <is>
          <t xml:space="preserve">Amadeirado Aromático / Notas Aromáticas / Minerais da Resina </t>
        </is>
      </c>
      <c r="K282" s="191" t="n"/>
      <c r="L282" s="191" t="n">
        <v>375.9</v>
      </c>
    </row>
    <row r="283" ht="15" customFormat="1" customHeight="1" s="10">
      <c r="B283" s="63" t="inlineStr">
        <is>
          <t>Natura</t>
        </is>
      </c>
      <c r="C283" s="129" t="inlineStr">
        <is>
          <t>Ekos</t>
        </is>
      </c>
      <c r="D283" s="68" t="inlineStr">
        <is>
          <t>Eau De Parfum</t>
        </is>
      </c>
      <c r="E283" s="136">
        <f>TRIM(CONCATENATE(D283, " ", C283, " ", F283, " ", IF(G283&gt;0, G283 &amp; "x" &amp; H283, H283), " ", I283))</f>
        <v/>
      </c>
      <c r="F283" s="9" t="inlineStr">
        <is>
          <t xml:space="preserve">Raiz </t>
        </is>
      </c>
      <c r="G283" s="131" t="n"/>
      <c r="H283" s="9" t="inlineStr">
        <is>
          <t xml:space="preserve">50ml </t>
        </is>
      </c>
      <c r="I283" s="36" t="inlineStr">
        <is>
          <t xml:space="preserve">Frasco </t>
        </is>
      </c>
      <c r="J283" s="9" t="inlineStr">
        <is>
          <t xml:space="preserve">Amadeirado da Priprioca / Floral Verde </t>
        </is>
      </c>
      <c r="K283" s="191" t="n"/>
      <c r="L283" s="191" t="n">
        <v>375.9</v>
      </c>
    </row>
    <row r="284" ht="15" customFormat="1" customHeight="1" s="10">
      <c r="B284" s="63" t="inlineStr">
        <is>
          <t>Natura</t>
        </is>
      </c>
      <c r="C284" s="129" t="inlineStr">
        <is>
          <t>Ekos</t>
        </is>
      </c>
      <c r="D284" s="68" t="inlineStr">
        <is>
          <t>Eau De Parfum</t>
        </is>
      </c>
      <c r="E284" s="136">
        <f>TRIM(CONCATENATE(D284, " ", C284, " ", F284, " ", IF(G284&gt;0, G284 &amp; "x" &amp; H284, H284), " ", I284))</f>
        <v/>
      </c>
      <c r="F284" s="9" t="inlineStr">
        <is>
          <t xml:space="preserve">Ryo Chuva </t>
        </is>
      </c>
      <c r="G284" s="131" t="n"/>
      <c r="H284" s="9" t="inlineStr">
        <is>
          <t xml:space="preserve">50ml </t>
        </is>
      </c>
      <c r="I284" s="36" t="inlineStr">
        <is>
          <t xml:space="preserve">Frasco </t>
        </is>
      </c>
      <c r="J284" s="9" t="inlineStr">
        <is>
          <t xml:space="preserve"> Cítrico Aquoso / Viva / Intensa </t>
        </is>
      </c>
      <c r="K284" s="191" t="n"/>
      <c r="L284" s="191" t="n">
        <v>189.9</v>
      </c>
    </row>
    <row r="285" ht="15" customFormat="1" customHeight="1" s="10">
      <c r="B285" s="63" t="inlineStr">
        <is>
          <t>Natura</t>
        </is>
      </c>
      <c r="C285" s="129" t="inlineStr">
        <is>
          <t>Ekos</t>
        </is>
      </c>
      <c r="D285" s="68" t="inlineStr">
        <is>
          <t>Eau De Parfum</t>
        </is>
      </c>
      <c r="E285" s="136">
        <f>TRIM(CONCATENATE(D285, " ", C285, " ", F285, " ", IF(G285&gt;0, G285 &amp; "x" &amp; H285, H285), " ", I285))</f>
        <v/>
      </c>
      <c r="F285" s="9" t="inlineStr">
        <is>
          <t xml:space="preserve">Ryo Festa </t>
        </is>
      </c>
      <c r="G285" s="131" t="n"/>
      <c r="H285" s="9" t="inlineStr">
        <is>
          <t xml:space="preserve">50ml </t>
        </is>
      </c>
      <c r="I285" s="36" t="inlineStr">
        <is>
          <t xml:space="preserve">Frasco </t>
        </is>
      </c>
      <c r="J285" s="9" t="inlineStr">
        <is>
          <t xml:space="preserve">Amadeirado / Aquoso / Vibrante / Potente </t>
        </is>
      </c>
      <c r="K285" s="191" t="n"/>
      <c r="L285" s="191" t="n">
        <v>189.9</v>
      </c>
    </row>
    <row r="286" ht="15" customFormat="1" customHeight="1" s="10">
      <c r="B286" s="63" t="inlineStr">
        <is>
          <t>Natura</t>
        </is>
      </c>
      <c r="C286" s="129" t="inlineStr">
        <is>
          <t>Ekos</t>
        </is>
      </c>
      <c r="D286" s="68" t="inlineStr">
        <is>
          <t>Eau De Parfum</t>
        </is>
      </c>
      <c r="E286" s="136">
        <f>TRIM(CONCATENATE(D286, " ", C286, " ", F286, " ", IF(G286&gt;0, G286 &amp; "x" &amp; H286, H286), " ", I286))</f>
        <v/>
      </c>
      <c r="F286" s="9" t="inlineStr">
        <is>
          <t>Ryo Vivo</t>
        </is>
      </c>
      <c r="G286" s="131" t="n"/>
      <c r="H286" s="9" t="inlineStr">
        <is>
          <t xml:space="preserve">50ml </t>
        </is>
      </c>
      <c r="I286" s="36" t="inlineStr">
        <is>
          <t xml:space="preserve">Frasco </t>
        </is>
      </c>
      <c r="J286" s="99" t="inlineStr">
        <is>
          <t xml:space="preserve">Floral Aquoso / Afetivo / Delicadfo </t>
        </is>
      </c>
      <c r="K286" s="191" t="n"/>
      <c r="L286" s="191" t="n">
        <v>189.9</v>
      </c>
    </row>
    <row r="287" ht="15" customFormat="1" customHeight="1" s="10">
      <c r="A287" t="inlineStr">
        <is>
          <t>NATBRA-112866</t>
        </is>
      </c>
      <c r="B287" s="63" t="inlineStr">
        <is>
          <t>Natura</t>
        </is>
      </c>
      <c r="C287" s="73" t="inlineStr">
        <is>
          <t>Humor</t>
        </is>
      </c>
      <c r="D287" s="66" t="inlineStr">
        <is>
          <t>Shampoo 3 em 1</t>
        </is>
      </c>
      <c r="E287" s="136">
        <f>TRIM(CONCATENATE(D287, " ", C287, " ", F287, " ", IF(G287&gt;0, G287 &amp; "x" &amp; H287, H287), " ", I287))</f>
        <v/>
      </c>
      <c r="F287" s="140" t="inlineStr">
        <is>
          <t xml:space="preserve">Humor A Dois Masculino </t>
        </is>
      </c>
      <c r="G287" s="131" t="n"/>
      <c r="H287" s="99" t="inlineStr">
        <is>
          <t xml:space="preserve">100ml </t>
        </is>
      </c>
      <c r="I287" s="36" t="inlineStr">
        <is>
          <t xml:space="preserve">Frasco </t>
        </is>
      </c>
      <c r="J287" s="101" t="inlineStr">
        <is>
          <t>Cuidado completo com fragrância leve e irreverente, que agrada a todos. Fórmula multifuncional. Pode ser usado no cabelo, corpo e barba. Limpa, condiciona e estiliza. Praticidade e frescor em um único produto.</t>
        </is>
      </c>
      <c r="K287" s="190" t="n"/>
      <c r="L287" s="190" t="n">
        <v>59.04</v>
      </c>
    </row>
    <row r="288" ht="15" customFormat="1" customHeight="1" s="10">
      <c r="B288" s="63" t="inlineStr">
        <is>
          <t>Natura</t>
        </is>
      </c>
      <c r="C288" s="73" t="inlineStr">
        <is>
          <t>Humor</t>
        </is>
      </c>
      <c r="D288" s="64" t="inlineStr">
        <is>
          <t>Colonia</t>
        </is>
      </c>
      <c r="E288" s="136">
        <f>TRIM(CONCATENATE(D288, " ", C288, " ", F288, " ", IF(G288&gt;0, G288 &amp; "x" &amp; H288, H288), " ", I288))</f>
        <v/>
      </c>
      <c r="F288" s="128" t="inlineStr">
        <is>
          <t xml:space="preserve">A Rigor Masculino </t>
        </is>
      </c>
      <c r="G288" s="131" t="n"/>
      <c r="H288" s="99" t="inlineStr">
        <is>
          <t xml:space="preserve">75ml </t>
        </is>
      </c>
      <c r="I288" s="36" t="inlineStr">
        <is>
          <t xml:space="preserve">Frasco </t>
        </is>
      </c>
      <c r="J288" s="9" t="inlineStr">
        <is>
          <t xml:space="preserve">Notas de Bergamota e Pimenta </t>
        </is>
      </c>
      <c r="K288" s="9" t="n"/>
      <c r="L288" s="9" t="inlineStr">
        <is>
          <t xml:space="preserve">R$ 154, 90 </t>
        </is>
      </c>
    </row>
    <row r="289" ht="15" customHeight="1" s="145">
      <c r="B289" s="63" t="inlineStr">
        <is>
          <t>Natura</t>
        </is>
      </c>
      <c r="C289" s="73" t="inlineStr">
        <is>
          <t>Humor</t>
        </is>
      </c>
      <c r="D289" s="64" t="inlineStr">
        <is>
          <t>Colonia</t>
        </is>
      </c>
      <c r="E289" s="136">
        <f>TRIM(CONCATENATE(D289, " ", C289, " ", F289, " ", IF(G289&gt;0, G289 &amp; "x" &amp; H289, H289), " ", I289))</f>
        <v/>
      </c>
      <c r="F289" s="124" t="inlineStr">
        <is>
          <t xml:space="preserve"> Beijo de Humor Masculino </t>
        </is>
      </c>
      <c r="G289" s="131" t="n"/>
      <c r="H289" s="9" t="inlineStr">
        <is>
          <t xml:space="preserve">75ml </t>
        </is>
      </c>
      <c r="I289" s="36" t="inlineStr">
        <is>
          <t xml:space="preserve">Frasco </t>
        </is>
      </c>
      <c r="J289" s="11" t="inlineStr">
        <is>
          <t xml:space="preserve">Especiarias Quentes \ notas de Ameixa toque de Cacau Cremoso </t>
        </is>
      </c>
      <c r="K289" s="9" t="n"/>
      <c r="L289" s="9" t="inlineStr">
        <is>
          <t xml:space="preserve">R$ 154, 90 </t>
        </is>
      </c>
    </row>
    <row r="290" ht="15" customHeight="1" s="145">
      <c r="B290" s="63" t="inlineStr">
        <is>
          <t>Natura</t>
        </is>
      </c>
      <c r="C290" s="73" t="inlineStr">
        <is>
          <t>Humor</t>
        </is>
      </c>
      <c r="D290" s="64" t="inlineStr">
        <is>
          <t>Colonia</t>
        </is>
      </c>
      <c r="E290" s="136">
        <f>TRIM(CONCATENATE(D290, " ", C290, " ", F290, " ", IF(G290&gt;0, G290 &amp; "x" &amp; H290, H290), " ", I290))</f>
        <v/>
      </c>
      <c r="F290" s="2" t="inlineStr">
        <is>
          <t xml:space="preserve">Conexão de Humor Masculino </t>
        </is>
      </c>
      <c r="G290" s="131" t="n"/>
      <c r="H290" s="9" t="inlineStr">
        <is>
          <t xml:space="preserve">75ml </t>
        </is>
      </c>
      <c r="I290" s="36" t="inlineStr">
        <is>
          <t xml:space="preserve">Frasco </t>
        </is>
      </c>
      <c r="J290" s="11" t="inlineStr">
        <is>
          <t xml:space="preserve">Amadeirado Frutal </t>
        </is>
      </c>
      <c r="K290" s="9" t="n"/>
      <c r="L290" s="9" t="inlineStr">
        <is>
          <t xml:space="preserve">R$ 154, 90 </t>
        </is>
      </c>
    </row>
    <row r="291" ht="15" customHeight="1" s="145">
      <c r="B291" s="63" t="inlineStr">
        <is>
          <t>Natura</t>
        </is>
      </c>
      <c r="C291" s="73" t="inlineStr">
        <is>
          <t>Humor</t>
        </is>
      </c>
      <c r="D291" s="64" t="inlineStr">
        <is>
          <t>Colonia</t>
        </is>
      </c>
      <c r="E291" s="136">
        <f>TRIM(CONCATENATE(D291, " ", C291, " ", F291, " ", IF(G291&gt;0, G291 &amp; "x" &amp; H291, H291), " ", I291))</f>
        <v/>
      </c>
      <c r="F291" s="124" t="inlineStr">
        <is>
          <t xml:space="preserve">Humor On - line Masculino </t>
        </is>
      </c>
      <c r="G291" s="131" t="n"/>
      <c r="H291" s="9" t="inlineStr">
        <is>
          <t xml:space="preserve">75ml </t>
        </is>
      </c>
      <c r="I291" s="36" t="inlineStr">
        <is>
          <t xml:space="preserve">Frasco </t>
        </is>
      </c>
      <c r="J291" s="11" t="inlineStr">
        <is>
          <t xml:space="preserve">Notas Citricas e Pimenta Rosa </t>
        </is>
      </c>
      <c r="K291" s="9" t="n"/>
      <c r="L291" s="9" t="inlineStr">
        <is>
          <t xml:space="preserve">R$ 154, 90 </t>
        </is>
      </c>
    </row>
    <row r="292" ht="15" customHeight="1" s="145">
      <c r="B292" s="63" t="inlineStr">
        <is>
          <t>Natura</t>
        </is>
      </c>
      <c r="C292" s="73" t="inlineStr">
        <is>
          <t>Humor</t>
        </is>
      </c>
      <c r="D292" s="64" t="inlineStr">
        <is>
          <t>Colonia</t>
        </is>
      </c>
      <c r="E292" s="136">
        <f>TRIM(CONCATENATE(D292, " ", C292, " ", F292, " ", IF(G292&gt;0, G292 &amp; "x" &amp; H292, H292), " ", I292))</f>
        <v/>
      </c>
      <c r="F292" s="2" t="inlineStr">
        <is>
          <t xml:space="preserve">Humor Paz e Humor Masculino </t>
        </is>
      </c>
      <c r="G292" s="131" t="n"/>
      <c r="H292" s="9" t="inlineStr">
        <is>
          <t xml:space="preserve">75ml </t>
        </is>
      </c>
      <c r="I292" s="36" t="inlineStr">
        <is>
          <t xml:space="preserve">Frasco </t>
        </is>
      </c>
      <c r="J292" s="124" t="inlineStr">
        <is>
          <t xml:space="preserve">Aromatico Moderado </t>
        </is>
      </c>
      <c r="K292" s="9" t="n"/>
      <c r="L292" s="9" t="inlineStr">
        <is>
          <t xml:space="preserve">R$ 154, 90 </t>
        </is>
      </c>
    </row>
    <row r="293" ht="15" customHeight="1" s="145">
      <c r="B293" s="63" t="inlineStr">
        <is>
          <t>Natura</t>
        </is>
      </c>
      <c r="C293" s="73" t="inlineStr">
        <is>
          <t>Humor</t>
        </is>
      </c>
      <c r="D293" s="64" t="inlineStr">
        <is>
          <t>Colonia</t>
        </is>
      </c>
      <c r="E293" s="136">
        <f>TRIM(CONCATENATE(D293, " ", C293, " ", F293, " ", IF(G293&gt;0, G293 &amp; "x" &amp; H293, H293), " ", I293))</f>
        <v/>
      </c>
      <c r="F293" s="2" t="inlineStr">
        <is>
          <t xml:space="preserve">Química de Humor Masculino </t>
        </is>
      </c>
      <c r="G293" s="131" t="n"/>
      <c r="H293" s="9" t="inlineStr">
        <is>
          <t xml:space="preserve">75ml </t>
        </is>
      </c>
      <c r="I293" s="36" t="inlineStr">
        <is>
          <t xml:space="preserve">Frasco </t>
        </is>
      </c>
      <c r="J293" s="124" t="inlineStr">
        <is>
          <t xml:space="preserve">Amadeirado moderado </t>
        </is>
      </c>
      <c r="K293" s="9" t="n"/>
      <c r="L293" s="9" t="inlineStr">
        <is>
          <t xml:space="preserve">R$ 154, 90 </t>
        </is>
      </c>
    </row>
    <row r="294" ht="15" customHeight="1" s="145">
      <c r="A294" t="inlineStr">
        <is>
          <t>NATBRA-782675</t>
        </is>
      </c>
      <c r="B294" s="63" t="inlineStr">
        <is>
          <t>Natura</t>
        </is>
      </c>
      <c r="C294" s="73" t="inlineStr">
        <is>
          <t>Humor</t>
        </is>
      </c>
      <c r="D294" s="64" t="inlineStr">
        <is>
          <t>Colonia</t>
        </is>
      </c>
      <c r="E294" s="136">
        <f>TRIM(CONCATENATE(D294, " ", C294, " ", F294, " ", IF(G294&gt;0, G294 &amp; "x" &amp; H294, H294), " ", I294))</f>
        <v/>
      </c>
      <c r="F294" s="122" t="inlineStr">
        <is>
          <t xml:space="preserve">Humor A Dois Masculino </t>
        </is>
      </c>
      <c r="G294" s="131" t="n"/>
      <c r="H294" s="9" t="inlineStr">
        <is>
          <t xml:space="preserve">75ml </t>
        </is>
      </c>
      <c r="I294" s="36" t="inlineStr">
        <is>
          <t xml:space="preserve">Frasco </t>
        </is>
      </c>
      <c r="J294" s="124" t="inlineStr">
        <is>
          <t xml:space="preserve">Elixir Momentos Casais </t>
        </is>
      </c>
      <c r="K294" s="9" t="n"/>
      <c r="L294" s="9" t="n"/>
    </row>
    <row r="295" ht="15" customHeight="1" s="145">
      <c r="B295" s="63" t="inlineStr">
        <is>
          <t>Natura</t>
        </is>
      </c>
      <c r="C295" s="73" t="inlineStr">
        <is>
          <t>Humor</t>
        </is>
      </c>
      <c r="D295" s="64" t="inlineStr">
        <is>
          <t>Colonia</t>
        </is>
      </c>
      <c r="E295" s="136">
        <f>TRIM(CONCATENATE(D295, " ", C295, " ", F295, " ", IF(G295&gt;0, G295 &amp; "x" &amp; H295, H295), " ", I295))</f>
        <v/>
      </c>
      <c r="F295" s="124" t="inlineStr">
        <is>
          <t>Beijo de Humor Feminino</t>
        </is>
      </c>
      <c r="G295" s="131" t="n"/>
      <c r="H295" s="9" t="inlineStr">
        <is>
          <t xml:space="preserve">75ml </t>
        </is>
      </c>
      <c r="I295" s="31" t="inlineStr">
        <is>
          <t xml:space="preserve">Frasco </t>
        </is>
      </c>
      <c r="J295" s="11" t="inlineStr">
        <is>
          <t xml:space="preserve">Notas Ameixa c\ Sandelo e um toque Cacau </t>
        </is>
      </c>
      <c r="K295" s="9" t="n"/>
      <c r="L295" s="9" t="inlineStr">
        <is>
          <t xml:space="preserve">R$ 154, 90 </t>
        </is>
      </c>
    </row>
    <row r="296" ht="15" customHeight="1" s="145">
      <c r="B296" s="63" t="inlineStr">
        <is>
          <t>Natura</t>
        </is>
      </c>
      <c r="C296" s="73" t="inlineStr">
        <is>
          <t>Humor</t>
        </is>
      </c>
      <c r="D296" s="64" t="inlineStr">
        <is>
          <t>Colonia</t>
        </is>
      </c>
      <c r="E296" s="136">
        <f>TRIM(CONCATENATE(D296, " ", C296, " ", F296, " ", IF(G296&gt;0, G296 &amp; "x" &amp; H296, H296), " ", I296))</f>
        <v/>
      </c>
      <c r="F296" s="2" t="inlineStr">
        <is>
          <t>Festival De Humor Feminino</t>
        </is>
      </c>
      <c r="G296" s="131" t="n"/>
      <c r="H296" s="9" t="inlineStr">
        <is>
          <t xml:space="preserve">75ml </t>
        </is>
      </c>
      <c r="I296" s="31" t="inlineStr">
        <is>
          <t xml:space="preserve">Frasco </t>
        </is>
      </c>
      <c r="J296" s="11" t="inlineStr">
        <is>
          <t xml:space="preserve">Frutal \ Notas Eletrizantes </t>
        </is>
      </c>
      <c r="K296" s="9" t="n"/>
      <c r="L296" s="9" t="inlineStr">
        <is>
          <t xml:space="preserve">R$ 154, 90 </t>
        </is>
      </c>
    </row>
    <row r="297" ht="15" customHeight="1" s="145">
      <c r="B297" s="63" t="inlineStr">
        <is>
          <t>Natura</t>
        </is>
      </c>
      <c r="C297" s="73" t="inlineStr">
        <is>
          <t>Humor</t>
        </is>
      </c>
      <c r="D297" s="64" t="inlineStr">
        <is>
          <t>Colonia</t>
        </is>
      </c>
      <c r="E297" s="136">
        <f>TRIM(CONCATENATE(D297, " ", C297, " ", F297, " ", IF(G297&gt;0, G297 &amp; "x" &amp; H297, H297), " ", I297))</f>
        <v/>
      </c>
      <c r="F297" s="2" t="inlineStr">
        <is>
          <t>Humor Proprio Feminino</t>
        </is>
      </c>
      <c r="G297" s="131" t="n"/>
      <c r="H297" s="9" t="inlineStr">
        <is>
          <t xml:space="preserve">75ml </t>
        </is>
      </c>
      <c r="I297" s="31" t="inlineStr">
        <is>
          <t xml:space="preserve">Frasco </t>
        </is>
      </c>
      <c r="J297" s="11" t="inlineStr">
        <is>
          <t xml:space="preserve">Adocicado Moderado </t>
        </is>
      </c>
      <c r="K297" s="9" t="n"/>
      <c r="L297" s="9" t="inlineStr">
        <is>
          <t xml:space="preserve">R$ 154, 90 </t>
        </is>
      </c>
    </row>
    <row r="298" ht="15" customHeight="1" s="145">
      <c r="B298" s="63" t="inlineStr">
        <is>
          <t>Natura</t>
        </is>
      </c>
      <c r="C298" s="73" t="inlineStr">
        <is>
          <t>Humor</t>
        </is>
      </c>
      <c r="D298" s="64" t="inlineStr">
        <is>
          <t>Colonia</t>
        </is>
      </c>
      <c r="E298" s="136">
        <f>TRIM(CONCATENATE(D298, " ", C298, " ", F298, " ", IF(G298&gt;0, G298 &amp; "x" &amp; H298, H298), " ", I298))</f>
        <v/>
      </c>
      <c r="F298" s="2" t="inlineStr">
        <is>
          <t>Humor On-line Feminino</t>
        </is>
      </c>
      <c r="G298" s="131" t="n"/>
      <c r="H298" s="9" t="inlineStr">
        <is>
          <t xml:space="preserve">75ml </t>
        </is>
      </c>
      <c r="I298" s="31" t="inlineStr">
        <is>
          <t xml:space="preserve">Frasco </t>
        </is>
      </c>
      <c r="J298" s="124" t="inlineStr">
        <is>
          <t xml:space="preserve">combinção notas Frutais com Cítricas </t>
        </is>
      </c>
      <c r="K298" s="9" t="n"/>
      <c r="L298" s="9" t="inlineStr">
        <is>
          <t xml:space="preserve">R$ 154, 90 </t>
        </is>
      </c>
    </row>
    <row r="299" ht="15" customHeight="1" s="145">
      <c r="B299" s="63" t="inlineStr">
        <is>
          <t>Natura</t>
        </is>
      </c>
      <c r="C299" s="73" t="inlineStr">
        <is>
          <t>Humor</t>
        </is>
      </c>
      <c r="D299" s="64" t="inlineStr">
        <is>
          <t>Colonia</t>
        </is>
      </c>
      <c r="E299" s="136">
        <f>TRIM(CONCATENATE(D299, " ", C299, " ", F299, " ", IF(G299&gt;0, G299 &amp; "x" &amp; H299, H299), " ", I299))</f>
        <v/>
      </c>
      <c r="F299" s="2" t="inlineStr">
        <is>
          <t>Meu Primeiro Humor Feminino</t>
        </is>
      </c>
      <c r="G299" s="131" t="n"/>
      <c r="H299" s="9" t="inlineStr">
        <is>
          <t xml:space="preserve">75ml </t>
        </is>
      </c>
      <c r="I299" s="31" t="inlineStr">
        <is>
          <t xml:space="preserve">Frasco </t>
        </is>
      </c>
      <c r="J299" s="11" t="inlineStr">
        <is>
          <t xml:space="preserve">Frutal Moderado </t>
        </is>
      </c>
      <c r="K299" s="9" t="n"/>
      <c r="L299" s="9" t="inlineStr">
        <is>
          <t xml:space="preserve">R$ 154, 90 </t>
        </is>
      </c>
    </row>
    <row r="300" ht="15" customHeight="1" s="145">
      <c r="B300" s="63" t="inlineStr">
        <is>
          <t>Natura</t>
        </is>
      </c>
      <c r="C300" s="73" t="inlineStr">
        <is>
          <t>Humor</t>
        </is>
      </c>
      <c r="D300" s="64" t="inlineStr">
        <is>
          <t>Colonia</t>
        </is>
      </c>
      <c r="E300" s="136">
        <f>TRIM(CONCATENATE(D300, " ", C300, " ", F300, " ", IF(G300&gt;0, G300 &amp; "x" &amp; H300, H300), " ", I300))</f>
        <v/>
      </c>
      <c r="F300" s="2" t="inlineStr">
        <is>
          <t>Quimica de Humor Feminino</t>
        </is>
      </c>
      <c r="G300" s="131" t="n"/>
      <c r="H300" s="9" t="inlineStr">
        <is>
          <t xml:space="preserve">75ml </t>
        </is>
      </c>
      <c r="I300" s="31" t="inlineStr">
        <is>
          <t xml:space="preserve">Frasco </t>
        </is>
      </c>
      <c r="J300" s="11" t="inlineStr">
        <is>
          <t xml:space="preserve">Frutal Moderado </t>
        </is>
      </c>
      <c r="K300" s="9" t="n"/>
      <c r="L300" s="9" t="inlineStr">
        <is>
          <t xml:space="preserve">R$ 154, 90 </t>
        </is>
      </c>
    </row>
    <row r="301" ht="15" customHeight="1" s="145">
      <c r="B301" s="63" t="inlineStr">
        <is>
          <t>Natura</t>
        </is>
      </c>
      <c r="C301" s="73" t="inlineStr">
        <is>
          <t>Humor</t>
        </is>
      </c>
      <c r="D301" s="64" t="inlineStr">
        <is>
          <t>Colonia</t>
        </is>
      </c>
      <c r="E301" s="136">
        <f>TRIM(CONCATENATE(D301, " ", C301, " ", F301, " ", IF(G301&gt;0, G301 &amp; "x" &amp; H301, H301), " ", I301))</f>
        <v/>
      </c>
      <c r="F301" s="2" t="inlineStr">
        <is>
          <t>Humor + Beijos Feminino</t>
        </is>
      </c>
      <c r="G301" s="131" t="n"/>
      <c r="H301" s="9" t="inlineStr">
        <is>
          <t xml:space="preserve">24ml </t>
        </is>
      </c>
      <c r="I301" s="31" t="inlineStr">
        <is>
          <t xml:space="preserve">Frasco </t>
        </is>
      </c>
      <c r="J301" s="141" t="inlineStr">
        <is>
          <t xml:space="preserve">Elixir \ Essencia para momentos de casal </t>
        </is>
      </c>
      <c r="K301" s="9" t="n"/>
      <c r="L301" s="9" t="n"/>
    </row>
    <row r="302" ht="15" customHeight="1" s="145">
      <c r="B302" s="63" t="inlineStr">
        <is>
          <t>Natura</t>
        </is>
      </c>
      <c r="C302" s="73" t="inlineStr">
        <is>
          <t>Humor</t>
        </is>
      </c>
      <c r="D302" s="64" t="inlineStr">
        <is>
          <t>Colonia</t>
        </is>
      </c>
      <c r="E302" s="136">
        <f>TRIM(CONCATENATE(D302, " ", C302, " ", F302, " ", IF(G302&gt;0, G302 &amp; "x" &amp; H302, H302), " ", I302))</f>
        <v/>
      </c>
      <c r="F302" s="124" t="inlineStr">
        <is>
          <t>Humor Envolve Unisex</t>
        </is>
      </c>
      <c r="G302" s="131" t="n"/>
      <c r="H302" s="9" t="inlineStr">
        <is>
          <t xml:space="preserve">75ml </t>
        </is>
      </c>
      <c r="I302" s="36" t="inlineStr">
        <is>
          <t xml:space="preserve">Frasco </t>
        </is>
      </c>
      <c r="J302" s="11" t="inlineStr">
        <is>
          <t>Floral Envolvente</t>
        </is>
      </c>
      <c r="K302" s="9" t="n"/>
      <c r="L302" s="9" t="inlineStr">
        <is>
          <t xml:space="preserve">R$ 154, 90 </t>
        </is>
      </c>
    </row>
    <row r="303" ht="15" customHeight="1" s="145">
      <c r="B303" s="63" t="inlineStr">
        <is>
          <t>Natura</t>
        </is>
      </c>
      <c r="C303" s="73" t="inlineStr">
        <is>
          <t>Humor</t>
        </is>
      </c>
      <c r="D303" s="64" t="inlineStr">
        <is>
          <t>Colonia</t>
        </is>
      </c>
      <c r="E303" s="136">
        <f>TRIM(CONCATENATE(D303, " ", C303, " ", F303, " ", IF(G303&gt;0, G303 &amp; "x" &amp; H303, H303), " ", I303))</f>
        <v/>
      </c>
      <c r="F303" s="2" t="inlineStr">
        <is>
          <t>Humor Liberta Unisex</t>
        </is>
      </c>
      <c r="G303" s="131" t="n"/>
      <c r="H303" s="9" t="inlineStr">
        <is>
          <t xml:space="preserve">75 ml </t>
        </is>
      </c>
      <c r="I303" s="36" t="inlineStr">
        <is>
          <t xml:space="preserve">Frasco </t>
        </is>
      </c>
      <c r="J303" s="11" t="inlineStr">
        <is>
          <t xml:space="preserve">Amadeirado Frutal </t>
        </is>
      </c>
      <c r="K303" s="9" t="n"/>
      <c r="L303" s="9" t="inlineStr">
        <is>
          <t xml:space="preserve">R$ 154, 90 </t>
        </is>
      </c>
    </row>
    <row r="304" ht="15" customHeight="1" s="145">
      <c r="B304" s="63" t="inlineStr">
        <is>
          <t>Natura</t>
        </is>
      </c>
      <c r="C304" s="73" t="inlineStr">
        <is>
          <t>Humor</t>
        </is>
      </c>
      <c r="D304" s="64" t="inlineStr">
        <is>
          <t>Colonia</t>
        </is>
      </c>
      <c r="E304" s="136">
        <f>TRIM(CONCATENATE(D304, " ", C304, " ", F304, " ", IF(G304&gt;0, G304 &amp; "x" &amp; H304, H304), " ", I304))</f>
        <v/>
      </c>
      <c r="F304" s="2" t="inlineStr">
        <is>
          <t>Humor Transforma Unisex</t>
        </is>
      </c>
      <c r="G304" s="131" t="n"/>
      <c r="H304" s="9" t="inlineStr">
        <is>
          <t xml:space="preserve">75 ml </t>
        </is>
      </c>
      <c r="I304" s="36" t="inlineStr">
        <is>
          <t xml:space="preserve">Frasco </t>
        </is>
      </c>
      <c r="J304" s="11" t="inlineStr">
        <is>
          <t xml:space="preserve">Amadeirado Especiado </t>
        </is>
      </c>
      <c r="K304" s="9" t="n"/>
      <c r="L304" s="9" t="inlineStr">
        <is>
          <t xml:space="preserve">R$ 154, 90 </t>
        </is>
      </c>
    </row>
    <row r="305" ht="15" customHeight="1" s="145">
      <c r="A305" t="inlineStr">
        <is>
          <t>NATBRA-86723</t>
        </is>
      </c>
      <c r="B305" s="63" t="inlineStr">
        <is>
          <t>Natura</t>
        </is>
      </c>
      <c r="C305" s="73" t="inlineStr">
        <is>
          <t>Humor</t>
        </is>
      </c>
      <c r="D305" s="64" t="inlineStr">
        <is>
          <t>Desodorante Corporal</t>
        </is>
      </c>
      <c r="E305" s="136">
        <f>TRIM(CONCATENATE(D305, " ", C305, " ", F305, " ", IF(G305&gt;0, G305 &amp; "x" &amp; H305, H305), " ", I305))</f>
        <v/>
      </c>
      <c r="F305" s="2" t="inlineStr">
        <is>
          <t>Meu Primeiro Humor</t>
        </is>
      </c>
      <c r="G305" s="131" t="n"/>
      <c r="H305" s="2" t="inlineStr">
        <is>
          <t xml:space="preserve">100ml </t>
        </is>
      </c>
      <c r="I305" s="33" t="inlineStr">
        <is>
          <t xml:space="preserve">Frasco </t>
        </is>
      </c>
      <c r="J305" s="11" t="inlineStr">
        <is>
          <t xml:space="preserve">Frutal Moderado </t>
        </is>
      </c>
      <c r="K305" s="180" t="n"/>
      <c r="L305" s="180" t="n">
        <v>54.9</v>
      </c>
    </row>
    <row r="306" ht="15" customHeight="1" s="145">
      <c r="B306" s="63" t="inlineStr">
        <is>
          <t>Natura</t>
        </is>
      </c>
      <c r="C306" s="73" t="inlineStr">
        <is>
          <t>Humor</t>
        </is>
      </c>
      <c r="D306" s="64" t="inlineStr">
        <is>
          <t>Desodorante Corporal</t>
        </is>
      </c>
      <c r="E306" s="136">
        <f>TRIM(CONCATENATE(D306, " ", C306, " ", F306, " ", IF(G306&gt;0, G306 &amp; "x" &amp; H306, H306), " ", I306))</f>
        <v/>
      </c>
      <c r="F306" s="2" t="inlineStr">
        <is>
          <t xml:space="preserve">Conexão de Humor </t>
        </is>
      </c>
      <c r="G306" s="131" t="n"/>
      <c r="H306" s="2" t="inlineStr">
        <is>
          <t xml:space="preserve">100ml </t>
        </is>
      </c>
      <c r="I306" s="33" t="inlineStr">
        <is>
          <t xml:space="preserve">Frasco </t>
        </is>
      </c>
      <c r="J306" s="11" t="inlineStr">
        <is>
          <t xml:space="preserve">Amadeirada Frutal </t>
        </is>
      </c>
      <c r="K306" s="180" t="n"/>
      <c r="L306" s="180" t="n">
        <v>54.9</v>
      </c>
    </row>
    <row r="307" ht="15" customHeight="1" s="145">
      <c r="B307" s="63" t="inlineStr">
        <is>
          <t>Natura</t>
        </is>
      </c>
      <c r="C307" s="73" t="inlineStr">
        <is>
          <t>Humor</t>
        </is>
      </c>
      <c r="D307" s="64" t="inlineStr">
        <is>
          <t>Desodorante Corporal</t>
        </is>
      </c>
      <c r="E307" s="136">
        <f>TRIM(CONCATENATE(D307, " ", C307, " ", F307, " ", IF(G307&gt;0, G307 &amp; "x" &amp; H307, H307), " ", I307))</f>
        <v/>
      </c>
      <c r="F307" s="124" t="inlineStr">
        <is>
          <t xml:space="preserve">Festivel De Humor </t>
        </is>
      </c>
      <c r="G307" s="131" t="n"/>
      <c r="H307" s="2" t="inlineStr">
        <is>
          <t xml:space="preserve">100ml </t>
        </is>
      </c>
      <c r="I307" s="31" t="inlineStr">
        <is>
          <t xml:space="preserve">Refil </t>
        </is>
      </c>
      <c r="J307" s="11" t="inlineStr">
        <is>
          <t xml:space="preserve">Frutal Moderado </t>
        </is>
      </c>
      <c r="K307" s="180" t="n"/>
      <c r="L307" s="180" t="n">
        <v>54.9</v>
      </c>
    </row>
    <row r="308" ht="15" customHeight="1" s="145">
      <c r="B308" s="63" t="inlineStr">
        <is>
          <t>Natura</t>
        </is>
      </c>
      <c r="C308" s="73" t="inlineStr">
        <is>
          <t>Humor</t>
        </is>
      </c>
      <c r="D308" s="64" t="inlineStr">
        <is>
          <t>Desodorante Corporal</t>
        </is>
      </c>
      <c r="E308" s="136">
        <f>TRIM(CONCATENATE(D308, " ", C308, " ", F308, " ", IF(G308&gt;0, G308 &amp; "x" &amp; H308, H308), " ", I308))</f>
        <v/>
      </c>
      <c r="F308" s="2" t="inlineStr">
        <is>
          <t>Meu Primeiro Humor</t>
        </is>
      </c>
      <c r="G308" s="131" t="n"/>
      <c r="H308" s="2" t="inlineStr">
        <is>
          <t xml:space="preserve">100ml </t>
        </is>
      </c>
      <c r="I308" s="31" t="inlineStr">
        <is>
          <t xml:space="preserve">Refil </t>
        </is>
      </c>
      <c r="J308" s="11" t="inlineStr">
        <is>
          <t xml:space="preserve">Frutal Moderado </t>
        </is>
      </c>
      <c r="K308" s="180" t="n"/>
      <c r="L308" s="180" t="n">
        <v>54.9</v>
      </c>
    </row>
    <row r="309" ht="15" customHeight="1" s="145">
      <c r="B309" s="63" t="inlineStr">
        <is>
          <t>Natura</t>
        </is>
      </c>
      <c r="C309" s="73" t="inlineStr">
        <is>
          <t>Humor</t>
        </is>
      </c>
      <c r="D309" s="64" t="inlineStr">
        <is>
          <t>Mousse Desodorante</t>
        </is>
      </c>
      <c r="E309" s="136">
        <f>TRIM(CONCATENATE(D309, " ", C309, " ", F309, " ", IF(G309&gt;0, G309 &amp; "x" &amp; H309, H309), " ", I309))</f>
        <v/>
      </c>
      <c r="F309" s="2" t="inlineStr">
        <is>
          <t xml:space="preserve">Humor Proprio </t>
        </is>
      </c>
      <c r="G309" s="131" t="n"/>
      <c r="H309" s="2" t="inlineStr">
        <is>
          <t xml:space="preserve">200g </t>
        </is>
      </c>
      <c r="I309" s="31" t="inlineStr">
        <is>
          <t xml:space="preserve">Pote </t>
        </is>
      </c>
      <c r="J309" s="11" t="n"/>
      <c r="K309" s="2" t="n"/>
      <c r="L309" s="2" t="n"/>
    </row>
    <row r="310" ht="15" customHeight="1" s="145">
      <c r="B310" s="63" t="inlineStr">
        <is>
          <t>Natura</t>
        </is>
      </c>
      <c r="C310" s="73" t="inlineStr">
        <is>
          <t>Humor</t>
        </is>
      </c>
      <c r="D310" s="66" t="inlineStr">
        <is>
          <t xml:space="preserve">Body Splash </t>
        </is>
      </c>
      <c r="E310" s="136">
        <f>TRIM(CONCATENATE(D310, " ", C310, " ", F310, " ", IF(G310&gt;0, G310 &amp; "x" &amp; H310, H310), " ", I310))</f>
        <v/>
      </c>
      <c r="F310" s="2" t="inlineStr">
        <is>
          <t>Meu Primeiro Humor</t>
        </is>
      </c>
      <c r="G310" s="131" t="n"/>
      <c r="H310" s="2" t="inlineStr">
        <is>
          <t xml:space="preserve">200ml </t>
        </is>
      </c>
      <c r="I310" s="31" t="inlineStr">
        <is>
          <t xml:space="preserve">Frasco </t>
        </is>
      </c>
      <c r="J310" s="11" t="inlineStr">
        <is>
          <t xml:space="preserve">Frescor </t>
        </is>
      </c>
      <c r="K310" s="180" t="n"/>
      <c r="L310" s="180" t="n">
        <v>83.90000000000001</v>
      </c>
    </row>
    <row r="311" ht="15" customHeight="1" s="145">
      <c r="B311" s="63" t="inlineStr">
        <is>
          <t>Natura</t>
        </is>
      </c>
      <c r="C311" s="73" t="inlineStr">
        <is>
          <t>Humor</t>
        </is>
      </c>
      <c r="D311" s="64" t="inlineStr">
        <is>
          <t>Sabonete em Barra</t>
        </is>
      </c>
      <c r="E311" s="136">
        <f>TRIM(CONCATENATE(D311, " ", C311, " ", F311, " ", IF(G311&gt;0, G311 &amp; "x" &amp; H311, H311), " ", I311))</f>
        <v/>
      </c>
      <c r="F311" s="2" t="inlineStr">
        <is>
          <t xml:space="preserve">Paz e Humor </t>
        </is>
      </c>
      <c r="G311" s="131" t="n">
        <v>4</v>
      </c>
      <c r="H311" s="2" t="inlineStr">
        <is>
          <t xml:space="preserve">90g </t>
        </is>
      </c>
      <c r="I311" s="125" t="inlineStr">
        <is>
          <t xml:space="preserve">Caixa </t>
        </is>
      </c>
      <c r="J311" s="11" t="inlineStr">
        <is>
          <t xml:space="preserve">Me tensiono Logo medito </t>
        </is>
      </c>
      <c r="K311" s="180" t="n"/>
      <c r="L311" s="180" t="n">
        <v>60</v>
      </c>
    </row>
    <row r="312" ht="15" customHeight="1" s="145">
      <c r="A312" t="inlineStr">
        <is>
          <t>NATBRA-122207</t>
        </is>
      </c>
      <c r="B312" s="63" t="inlineStr">
        <is>
          <t>Natura</t>
        </is>
      </c>
      <c r="C312" s="73" t="inlineStr">
        <is>
          <t>Humor</t>
        </is>
      </c>
      <c r="D312" s="64" t="inlineStr">
        <is>
          <t>Sabonete em Barra</t>
        </is>
      </c>
      <c r="E312" s="136">
        <f>TRIM(CONCATENATE(D312, " ", C312, " ", F312, " ", IF(G312&gt;0, G312 &amp; "x" &amp; H312, H312), " ", I312))</f>
        <v/>
      </c>
      <c r="F312" s="2" t="inlineStr">
        <is>
          <t xml:space="preserve">A Rigor </t>
        </is>
      </c>
      <c r="G312" s="131" t="n">
        <v>1</v>
      </c>
      <c r="H312" s="2" t="inlineStr">
        <is>
          <t xml:space="preserve">90g </t>
        </is>
      </c>
      <c r="I312" s="125" t="inlineStr">
        <is>
          <t xml:space="preserve">Caixa </t>
        </is>
      </c>
      <c r="J312" s="11" t="inlineStr">
        <is>
          <t xml:space="preserve">Hoje a Noite é de Humor </t>
        </is>
      </c>
      <c r="K312" s="180" t="n"/>
      <c r="L312" s="180" t="n">
        <v>13.8</v>
      </c>
    </row>
    <row r="313" ht="15" customHeight="1" s="145">
      <c r="B313" s="63" t="inlineStr">
        <is>
          <t>Natura</t>
        </is>
      </c>
      <c r="C313" s="73" t="inlineStr">
        <is>
          <t>Humor</t>
        </is>
      </c>
      <c r="D313" s="64" t="inlineStr">
        <is>
          <t>Sabonete em Barra</t>
        </is>
      </c>
      <c r="E313" s="136">
        <f>TRIM(CONCATENATE(D313, " ", C313, " ", F313, " ", IF(G313&gt;0, G313 &amp; "x" &amp; H313, H313), " ", I313))</f>
        <v/>
      </c>
      <c r="F313" s="2" t="inlineStr">
        <is>
          <t>Humor Proprio</t>
        </is>
      </c>
      <c r="G313" s="131" t="n">
        <v>2</v>
      </c>
      <c r="H313" s="2" t="inlineStr">
        <is>
          <t xml:space="preserve">90g </t>
        </is>
      </c>
      <c r="I313" s="125" t="inlineStr">
        <is>
          <t xml:space="preserve">Caixa </t>
        </is>
      </c>
      <c r="J313" s="11" t="inlineStr">
        <is>
          <t xml:space="preserve">Meu Proprio Humor </t>
        </is>
      </c>
      <c r="K313" s="180" t="n"/>
      <c r="L313" s="180" t="n">
        <v>15</v>
      </c>
    </row>
    <row r="314" ht="15" customHeight="1" s="145">
      <c r="B314" s="63" t="inlineStr">
        <is>
          <t>Natura</t>
        </is>
      </c>
      <c r="C314" s="73" t="inlineStr">
        <is>
          <t>Humor</t>
        </is>
      </c>
      <c r="D314" s="64" t="inlineStr">
        <is>
          <t>Gel luminador Hidratante e Desodorante</t>
        </is>
      </c>
      <c r="E314" s="136">
        <f>TRIM(CONCATENATE(D314, " ", C314, " ", F314, " ", IF(G314&gt;0, G314 &amp; "x" &amp; H314, H314), " ", I314))</f>
        <v/>
      </c>
      <c r="F314" s="2" t="inlineStr">
        <is>
          <t>Humor Proprio</t>
        </is>
      </c>
      <c r="G314" s="131" t="n">
        <v>1</v>
      </c>
      <c r="H314" s="2" t="inlineStr">
        <is>
          <t xml:space="preserve">200g </t>
        </is>
      </c>
      <c r="I314" s="125" t="inlineStr">
        <is>
          <t xml:space="preserve">Caixa </t>
        </is>
      </c>
      <c r="J314" s="11" t="inlineStr">
        <is>
          <t xml:space="preserve">Gel Hidratante Iluminador </t>
        </is>
      </c>
      <c r="K314" s="11" t="n"/>
      <c r="L314" s="11" t="n"/>
    </row>
    <row r="315" ht="15" customHeight="1" s="145">
      <c r="B315" s="63" t="inlineStr">
        <is>
          <t>Natura</t>
        </is>
      </c>
      <c r="C315" s="73" t="inlineStr">
        <is>
          <t>Humor</t>
        </is>
      </c>
      <c r="D315" s="64" t="inlineStr">
        <is>
          <t xml:space="preserve">Creme Hidrantante Para Mãos </t>
        </is>
      </c>
      <c r="E315" s="136">
        <f>TRIM(CONCATENATE(D315, " ", C315, " ", F315, " ", IF(G315&gt;0, G315 &amp; "x" &amp; H315, H315), " ", I315))</f>
        <v/>
      </c>
      <c r="F315" s="2" t="inlineStr">
        <is>
          <t xml:space="preserve">Humor Proprio </t>
        </is>
      </c>
      <c r="G315" s="131" t="n"/>
      <c r="H315" s="2" t="inlineStr">
        <is>
          <t>40g</t>
        </is>
      </c>
      <c r="I315" s="31" t="inlineStr">
        <is>
          <t xml:space="preserve">Frasco </t>
        </is>
      </c>
      <c r="J315" s="11" t="inlineStr">
        <is>
          <t xml:space="preserve">Hidratante Para ás Mãos </t>
        </is>
      </c>
      <c r="K315" s="180" t="n"/>
      <c r="L315" s="180" t="n">
        <v>42.9</v>
      </c>
    </row>
    <row r="316" ht="15" customHeight="1" s="145">
      <c r="B316" s="63" t="inlineStr">
        <is>
          <t>Natura</t>
        </is>
      </c>
      <c r="C316" s="73" t="inlineStr">
        <is>
          <t>Humor</t>
        </is>
      </c>
      <c r="D316" s="64" t="inlineStr">
        <is>
          <t xml:space="preserve">Geleia de Banho </t>
        </is>
      </c>
      <c r="E316" s="136">
        <f>TRIM(CONCATENATE(D316, " ", C316, " ", F316, " ", IF(G316&gt;0, G316 &amp; "x" &amp; H316, H316), " ", I316))</f>
        <v/>
      </c>
      <c r="F316" s="2" t="inlineStr">
        <is>
          <t>Humor Off-line</t>
        </is>
      </c>
      <c r="G316" s="131" t="n"/>
      <c r="H316" s="2" t="inlineStr">
        <is>
          <t>125g</t>
        </is>
      </c>
      <c r="I316" s="31" t="inlineStr">
        <is>
          <t xml:space="preserve">Frasco </t>
        </is>
      </c>
      <c r="J316" s="11" t="inlineStr">
        <is>
          <t>Sabonete com esferas iluminadoras</t>
        </is>
      </c>
      <c r="K316" s="180" t="n"/>
      <c r="L316" s="180" t="n">
        <v>45.9</v>
      </c>
    </row>
    <row r="317" ht="15" customHeight="1" s="145">
      <c r="B317" s="63" t="inlineStr">
        <is>
          <t>Natura</t>
        </is>
      </c>
      <c r="C317" s="73" t="inlineStr">
        <is>
          <t>Humor</t>
        </is>
      </c>
      <c r="D317" s="64" t="inlineStr">
        <is>
          <t xml:space="preserve">Iogurte Desodorante e Hidratante </t>
        </is>
      </c>
      <c r="E317" s="136">
        <f>TRIM(CONCATENATE(D317, " ", C317, " ", F317, " ", IF(G317&gt;0, G317 &amp; "x" &amp; H317, H317), " ", I317))</f>
        <v/>
      </c>
      <c r="F317" s="2" t="inlineStr">
        <is>
          <t>Humor Off-line</t>
        </is>
      </c>
      <c r="G317" s="131" t="n"/>
      <c r="H317" s="94" t="inlineStr">
        <is>
          <t>125ml</t>
        </is>
      </c>
      <c r="I317" s="31" t="inlineStr">
        <is>
          <t xml:space="preserve">Frasco </t>
        </is>
      </c>
      <c r="J317" s="11" t="inlineStr">
        <is>
          <t xml:space="preserve">Derrete com o calor do  corpo \ hidra </t>
        </is>
      </c>
      <c r="K317" s="180" t="n"/>
      <c r="L317" s="180" t="n">
        <v>53.9</v>
      </c>
    </row>
    <row r="318" ht="15" customHeight="1" s="145">
      <c r="B318" s="63" t="inlineStr">
        <is>
          <t>Natura</t>
        </is>
      </c>
      <c r="C318" s="74" t="inlineStr">
        <is>
          <t>Essencial</t>
        </is>
      </c>
      <c r="D318" s="64" t="inlineStr">
        <is>
          <t>Deo Parfum</t>
        </is>
      </c>
      <c r="E318" s="136">
        <f>TRIM(CONCATENATE(D318, " ", C318, " ", F318, " ", IF(G318&gt;0, G318 &amp; "x" &amp; H318, H318), " ", I318))</f>
        <v/>
      </c>
      <c r="F318" s="2" t="inlineStr">
        <is>
          <t xml:space="preserve"> Atraí Masculino</t>
        </is>
      </c>
      <c r="G318" s="131" t="n"/>
      <c r="H318" s="141" t="inlineStr">
        <is>
          <t xml:space="preserve">100ml </t>
        </is>
      </c>
      <c r="I318" s="31" t="inlineStr">
        <is>
          <t xml:space="preserve">Frasco </t>
        </is>
      </c>
      <c r="J318" s="11" t="inlineStr">
        <is>
          <t xml:space="preserve">Sofisticada /  Marcante / Atraente / Especiado / Amadeirado </t>
        </is>
      </c>
      <c r="K318" s="180" t="n"/>
      <c r="L318" s="180" t="n">
        <v>278.9</v>
      </c>
    </row>
    <row r="319" ht="15" customHeight="1" s="145">
      <c r="B319" s="63" t="inlineStr">
        <is>
          <t>Natura</t>
        </is>
      </c>
      <c r="C319" s="74" t="inlineStr">
        <is>
          <t>Essencial</t>
        </is>
      </c>
      <c r="D319" s="64" t="inlineStr">
        <is>
          <t>Deo Parfum</t>
        </is>
      </c>
      <c r="E319" s="136">
        <f>TRIM(CONCATENATE(D319, " ", C319, " ", F319, " ", IF(G319&gt;0, G319 &amp; "x" &amp; H319, H319), " ", I319))</f>
        <v/>
      </c>
      <c r="F319" s="2" t="inlineStr">
        <is>
          <t xml:space="preserve"> Atô Masculino</t>
        </is>
      </c>
      <c r="G319" s="131" t="n"/>
      <c r="H319" s="141" t="inlineStr">
        <is>
          <t xml:space="preserve">100ml </t>
        </is>
      </c>
      <c r="I319" s="31" t="inlineStr">
        <is>
          <t xml:space="preserve">Frasco </t>
        </is>
      </c>
      <c r="J319" s="11" t="inlineStr">
        <is>
          <t xml:space="preserve">Intensidade / Elegância / Contemporânia / Luminoso / Especiado </t>
        </is>
      </c>
      <c r="K319" s="180" t="n"/>
      <c r="L319" s="180" t="n">
        <v>278.9</v>
      </c>
    </row>
    <row r="320" ht="15" customHeight="1" s="145">
      <c r="B320" s="63" t="inlineStr">
        <is>
          <t>Natura</t>
        </is>
      </c>
      <c r="C320" s="74" t="inlineStr">
        <is>
          <t>Essencial</t>
        </is>
      </c>
      <c r="D320" s="64" t="inlineStr">
        <is>
          <t>Deo Parfum</t>
        </is>
      </c>
      <c r="E320" s="136">
        <f>TRIM(CONCATENATE(D320, " ", C320, " ", F320, " ", IF(G320&gt;0, G320 &amp; "x" &amp; H320, H320), " ", I320))</f>
        <v/>
      </c>
      <c r="F320" s="2" t="inlineStr">
        <is>
          <t xml:space="preserve"> Masculino</t>
        </is>
      </c>
      <c r="G320" s="131" t="n"/>
      <c r="H320" s="141" t="inlineStr">
        <is>
          <t xml:space="preserve">100ml </t>
        </is>
      </c>
      <c r="I320" s="31" t="inlineStr">
        <is>
          <t xml:space="preserve">Frasco </t>
        </is>
      </c>
      <c r="J320" s="146" t="inlineStr">
        <is>
          <t xml:space="preserve">Elegância / Força / Intensidade / Marcante / Aromático / Amadeirado </t>
        </is>
      </c>
      <c r="K320" s="180" t="n"/>
      <c r="L320" s="180" t="n">
        <v>278.9</v>
      </c>
    </row>
    <row r="321" ht="15" customHeight="1" s="145">
      <c r="B321" s="63" t="inlineStr">
        <is>
          <t>Natura</t>
        </is>
      </c>
      <c r="C321" s="74" t="inlineStr">
        <is>
          <t>Essencial</t>
        </is>
      </c>
      <c r="D321" s="64" t="inlineStr">
        <is>
          <t>Deo Parfum</t>
        </is>
      </c>
      <c r="E321" s="136">
        <f>TRIM(CONCATENATE(D321, " ", C321, " ", F321, " ", IF(G321&gt;0, G321 &amp; "x" &amp; H321, H321), " ", I321))</f>
        <v/>
      </c>
      <c r="F321" s="2" t="inlineStr">
        <is>
          <t xml:space="preserve"> Estilo Masculino</t>
        </is>
      </c>
      <c r="G321" s="131" t="n"/>
      <c r="H321" s="141" t="inlineStr">
        <is>
          <t xml:space="preserve">100ml </t>
        </is>
      </c>
      <c r="I321" s="37" t="inlineStr">
        <is>
          <t xml:space="preserve">Frasco </t>
        </is>
      </c>
      <c r="J321" s="23" t="inlineStr">
        <is>
          <t xml:space="preserve">Amadeirado Especiado / Intensa / Marcante / Picante </t>
        </is>
      </c>
      <c r="K321" s="192" t="n"/>
      <c r="L321" s="192" t="n">
        <v>278.9</v>
      </c>
    </row>
    <row r="322" ht="15" customHeight="1" s="145">
      <c r="B322" s="63" t="inlineStr">
        <is>
          <t>Natura</t>
        </is>
      </c>
      <c r="C322" s="74" t="inlineStr">
        <is>
          <t>Essencial</t>
        </is>
      </c>
      <c r="D322" s="64" t="inlineStr">
        <is>
          <t>Deo Parfum</t>
        </is>
      </c>
      <c r="E322" s="136">
        <f>TRIM(CONCATENATE(D322, " ", C322, " ", F322, " ", IF(G322&gt;0, G322 &amp; "x" &amp; H322, H322), " ", I322))</f>
        <v/>
      </c>
      <c r="F322" s="2" t="inlineStr">
        <is>
          <t xml:space="preserve"> Elixir Masculino</t>
        </is>
      </c>
      <c r="G322" s="131" t="n"/>
      <c r="H322" s="141" t="inlineStr">
        <is>
          <t xml:space="preserve">100ml </t>
        </is>
      </c>
      <c r="I322" s="37" t="inlineStr">
        <is>
          <t xml:space="preserve">Frasco </t>
        </is>
      </c>
      <c r="J322" s="24" t="inlineStr">
        <is>
          <t>Moderna / Sofisticada / Marcante / Sofisticação / Amadeirado/ Intenso</t>
        </is>
      </c>
      <c r="K322" s="192" t="n"/>
      <c r="L322" s="192" t="n">
        <v>278.9</v>
      </c>
    </row>
    <row r="323" ht="15" customHeight="1" s="145">
      <c r="B323" s="63" t="inlineStr">
        <is>
          <t>Natura</t>
        </is>
      </c>
      <c r="C323" s="74" t="inlineStr">
        <is>
          <t>Essencial</t>
        </is>
      </c>
      <c r="D323" s="64" t="inlineStr">
        <is>
          <t>Deo Parfum</t>
        </is>
      </c>
      <c r="E323" s="136">
        <f>TRIM(CONCATENATE(D323, " ", C323, " ", F323, " ", IF(G323&gt;0, G323 &amp; "x" &amp; H323, H323), " ", I323))</f>
        <v/>
      </c>
      <c r="F323" s="2" t="inlineStr">
        <is>
          <t xml:space="preserve"> Exclusivo Masculino</t>
        </is>
      </c>
      <c r="G323" s="131" t="n"/>
      <c r="H323" s="141" t="inlineStr">
        <is>
          <t xml:space="preserve">100ml </t>
        </is>
      </c>
      <c r="I323" s="37" t="inlineStr">
        <is>
          <t xml:space="preserve">Frasco </t>
        </is>
      </c>
      <c r="J323" s="25" t="inlineStr">
        <is>
          <t xml:space="preserve">Amadeirado Especiado / Intenso / Sofisticação </t>
        </is>
      </c>
      <c r="K323" s="192" t="n"/>
      <c r="L323" s="192" t="n">
        <v>278.9</v>
      </c>
    </row>
    <row r="324" ht="15" customHeight="1" s="145">
      <c r="B324" s="63" t="inlineStr">
        <is>
          <t>Natura</t>
        </is>
      </c>
      <c r="C324" s="74" t="inlineStr">
        <is>
          <t>Essencial</t>
        </is>
      </c>
      <c r="D324" s="64" t="inlineStr">
        <is>
          <t>Deo Parfum</t>
        </is>
      </c>
      <c r="E324" s="136">
        <f>TRIM(CONCATENATE(D324, " ", C324, " ", F324, " ", IF(G324&gt;0, G324 &amp; "x" &amp; H324, H324), " ", I324))</f>
        <v/>
      </c>
      <c r="F324" s="2" t="inlineStr">
        <is>
          <t xml:space="preserve"> Intenso Masculino</t>
        </is>
      </c>
      <c r="G324" s="131" t="n"/>
      <c r="H324" s="141" t="inlineStr">
        <is>
          <t xml:space="preserve">100ml </t>
        </is>
      </c>
      <c r="I324" s="37" t="inlineStr">
        <is>
          <t xml:space="preserve">Frasco </t>
        </is>
      </c>
      <c r="J324" s="27" t="inlineStr">
        <is>
          <t xml:space="preserve">Alta Concentração da Fragrância / Amadeirado / Amadeirado / Picante </t>
        </is>
      </c>
      <c r="K324" s="192" t="n"/>
      <c r="L324" s="192" t="n">
        <v>278.9</v>
      </c>
    </row>
    <row r="325" ht="15" customHeight="1" s="145">
      <c r="B325" s="63" t="inlineStr">
        <is>
          <t>Natura</t>
        </is>
      </c>
      <c r="C325" s="74" t="inlineStr">
        <is>
          <t>Essencial</t>
        </is>
      </c>
      <c r="D325" s="64" t="inlineStr">
        <is>
          <t>Deo Parfum</t>
        </is>
      </c>
      <c r="E325" s="136">
        <f>TRIM(CONCATENATE(D325, " ", C325, " ", F325, " ", IF(G325&gt;0, G325 &amp; "x" &amp; H325, H325), " ", I325))</f>
        <v/>
      </c>
      <c r="F325" s="2" t="inlineStr">
        <is>
          <t xml:space="preserve"> Mirra Masculino</t>
        </is>
      </c>
      <c r="G325" s="131" t="n"/>
      <c r="H325" s="141" t="inlineStr">
        <is>
          <t xml:space="preserve">100ml </t>
        </is>
      </c>
      <c r="I325" s="37" t="inlineStr">
        <is>
          <t xml:space="preserve">Frasco </t>
        </is>
      </c>
      <c r="J325" s="25" t="inlineStr">
        <is>
          <t xml:space="preserve">Amadeirado Marcante / Sensual / Quente / Denso / Leal Para Tempos Frios </t>
        </is>
      </c>
      <c r="K325" s="192" t="n"/>
      <c r="L325" s="192" t="n">
        <v>278.9</v>
      </c>
    </row>
    <row r="326" ht="15" customHeight="1" s="145">
      <c r="B326" s="63" t="inlineStr">
        <is>
          <t>Natura</t>
        </is>
      </c>
      <c r="C326" s="74" t="inlineStr">
        <is>
          <t>Essencial</t>
        </is>
      </c>
      <c r="D326" s="64" t="inlineStr">
        <is>
          <t>Deo Parfum</t>
        </is>
      </c>
      <c r="E326" s="136">
        <f>TRIM(CONCATENATE(D326, " ", C326, " ", F326, " ", IF(G326&gt;0, G326 &amp; "x" &amp; H326, H326), " ", I326))</f>
        <v/>
      </c>
      <c r="F326" s="2" t="inlineStr">
        <is>
          <t xml:space="preserve"> Oud Masculino</t>
        </is>
      </c>
      <c r="G326" s="131" t="n"/>
      <c r="H326" s="141" t="inlineStr">
        <is>
          <t xml:space="preserve">100ml </t>
        </is>
      </c>
      <c r="I326" s="37" t="inlineStr">
        <is>
          <t xml:space="preserve">Frasco </t>
        </is>
      </c>
      <c r="J326" s="23" t="inlineStr">
        <is>
          <t xml:space="preserve"> Fragrância Intensa / Envolvente / Mistérioso / Riqueza  do Oud  / Amadeirado </t>
        </is>
      </c>
      <c r="K326" s="192" t="n"/>
      <c r="L326" s="192" t="n">
        <v>278.9</v>
      </c>
    </row>
    <row r="327" ht="15" customHeight="1" s="145">
      <c r="B327" s="63" t="inlineStr">
        <is>
          <t>Natura</t>
        </is>
      </c>
      <c r="C327" s="74" t="inlineStr">
        <is>
          <t>Essencial</t>
        </is>
      </c>
      <c r="D327" s="64" t="inlineStr">
        <is>
          <t>Deo Parfum</t>
        </is>
      </c>
      <c r="E327" s="136">
        <f>TRIM(CONCATENATE(D327, " ", C327, " ", F327, " ", IF(G327&gt;0, G327 &amp; "x" &amp; H327, H327), " ", I327))</f>
        <v/>
      </c>
      <c r="F327" s="2" t="inlineStr">
        <is>
          <t xml:space="preserve"> Old Vanilla  Masculino</t>
        </is>
      </c>
      <c r="G327" s="131" t="n"/>
      <c r="H327" s="141" t="inlineStr">
        <is>
          <t xml:space="preserve">100ml </t>
        </is>
      </c>
      <c r="I327" s="31" t="inlineStr">
        <is>
          <t xml:space="preserve">Frasco </t>
        </is>
      </c>
      <c r="J327" s="26" t="inlineStr">
        <is>
          <t xml:space="preserve"> Intensa / Envolvente / Mistério / Encanto / Fragrância Exclusiva da Marca Natura</t>
        </is>
      </c>
      <c r="K327" s="180" t="n"/>
      <c r="L327" s="180" t="n">
        <v>278.9</v>
      </c>
    </row>
    <row r="328" ht="15" customHeight="1" s="145">
      <c r="B328" s="63" t="inlineStr">
        <is>
          <t>Natura</t>
        </is>
      </c>
      <c r="C328" s="74" t="inlineStr">
        <is>
          <t>Essencial</t>
        </is>
      </c>
      <c r="D328" s="64" t="inlineStr">
        <is>
          <t>Deo Parfum</t>
        </is>
      </c>
      <c r="E328" s="136">
        <f>TRIM(CONCATENATE(D328, " ", C328, " ", F328, " ", IF(G328&gt;0, G328 &amp; "x" &amp; H328, H328), " ", I328))</f>
        <v/>
      </c>
      <c r="F328" s="121" t="inlineStr">
        <is>
          <t xml:space="preserve"> Old Pimenta Masculino</t>
        </is>
      </c>
      <c r="G328" s="131" t="n"/>
      <c r="H328" s="141" t="inlineStr">
        <is>
          <t xml:space="preserve">100ml </t>
        </is>
      </c>
      <c r="I328" s="31" t="inlineStr">
        <is>
          <t xml:space="preserve">Frasco </t>
        </is>
      </c>
      <c r="J328" s="28" t="inlineStr">
        <is>
          <t xml:space="preserve">Pimenta Preta / Provocador /  Nobre </t>
        </is>
      </c>
      <c r="K328" s="180" t="n"/>
      <c r="L328" s="180" t="n">
        <v>278.9</v>
      </c>
    </row>
    <row r="329" ht="15" customHeight="1" s="145">
      <c r="B329" s="63" t="inlineStr">
        <is>
          <t>Natura</t>
        </is>
      </c>
      <c r="C329" s="74" t="inlineStr">
        <is>
          <t>Essencial</t>
        </is>
      </c>
      <c r="D329" s="64" t="inlineStr">
        <is>
          <t>Deo Parfum</t>
        </is>
      </c>
      <c r="E329" s="136">
        <f>TRIM(CONCATENATE(D329, " ", C329, " ", F329, " ", IF(G329&gt;0, G329 &amp; "x" &amp; H329, H329), " ", I329))</f>
        <v/>
      </c>
      <c r="F329" s="2" t="inlineStr">
        <is>
          <t xml:space="preserve"> Palo Santo Masculino</t>
        </is>
      </c>
      <c r="G329" s="131" t="n"/>
      <c r="H329" s="141" t="inlineStr">
        <is>
          <t xml:space="preserve">100ml </t>
        </is>
      </c>
      <c r="I329" s="31" t="inlineStr">
        <is>
          <t xml:space="preserve">Frasco </t>
        </is>
      </c>
      <c r="J329" s="28" t="inlineStr">
        <is>
          <t>Notas Doces / Amadeiradas / Toque de Menta / Sutil</t>
        </is>
      </c>
      <c r="K329" s="180" t="n"/>
      <c r="L329" s="180" t="n">
        <v>278.9</v>
      </c>
    </row>
    <row r="330" ht="15" customHeight="1" s="145">
      <c r="B330" s="63" t="inlineStr">
        <is>
          <t>Natura</t>
        </is>
      </c>
      <c r="C330" s="74" t="inlineStr">
        <is>
          <t>Essencial</t>
        </is>
      </c>
      <c r="D330" s="64" t="inlineStr">
        <is>
          <t>Deo Parfum</t>
        </is>
      </c>
      <c r="E330" s="136">
        <f>TRIM(CONCATENATE(D330, " ", C330, " ", F330, " ", IF(G330&gt;0, G330 &amp; "x" &amp; H330, H330), " ", I330))</f>
        <v/>
      </c>
      <c r="F330" s="2" t="inlineStr">
        <is>
          <t xml:space="preserve"> Supreme Masculino</t>
        </is>
      </c>
      <c r="G330" s="131" t="n"/>
      <c r="H330" s="141" t="inlineStr">
        <is>
          <t xml:space="preserve">100ml </t>
        </is>
      </c>
      <c r="I330" s="31" t="inlineStr">
        <is>
          <t xml:space="preserve">Frasco </t>
        </is>
      </c>
      <c r="J330" s="146" t="inlineStr">
        <is>
          <t xml:space="preserve">Fragrância Poderosa /  Refinada / Nobres </t>
        </is>
      </c>
      <c r="K330" s="180" t="n"/>
      <c r="L330" s="180" t="n">
        <v>278.9</v>
      </c>
    </row>
    <row r="331" ht="15" customHeight="1" s="145">
      <c r="B331" s="63" t="inlineStr">
        <is>
          <t>Natura</t>
        </is>
      </c>
      <c r="C331" s="74" t="inlineStr">
        <is>
          <t>Essencial</t>
        </is>
      </c>
      <c r="D331" s="64" t="inlineStr">
        <is>
          <t>Deo Parfum</t>
        </is>
      </c>
      <c r="E331" s="136">
        <f>TRIM(CONCATENATE(D331, " ", C331, " ", F331, " ", IF(G331&gt;0, G331 &amp; "x" &amp; H331, H331), " ", I331))</f>
        <v/>
      </c>
      <c r="F331" s="2" t="inlineStr">
        <is>
          <t xml:space="preserve"> Sentir Masculino</t>
        </is>
      </c>
      <c r="G331" s="131" t="n"/>
      <c r="H331" s="141" t="inlineStr">
        <is>
          <t xml:space="preserve">100ml </t>
        </is>
      </c>
      <c r="I331" s="31" t="inlineStr">
        <is>
          <t xml:space="preserve">Frasco </t>
        </is>
      </c>
      <c r="J331" s="28" t="inlineStr">
        <is>
          <t>potência / sofisticada / sensual</t>
        </is>
      </c>
      <c r="K331" s="180" t="n"/>
      <c r="L331" s="180" t="n">
        <v>278.9</v>
      </c>
    </row>
    <row r="332" ht="15" customHeight="1" s="145">
      <c r="B332" s="63" t="inlineStr">
        <is>
          <t>Natura</t>
        </is>
      </c>
      <c r="C332" s="74" t="inlineStr">
        <is>
          <t>Essencial</t>
        </is>
      </c>
      <c r="D332" s="64" t="inlineStr">
        <is>
          <t>Deo Parfum</t>
        </is>
      </c>
      <c r="E332" s="136">
        <f>TRIM(CONCATENATE(D332, " ", C332, " ", F332, " ", IF(G332&gt;0, G332 &amp; "x" &amp; H332, H332), " ", I332))</f>
        <v/>
      </c>
      <c r="F332" s="2" t="inlineStr">
        <is>
          <t xml:space="preserve"> Único Masculino</t>
        </is>
      </c>
      <c r="G332" s="131" t="n"/>
      <c r="H332" s="141" t="inlineStr">
        <is>
          <t xml:space="preserve">100ml </t>
        </is>
      </c>
      <c r="I332" s="31" t="inlineStr">
        <is>
          <t xml:space="preserve">Frasco </t>
        </is>
      </c>
      <c r="J332" s="146" t="inlineStr">
        <is>
          <t xml:space="preserve"> fragrância sofisticada/  intensa / perfeito / Amadeirado </t>
        </is>
      </c>
      <c r="K332" s="180" t="n"/>
      <c r="L332" s="180" t="n">
        <v>278.9</v>
      </c>
    </row>
    <row r="333" ht="15" customHeight="1" s="145">
      <c r="B333" s="63" t="inlineStr">
        <is>
          <t>Natura</t>
        </is>
      </c>
      <c r="C333" s="74" t="inlineStr">
        <is>
          <t>Essencial</t>
        </is>
      </c>
      <c r="D333" s="64" t="inlineStr">
        <is>
          <t>Deo Parfum</t>
        </is>
      </c>
      <c r="E333" s="136">
        <f>TRIM(CONCATENATE(D333, " ", C333, " ", F333, " ", IF(G333&gt;0, G333 &amp; "x" &amp; H333, H333), " ", I333))</f>
        <v/>
      </c>
      <c r="F333" s="2" t="inlineStr">
        <is>
          <t xml:space="preserve"> Atraí Masculino</t>
        </is>
      </c>
      <c r="G333" s="131" t="n"/>
      <c r="H333" s="141" t="inlineStr">
        <is>
          <t xml:space="preserve">100ml </t>
        </is>
      </c>
      <c r="I333" s="31" t="inlineStr">
        <is>
          <t xml:space="preserve">Refil </t>
        </is>
      </c>
      <c r="J333" s="11" t="inlineStr">
        <is>
          <t xml:space="preserve">Sofisticada /  Marcante / Atraente / Especiado </t>
        </is>
      </c>
      <c r="K333" s="180" t="n"/>
      <c r="L333" s="180" t="n">
        <v>213.9</v>
      </c>
    </row>
    <row r="334" ht="15" customHeight="1" s="145">
      <c r="B334" s="63" t="inlineStr">
        <is>
          <t>Natura</t>
        </is>
      </c>
      <c r="C334" s="74" t="inlineStr">
        <is>
          <t>Essencial</t>
        </is>
      </c>
      <c r="D334" s="64" t="inlineStr">
        <is>
          <t>Deo Parfum</t>
        </is>
      </c>
      <c r="E334" s="136">
        <f>TRIM(CONCATENATE(D334, " ", C334, " ", F334, " ", IF(G334&gt;0, G334 &amp; "x" &amp; H334, H334), " ", I334))</f>
        <v/>
      </c>
      <c r="F334" s="2" t="inlineStr">
        <is>
          <t xml:space="preserve"> Atô Masculino</t>
        </is>
      </c>
      <c r="G334" s="131" t="n"/>
      <c r="H334" s="141" t="inlineStr">
        <is>
          <t xml:space="preserve">100ml </t>
        </is>
      </c>
      <c r="I334" s="31" t="inlineStr">
        <is>
          <t xml:space="preserve">Refil </t>
        </is>
      </c>
      <c r="J334" s="11" t="inlineStr">
        <is>
          <t xml:space="preserve">Intensidade / Elegância / Contemporânia / Luminoso / Especiado </t>
        </is>
      </c>
      <c r="K334" s="180" t="n"/>
      <c r="L334" s="180" t="n">
        <v>213.9</v>
      </c>
    </row>
    <row r="335" ht="15" customHeight="1" s="145">
      <c r="A335" t="inlineStr">
        <is>
          <t>NATBRA-76420</t>
        </is>
      </c>
      <c r="B335" s="63" t="inlineStr">
        <is>
          <t>Natura</t>
        </is>
      </c>
      <c r="C335" s="74" t="inlineStr">
        <is>
          <t>Essencial</t>
        </is>
      </c>
      <c r="D335" s="64" t="inlineStr">
        <is>
          <t>Deo Parfum</t>
        </is>
      </c>
      <c r="E335" s="136">
        <f>TRIM(CONCATENATE(D335, " ", C335, " ", F335, " ", IF(G335&gt;0, G335 &amp; "x" &amp; H335, H335), " ", I335))</f>
        <v/>
      </c>
      <c r="F335" s="2" t="inlineStr">
        <is>
          <t xml:space="preserve"> Masculino</t>
        </is>
      </c>
      <c r="G335" s="131" t="n"/>
      <c r="H335" s="141" t="inlineStr">
        <is>
          <t xml:space="preserve">100ml </t>
        </is>
      </c>
      <c r="I335" s="31" t="inlineStr">
        <is>
          <t xml:space="preserve">Refil </t>
        </is>
      </c>
      <c r="J335" s="146" t="inlineStr">
        <is>
          <t xml:space="preserve">Elegância / Força / Intensidade / Marcante / Aromático / Amadeirado </t>
        </is>
      </c>
      <c r="K335" s="180" t="n"/>
      <c r="L335" s="180" t="n">
        <v>213.9</v>
      </c>
    </row>
    <row r="336" ht="15" customHeight="1" s="145">
      <c r="B336" s="63" t="inlineStr">
        <is>
          <t>Natura</t>
        </is>
      </c>
      <c r="C336" s="74" t="inlineStr">
        <is>
          <t>Essencial</t>
        </is>
      </c>
      <c r="D336" s="64" t="inlineStr">
        <is>
          <t>Deo Parfum</t>
        </is>
      </c>
      <c r="E336" s="136">
        <f>TRIM(CONCATENATE(D336, " ", C336, " ", F336, " ", IF(G336&gt;0, G336 &amp; "x" &amp; H336, H336), " ", I336))</f>
        <v/>
      </c>
      <c r="F336" s="2" t="inlineStr">
        <is>
          <t xml:space="preserve"> Estilo Masculino</t>
        </is>
      </c>
      <c r="G336" s="131" t="n"/>
      <c r="H336" s="141" t="inlineStr">
        <is>
          <t xml:space="preserve">100ml </t>
        </is>
      </c>
      <c r="I336" s="31" t="inlineStr">
        <is>
          <t xml:space="preserve">Refil </t>
        </is>
      </c>
      <c r="J336" s="23" t="inlineStr">
        <is>
          <t xml:space="preserve">Amadeirado Especiado / Intensa / Marcante / Picante </t>
        </is>
      </c>
      <c r="K336" s="180" t="n"/>
      <c r="L336" s="180" t="n">
        <v>213.9</v>
      </c>
    </row>
    <row r="337" ht="15" customHeight="1" s="145">
      <c r="B337" s="63" t="inlineStr">
        <is>
          <t>Natura</t>
        </is>
      </c>
      <c r="C337" s="74" t="inlineStr">
        <is>
          <t>Essencial</t>
        </is>
      </c>
      <c r="D337" s="64" t="inlineStr">
        <is>
          <t>Deo Parfum</t>
        </is>
      </c>
      <c r="E337" s="136">
        <f>TRIM(CONCATENATE(D337, " ", C337, " ", F337, " ", IF(G337&gt;0, G337 &amp; "x" &amp; H337, H337), " ", I337))</f>
        <v/>
      </c>
      <c r="F337" s="2" t="inlineStr">
        <is>
          <t xml:space="preserve"> Elixir Masculino</t>
        </is>
      </c>
      <c r="G337" s="131" t="n"/>
      <c r="H337" s="141" t="inlineStr">
        <is>
          <t xml:space="preserve">100ml </t>
        </is>
      </c>
      <c r="I337" s="31" t="inlineStr">
        <is>
          <t xml:space="preserve">Refil </t>
        </is>
      </c>
      <c r="J337" s="24" t="inlineStr">
        <is>
          <t>Moderna / Sofisticada / Marcante / Sofisticação / Amadeirado/ Intenso</t>
        </is>
      </c>
      <c r="K337" s="180" t="n"/>
      <c r="L337" s="180" t="n">
        <v>213.9</v>
      </c>
    </row>
    <row r="338" ht="15" customHeight="1" s="145">
      <c r="B338" s="63" t="inlineStr">
        <is>
          <t>Natura</t>
        </is>
      </c>
      <c r="C338" s="74" t="inlineStr">
        <is>
          <t>Essencial</t>
        </is>
      </c>
      <c r="D338" s="64" t="inlineStr">
        <is>
          <t>Deo Parfum</t>
        </is>
      </c>
      <c r="E338" s="136">
        <f>TRIM(CONCATENATE(D338, " ", C338, " ", F338, " ", IF(G338&gt;0, G338 &amp; "x" &amp; H338, H338), " ", I338))</f>
        <v/>
      </c>
      <c r="F338" s="2" t="inlineStr">
        <is>
          <t xml:space="preserve"> Exclusivo Masculino</t>
        </is>
      </c>
      <c r="G338" s="131" t="n"/>
      <c r="H338" s="141" t="inlineStr">
        <is>
          <t xml:space="preserve">100ml </t>
        </is>
      </c>
      <c r="I338" s="31" t="inlineStr">
        <is>
          <t xml:space="preserve">Refil </t>
        </is>
      </c>
      <c r="J338" s="25" t="inlineStr">
        <is>
          <t xml:space="preserve">Amadeirado Especiado / Intenso / Sofisticação </t>
        </is>
      </c>
      <c r="K338" s="180" t="n"/>
      <c r="L338" s="180" t="n">
        <v>213.9</v>
      </c>
    </row>
    <row r="339" ht="15" customHeight="1" s="145">
      <c r="B339" s="63" t="inlineStr">
        <is>
          <t>Natura</t>
        </is>
      </c>
      <c r="C339" s="74" t="inlineStr">
        <is>
          <t>Essencial</t>
        </is>
      </c>
      <c r="D339" s="64" t="inlineStr">
        <is>
          <t>Deo Parfum</t>
        </is>
      </c>
      <c r="E339" s="136">
        <f>TRIM(CONCATENATE(D339, " ", C339, " ", F339, " ", IF(G339&gt;0, G339 &amp; "x" &amp; H339, H339), " ", I339))</f>
        <v/>
      </c>
      <c r="F339" s="2" t="inlineStr">
        <is>
          <t xml:space="preserve"> Intenso Masculino</t>
        </is>
      </c>
      <c r="G339" s="131" t="n"/>
      <c r="H339" s="141" t="inlineStr">
        <is>
          <t xml:space="preserve">100ml </t>
        </is>
      </c>
      <c r="I339" s="31" t="inlineStr">
        <is>
          <t xml:space="preserve">Refil </t>
        </is>
      </c>
      <c r="J339" s="27" t="inlineStr">
        <is>
          <t xml:space="preserve">Alta Concentração da Fragrância / Amadeirado / Amadeirado / Picante </t>
        </is>
      </c>
      <c r="K339" s="180" t="n"/>
      <c r="L339" s="180" t="n">
        <v>213.9</v>
      </c>
    </row>
    <row r="340" ht="15" customHeight="1" s="145">
      <c r="B340" s="63" t="inlineStr">
        <is>
          <t>Natura</t>
        </is>
      </c>
      <c r="C340" s="74" t="inlineStr">
        <is>
          <t>Essencial</t>
        </is>
      </c>
      <c r="D340" s="64" t="inlineStr">
        <is>
          <t>Deo Parfum</t>
        </is>
      </c>
      <c r="E340" s="136">
        <f>TRIM(CONCATENATE(D340, " ", C340, " ", F340, " ", IF(G340&gt;0, G340 &amp; "x" &amp; H340, H340), " ", I340))</f>
        <v/>
      </c>
      <c r="F340" s="2" t="inlineStr">
        <is>
          <t xml:space="preserve"> Mirra Masculino</t>
        </is>
      </c>
      <c r="G340" s="131" t="n"/>
      <c r="H340" s="141" t="inlineStr">
        <is>
          <t xml:space="preserve">100ml </t>
        </is>
      </c>
      <c r="I340" s="31" t="inlineStr">
        <is>
          <t xml:space="preserve">Refil </t>
        </is>
      </c>
      <c r="J340" s="25" t="inlineStr">
        <is>
          <t xml:space="preserve">Amadeirado Marcante / Sensual / Quente / Denso / Leal Para Tempos Frios </t>
        </is>
      </c>
      <c r="K340" s="180" t="n"/>
      <c r="L340" s="180" t="n">
        <v>213.9</v>
      </c>
    </row>
    <row r="341" ht="15" customHeight="1" s="145">
      <c r="B341" s="63" t="inlineStr">
        <is>
          <t>Natura</t>
        </is>
      </c>
      <c r="C341" s="74" t="inlineStr">
        <is>
          <t>Essencial</t>
        </is>
      </c>
      <c r="D341" s="64" t="inlineStr">
        <is>
          <t>Deo Parfum</t>
        </is>
      </c>
      <c r="E341" s="136">
        <f>TRIM(CONCATENATE(D341, " ", C341, " ", F341, " ", IF(G341&gt;0, G341 &amp; "x" &amp; H341, H341), " ", I341))</f>
        <v/>
      </c>
      <c r="F341" s="2" t="inlineStr">
        <is>
          <t xml:space="preserve"> Oud Masculino</t>
        </is>
      </c>
      <c r="G341" s="131" t="n"/>
      <c r="H341" s="141" t="inlineStr">
        <is>
          <t xml:space="preserve">100ml </t>
        </is>
      </c>
      <c r="I341" s="31" t="inlineStr">
        <is>
          <t xml:space="preserve">Refil </t>
        </is>
      </c>
      <c r="J341" s="23" t="inlineStr">
        <is>
          <t xml:space="preserve"> Fragrância Intensa / Envolvente / Mistérioso / Riqueza  do Oud  / Amadeirado </t>
        </is>
      </c>
      <c r="K341" s="180" t="n"/>
      <c r="L341" s="180" t="n">
        <v>213.9</v>
      </c>
    </row>
    <row r="342" ht="15" customHeight="1" s="145">
      <c r="B342" s="63" t="inlineStr">
        <is>
          <t>Natura</t>
        </is>
      </c>
      <c r="C342" s="74" t="inlineStr">
        <is>
          <t>Essencial</t>
        </is>
      </c>
      <c r="D342" s="64" t="inlineStr">
        <is>
          <t>Deo Parfum</t>
        </is>
      </c>
      <c r="E342" s="136">
        <f>TRIM(CONCATENATE(D342, " ", C342, " ", F342, " ", IF(G342&gt;0, G342 &amp; "x" &amp; H342, H342), " ", I342))</f>
        <v/>
      </c>
      <c r="F342" s="2" t="inlineStr">
        <is>
          <t xml:space="preserve"> Old Vanilla  Masculino</t>
        </is>
      </c>
      <c r="G342" s="131" t="n"/>
      <c r="H342" s="141" t="inlineStr">
        <is>
          <t xml:space="preserve">100ml </t>
        </is>
      </c>
      <c r="I342" s="31" t="inlineStr">
        <is>
          <t xml:space="preserve">Refil </t>
        </is>
      </c>
      <c r="J342" s="26" t="inlineStr">
        <is>
          <t xml:space="preserve"> Intensa / Envolvente / Mistério / Encanto / Fragrância Exclusiva da Marca Natura</t>
        </is>
      </c>
      <c r="K342" s="180" t="n"/>
      <c r="L342" s="180" t="n">
        <v>213.9</v>
      </c>
    </row>
    <row r="343" ht="15" customHeight="1" s="145">
      <c r="B343" s="63" t="inlineStr">
        <is>
          <t>Natura</t>
        </is>
      </c>
      <c r="C343" s="74" t="inlineStr">
        <is>
          <t>Essencial</t>
        </is>
      </c>
      <c r="D343" s="64" t="inlineStr">
        <is>
          <t>Deo Parfum</t>
        </is>
      </c>
      <c r="E343" s="136">
        <f>TRIM(CONCATENATE(D343, " ", C343, " ", F343, " ", IF(G343&gt;0, G343 &amp; "x" &amp; H343, H343), " ", I343))</f>
        <v/>
      </c>
      <c r="F343" s="121" t="inlineStr">
        <is>
          <t xml:space="preserve"> Old Pimenta Masculino</t>
        </is>
      </c>
      <c r="G343" s="131" t="n"/>
      <c r="H343" s="141" t="inlineStr">
        <is>
          <t xml:space="preserve">100ml </t>
        </is>
      </c>
      <c r="I343" s="31" t="inlineStr">
        <is>
          <t xml:space="preserve">Refil </t>
        </is>
      </c>
      <c r="J343" s="28" t="inlineStr">
        <is>
          <t xml:space="preserve">Pimenta Preta / Provocador /  Nobre </t>
        </is>
      </c>
      <c r="K343" s="180" t="n"/>
      <c r="L343" s="180" t="n">
        <v>213.9</v>
      </c>
    </row>
    <row r="344" ht="15" customHeight="1" s="145">
      <c r="B344" s="63" t="inlineStr">
        <is>
          <t>Natura</t>
        </is>
      </c>
      <c r="C344" s="74" t="inlineStr">
        <is>
          <t>Essencial</t>
        </is>
      </c>
      <c r="D344" s="64" t="inlineStr">
        <is>
          <t>Deo Parfum</t>
        </is>
      </c>
      <c r="E344" s="136">
        <f>TRIM(CONCATENATE(D344, " ", C344, " ", F344, " ", IF(G344&gt;0, G344 &amp; "x" &amp; H344, H344), " ", I344))</f>
        <v/>
      </c>
      <c r="F344" s="2" t="inlineStr">
        <is>
          <t xml:space="preserve"> Palo Santo Masculino</t>
        </is>
      </c>
      <c r="G344" s="131" t="n"/>
      <c r="H344" s="141" t="inlineStr">
        <is>
          <t xml:space="preserve">100ml </t>
        </is>
      </c>
      <c r="I344" s="31" t="inlineStr">
        <is>
          <t xml:space="preserve">Refil </t>
        </is>
      </c>
      <c r="J344" s="28" t="inlineStr">
        <is>
          <t>Notas Doces / Amadeiradas / Toque de Menta / Sutil</t>
        </is>
      </c>
      <c r="K344" s="180" t="n"/>
      <c r="L344" s="180" t="n">
        <v>213.9</v>
      </c>
    </row>
    <row r="345" ht="15" customHeight="1" s="145">
      <c r="B345" s="63" t="inlineStr">
        <is>
          <t>Natura</t>
        </is>
      </c>
      <c r="C345" s="74" t="inlineStr">
        <is>
          <t>Essencial</t>
        </is>
      </c>
      <c r="D345" s="64" t="inlineStr">
        <is>
          <t>Deo Parfum</t>
        </is>
      </c>
      <c r="E345" s="136">
        <f>TRIM(CONCATENATE(D345, " ", C345, " ", F345, " ", IF(G345&gt;0, G345 &amp; "x" &amp; H345, H345), " ", I345))</f>
        <v/>
      </c>
      <c r="F345" s="2" t="inlineStr">
        <is>
          <t xml:space="preserve"> Supreme Masculino</t>
        </is>
      </c>
      <c r="G345" s="131" t="n"/>
      <c r="H345" s="141" t="inlineStr">
        <is>
          <t xml:space="preserve">100ml </t>
        </is>
      </c>
      <c r="I345" s="31" t="inlineStr">
        <is>
          <t xml:space="preserve">Refil </t>
        </is>
      </c>
      <c r="J345" s="146" t="inlineStr">
        <is>
          <t xml:space="preserve">Fragrância Poderosa /  Refinada / Nobres </t>
        </is>
      </c>
      <c r="K345" s="180" t="n"/>
      <c r="L345" s="180" t="n">
        <v>213.9</v>
      </c>
    </row>
    <row r="346" ht="15" customHeight="1" s="145">
      <c r="B346" s="63" t="inlineStr">
        <is>
          <t>Natura</t>
        </is>
      </c>
      <c r="C346" s="74" t="inlineStr">
        <is>
          <t>Essencial</t>
        </is>
      </c>
      <c r="D346" s="64" t="inlineStr">
        <is>
          <t>Deo Parfum</t>
        </is>
      </c>
      <c r="E346" s="136">
        <f>TRIM(CONCATENATE(D346, " ", C346, " ", F346, " ", IF(G346&gt;0, G346 &amp; "x" &amp; H346, H346), " ", I346))</f>
        <v/>
      </c>
      <c r="F346" s="2" t="inlineStr">
        <is>
          <t xml:space="preserve"> Sentir Masculino</t>
        </is>
      </c>
      <c r="G346" s="131" t="n"/>
      <c r="H346" s="141" t="inlineStr">
        <is>
          <t xml:space="preserve">100ml </t>
        </is>
      </c>
      <c r="I346" s="31" t="inlineStr">
        <is>
          <t xml:space="preserve">Refil </t>
        </is>
      </c>
      <c r="J346" s="28" t="inlineStr">
        <is>
          <t>potência / sofisticada / sensual</t>
        </is>
      </c>
      <c r="K346" s="180" t="n"/>
      <c r="L346" s="180" t="n">
        <v>213.9</v>
      </c>
    </row>
    <row r="347" ht="15" customHeight="1" s="145">
      <c r="A347" t="inlineStr">
        <is>
          <t>NATBRA-103348</t>
        </is>
      </c>
      <c r="B347" s="63" t="inlineStr">
        <is>
          <t>Natura</t>
        </is>
      </c>
      <c r="C347" s="74" t="inlineStr">
        <is>
          <t>Essencial</t>
        </is>
      </c>
      <c r="D347" s="64" t="inlineStr">
        <is>
          <t>Deo Parfum</t>
        </is>
      </c>
      <c r="E347" s="136">
        <f>TRIM(CONCATENATE(D347, " ", C347, " ", F347, " ", IF(G347&gt;0, G347 &amp; "x" &amp; H347, H347), " ", I347))</f>
        <v/>
      </c>
      <c r="F347" s="2" t="inlineStr">
        <is>
          <t xml:space="preserve"> Único Masculino</t>
        </is>
      </c>
      <c r="G347" s="131" t="n"/>
      <c r="H347" s="141" t="inlineStr">
        <is>
          <t xml:space="preserve">100ml </t>
        </is>
      </c>
      <c r="I347" s="31" t="inlineStr">
        <is>
          <t xml:space="preserve">Refil </t>
        </is>
      </c>
      <c r="J347" s="146" t="inlineStr">
        <is>
          <t xml:space="preserve"> fragrância sofisticada/  intensa / perfeito / Amadeirado </t>
        </is>
      </c>
      <c r="K347" s="180" t="n"/>
      <c r="L347" s="180" t="n">
        <v>213.9</v>
      </c>
    </row>
    <row r="348" ht="15" customHeight="1" s="145">
      <c r="B348" s="63" t="inlineStr">
        <is>
          <t>Natura</t>
        </is>
      </c>
      <c r="C348" s="74" t="inlineStr">
        <is>
          <t>Essencial</t>
        </is>
      </c>
      <c r="D348" s="64" t="inlineStr">
        <is>
          <t>Deo Parfum</t>
        </is>
      </c>
      <c r="E348" s="136">
        <f>TRIM(CONCATENATE(D348, " ", C348, " ", F348, " ", IF(G348&gt;0, G348 &amp; "x" &amp; H348, H348), " ", I348))</f>
        <v/>
      </c>
      <c r="F348" s="2" t="inlineStr">
        <is>
          <t xml:space="preserve"> Atrai Feminino</t>
        </is>
      </c>
      <c r="G348" s="131" t="n"/>
      <c r="H348" s="141" t="inlineStr">
        <is>
          <t xml:space="preserve">100ml </t>
        </is>
      </c>
      <c r="I348" s="31" t="inlineStr">
        <is>
          <t xml:space="preserve">Frasco </t>
        </is>
      </c>
      <c r="J348" s="124" t="inlineStr">
        <is>
          <t xml:space="preserve">Encanto / Delicado /  Pimenta  Rosa / Amadeirado Floral </t>
        </is>
      </c>
      <c r="K348" s="180" t="n"/>
      <c r="L348" s="180" t="n">
        <v>279.9</v>
      </c>
    </row>
    <row r="349" ht="15" customHeight="1" s="145">
      <c r="B349" s="63" t="inlineStr">
        <is>
          <t>Natura</t>
        </is>
      </c>
      <c r="C349" s="74" t="inlineStr">
        <is>
          <t>Essencial</t>
        </is>
      </c>
      <c r="D349" s="64" t="inlineStr">
        <is>
          <t>Deo Parfum</t>
        </is>
      </c>
      <c r="E349" s="136">
        <f>TRIM(CONCATENATE(D349, " ", C349, " ", F349, " ", IF(G349&gt;0, G349 &amp; "x" &amp; H349, H349), " ", I349))</f>
        <v/>
      </c>
      <c r="F349" s="2" t="inlineStr">
        <is>
          <t xml:space="preserve"> Atô Feminino</t>
        </is>
      </c>
      <c r="G349" s="131" t="n"/>
      <c r="H349" s="141" t="inlineStr">
        <is>
          <t xml:space="preserve">100ml </t>
        </is>
      </c>
      <c r="I349" s="31" t="inlineStr">
        <is>
          <t xml:space="preserve">Frasco </t>
        </is>
      </c>
      <c r="J349" s="11" t="inlineStr">
        <is>
          <t xml:space="preserve">Floral Frutal / Acorde Dourado / Iluminoso / Amadeirado / Elegancia </t>
        </is>
      </c>
      <c r="K349" s="180" t="n"/>
      <c r="L349" s="180" t="n">
        <v>279.9</v>
      </c>
    </row>
    <row r="350" ht="15" customHeight="1" s="145">
      <c r="B350" s="63" t="inlineStr">
        <is>
          <t>Natura</t>
        </is>
      </c>
      <c r="C350" s="74" t="inlineStr">
        <is>
          <t>Essencial</t>
        </is>
      </c>
      <c r="D350" s="64" t="inlineStr">
        <is>
          <t>Deo Parfum</t>
        </is>
      </c>
      <c r="E350" s="136">
        <f>TRIM(CONCATENATE(D350, " ", C350, " ", F350, " ", IF(G350&gt;0, G350 &amp; "x" &amp; H350, H350), " ", I350))</f>
        <v/>
      </c>
      <c r="F350" s="2" t="inlineStr">
        <is>
          <t xml:space="preserve"> Feminino</t>
        </is>
      </c>
      <c r="G350" s="131" t="n"/>
      <c r="H350" s="141" t="inlineStr">
        <is>
          <t xml:space="preserve">100ml </t>
        </is>
      </c>
      <c r="I350" s="31" t="inlineStr">
        <is>
          <t xml:space="preserve">Frasco </t>
        </is>
      </c>
      <c r="J350" s="11" t="inlineStr">
        <is>
          <t xml:space="preserve">Sofisticado / Elegancia / Intensidade / Amadeirado Floral </t>
        </is>
      </c>
      <c r="K350" s="180" t="n"/>
      <c r="L350" s="180" t="n">
        <v>279.9</v>
      </c>
    </row>
    <row r="351" ht="15" customHeight="1" s="145">
      <c r="B351" s="63" t="inlineStr">
        <is>
          <t>Natura</t>
        </is>
      </c>
      <c r="C351" s="74" t="inlineStr">
        <is>
          <t>Essencial</t>
        </is>
      </c>
      <c r="D351" s="64" t="inlineStr">
        <is>
          <t>Deo Parfum</t>
        </is>
      </c>
      <c r="E351" s="136">
        <f>TRIM(CONCATENATE(D351, " ", C351, " ", F351, " ", IF(G351&gt;0, G351 &amp; "x" &amp; H351, H351), " ", I351))</f>
        <v/>
      </c>
      <c r="F351" s="2" t="inlineStr">
        <is>
          <t xml:space="preserve"> Estilo Feminino</t>
        </is>
      </c>
      <c r="G351" s="131" t="n"/>
      <c r="H351" s="141" t="inlineStr">
        <is>
          <t xml:space="preserve">100ml </t>
        </is>
      </c>
      <c r="I351" s="31" t="inlineStr">
        <is>
          <t xml:space="preserve">Frasco </t>
        </is>
      </c>
      <c r="J351" s="11" t="inlineStr">
        <is>
          <t xml:space="preserve">Ousado / Floral Intenso / Moderno / Surpreendente / Amadeirado / Cremoso e Baunilha </t>
        </is>
      </c>
      <c r="K351" s="180" t="n"/>
      <c r="L351" s="180" t="n">
        <v>279.9</v>
      </c>
    </row>
    <row r="352" ht="15" customHeight="1" s="145">
      <c r="B352" s="63" t="inlineStr">
        <is>
          <t>Natura</t>
        </is>
      </c>
      <c r="C352" s="74" t="inlineStr">
        <is>
          <t>Essencial</t>
        </is>
      </c>
      <c r="D352" s="64" t="inlineStr">
        <is>
          <t>Deo Parfum</t>
        </is>
      </c>
      <c r="E352" s="136">
        <f>TRIM(CONCATENATE(D352, " ", C352, " ", F352, " ", IF(G352&gt;0, G352 &amp; "x" &amp; H352, H352), " ", I352))</f>
        <v/>
      </c>
      <c r="F352" s="2" t="inlineStr">
        <is>
          <t xml:space="preserve"> Elixir Feminino</t>
        </is>
      </c>
      <c r="G352" s="131" t="n"/>
      <c r="H352" s="141" t="inlineStr">
        <is>
          <t xml:space="preserve">100ml </t>
        </is>
      </c>
      <c r="I352" s="31" t="inlineStr">
        <is>
          <t xml:space="preserve">Frasco </t>
        </is>
      </c>
      <c r="J352" s="11" t="inlineStr">
        <is>
          <t xml:space="preserve">Frescor de Notas Citricas / Frutais Com Um Corpo Floral / Finalizando pelo pachouilli </t>
        </is>
      </c>
      <c r="K352" s="180" t="n"/>
      <c r="L352" s="180" t="n">
        <v>279.9</v>
      </c>
    </row>
    <row r="353" ht="15" customHeight="1" s="145">
      <c r="B353" s="63" t="inlineStr">
        <is>
          <t>Natura</t>
        </is>
      </c>
      <c r="C353" s="74" t="inlineStr">
        <is>
          <t>Essencial</t>
        </is>
      </c>
      <c r="D353" s="64" t="inlineStr">
        <is>
          <t>Deo Parfum</t>
        </is>
      </c>
      <c r="E353" s="136">
        <f>TRIM(CONCATENATE(D353, " ", C353, " ", F353, " ", IF(G353&gt;0, G353 &amp; "x" &amp; H353, H353), " ", I353))</f>
        <v/>
      </c>
      <c r="F353" s="2" t="inlineStr">
        <is>
          <t xml:space="preserve"> Exclusivo Feminino</t>
        </is>
      </c>
      <c r="G353" s="131" t="n"/>
      <c r="H353" s="141" t="inlineStr">
        <is>
          <t xml:space="preserve">100ml </t>
        </is>
      </c>
      <c r="I353" s="31" t="inlineStr">
        <is>
          <t xml:space="preserve">Frasco </t>
        </is>
      </c>
      <c r="J353" s="11" t="inlineStr">
        <is>
          <t xml:space="preserve">Exalta Personalidade /  Elegancia / Criação Unica / Notas de Casis e Mandarina </t>
        </is>
      </c>
      <c r="K353" s="180" t="n"/>
      <c r="L353" s="180" t="n">
        <v>279.9</v>
      </c>
    </row>
    <row r="354" ht="15" customHeight="1" s="145">
      <c r="B354" s="63" t="inlineStr">
        <is>
          <t>Natura</t>
        </is>
      </c>
      <c r="C354" s="74" t="inlineStr">
        <is>
          <t>Essencial</t>
        </is>
      </c>
      <c r="D354" s="64" t="inlineStr">
        <is>
          <t>Deo Parfum</t>
        </is>
      </c>
      <c r="E354" s="136">
        <f>TRIM(CONCATENATE(D354, " ", C354, " ", F354, " ", IF(G354&gt;0, G354 &amp; "x" &amp; H354, H354), " ", I354))</f>
        <v/>
      </c>
      <c r="F354" s="2" t="inlineStr">
        <is>
          <t xml:space="preserve"> Exclusivo Floral Feminino</t>
        </is>
      </c>
      <c r="G354" s="131" t="n"/>
      <c r="H354" s="141" t="inlineStr">
        <is>
          <t xml:space="preserve">100ml </t>
        </is>
      </c>
      <c r="I354" s="31" t="inlineStr">
        <is>
          <t xml:space="preserve">Frasco </t>
        </is>
      </c>
      <c r="J354" s="11" t="inlineStr">
        <is>
          <t xml:space="preserve">Elegancia /  Flores Brancas Preciosas / Irresistiveis Aroma Frutal </t>
        </is>
      </c>
      <c r="K354" s="180" t="n"/>
      <c r="L354" s="180" t="n">
        <v>279.9</v>
      </c>
    </row>
    <row r="355" ht="15" customHeight="1" s="145">
      <c r="B355" s="63" t="inlineStr">
        <is>
          <t>Natura</t>
        </is>
      </c>
      <c r="C355" s="74" t="inlineStr">
        <is>
          <t>Essencial</t>
        </is>
      </c>
      <c r="D355" s="64" t="inlineStr">
        <is>
          <t>Deo Parfum</t>
        </is>
      </c>
      <c r="E355" s="136">
        <f>TRIM(CONCATENATE(D355, " ", C355, " ", F355, " ", IF(G355&gt;0, G355 &amp; "x" &amp; H355, H355), " ", I355))</f>
        <v/>
      </c>
      <c r="F355" s="2" t="inlineStr">
        <is>
          <t xml:space="preserve"> Mirra Feminino</t>
        </is>
      </c>
      <c r="G355" s="131" t="n"/>
      <c r="H355" s="141" t="inlineStr">
        <is>
          <t xml:space="preserve">100ml </t>
        </is>
      </c>
      <c r="I355" s="31" t="inlineStr">
        <is>
          <t xml:space="preserve">Frasco </t>
        </is>
      </c>
      <c r="J355" s="11" t="inlineStr">
        <is>
          <t xml:space="preserve">Adocicado / Bem Amadeirada / Chique / Sexy /  Luminoso /  Saida Pimenta </t>
        </is>
      </c>
      <c r="K355" s="180" t="n"/>
      <c r="L355" s="180" t="n">
        <v>279.9</v>
      </c>
    </row>
    <row r="356" ht="15" customHeight="1" s="145">
      <c r="B356" s="63" t="inlineStr">
        <is>
          <t>Natura</t>
        </is>
      </c>
      <c r="C356" s="74" t="inlineStr">
        <is>
          <t>Essencial</t>
        </is>
      </c>
      <c r="D356" s="64" t="inlineStr">
        <is>
          <t>Deo Parfum</t>
        </is>
      </c>
      <c r="E356" s="136">
        <f>TRIM(CONCATENATE(D356, " ", C356, " ", F356, " ", IF(G356&gt;0, G356 &amp; "x" &amp; H356, H356), " ", I356))</f>
        <v/>
      </c>
      <c r="F356" s="2" t="inlineStr">
        <is>
          <t xml:space="preserve"> Oud Feminino</t>
        </is>
      </c>
      <c r="G356" s="131" t="n"/>
      <c r="H356" s="141" t="inlineStr">
        <is>
          <t xml:space="preserve">100ml </t>
        </is>
      </c>
      <c r="I356" s="31" t="inlineStr">
        <is>
          <t xml:space="preserve">Frasco </t>
        </is>
      </c>
      <c r="J356" s="11" t="inlineStr">
        <is>
          <t xml:space="preserve">Poderosissima / Envolvente /  Sofisticado / Força / Marcante /  Elegancia / Intenso </t>
        </is>
      </c>
      <c r="K356" s="180" t="n"/>
      <c r="L356" s="180" t="n">
        <v>279.9</v>
      </c>
    </row>
    <row r="357" ht="15" customHeight="1" s="145">
      <c r="B357" s="63" t="inlineStr">
        <is>
          <t>Natura</t>
        </is>
      </c>
      <c r="C357" s="74" t="inlineStr">
        <is>
          <t>Essencial</t>
        </is>
      </c>
      <c r="D357" s="64" t="inlineStr">
        <is>
          <t>Deo Parfum</t>
        </is>
      </c>
      <c r="E357" s="136">
        <f>TRIM(CONCATENATE(D357, " ", C357, " ", F357, " ", IF(G357&gt;0, G357 &amp; "x" &amp; H357, H357), " ", I357))</f>
        <v/>
      </c>
      <c r="F357" s="2" t="inlineStr">
        <is>
          <t xml:space="preserve"> Old Vanilla Feminino </t>
        </is>
      </c>
      <c r="G357" s="131" t="n"/>
      <c r="H357" s="141" t="inlineStr">
        <is>
          <t xml:space="preserve">100ml </t>
        </is>
      </c>
      <c r="I357" s="31" t="inlineStr">
        <is>
          <t xml:space="preserve">Frasco </t>
        </is>
      </c>
      <c r="J357" s="11" t="inlineStr">
        <is>
          <t xml:space="preserve">Doce Sem Ser Enjoativo / Baunilla / Sofisticação / Envolvente / Poderosa / Floral com a intensidade Oud </t>
        </is>
      </c>
      <c r="K357" s="180" t="n"/>
      <c r="L357" s="180" t="n">
        <v>279.9</v>
      </c>
    </row>
    <row r="358" ht="15" customHeight="1" s="145">
      <c r="B358" s="63" t="inlineStr">
        <is>
          <t>Natura</t>
        </is>
      </c>
      <c r="C358" s="74" t="inlineStr">
        <is>
          <t>Essencial</t>
        </is>
      </c>
      <c r="D358" s="64" t="inlineStr">
        <is>
          <t>Deo Parfum</t>
        </is>
      </c>
      <c r="E358" s="136">
        <f>TRIM(CONCATENATE(D358, " ", C358, " ", F358, " ", IF(G358&gt;0, G358 &amp; "x" &amp; H358, H358), " ", I358))</f>
        <v/>
      </c>
      <c r="F358" s="121" t="inlineStr">
        <is>
          <t xml:space="preserve"> Old Pimenta Feminino</t>
        </is>
      </c>
      <c r="G358" s="131" t="n"/>
      <c r="H358" s="141" t="inlineStr">
        <is>
          <t xml:space="preserve">100ml </t>
        </is>
      </c>
      <c r="I358" s="31" t="inlineStr">
        <is>
          <t xml:space="preserve">Frasco </t>
        </is>
      </c>
      <c r="J358" s="11" t="inlineStr">
        <is>
          <t xml:space="preserve">Especiado Quente / Amadeirado / Especiado Fresco / Pimenta Preta / Conforto / Agradavel </t>
        </is>
      </c>
      <c r="K358" s="180" t="n"/>
      <c r="L358" s="180" t="n">
        <v>279.9</v>
      </c>
    </row>
    <row r="359" ht="15" customHeight="1" s="145">
      <c r="B359" s="63" t="inlineStr">
        <is>
          <t>Natura</t>
        </is>
      </c>
      <c r="C359" s="74" t="inlineStr">
        <is>
          <t>Essencial</t>
        </is>
      </c>
      <c r="D359" s="64" t="inlineStr">
        <is>
          <t>Deo Parfum</t>
        </is>
      </c>
      <c r="E359" s="136">
        <f>TRIM(CONCATENATE(D359, " ", C359, " ", F359, " ", IF(G359&gt;0, G359 &amp; "x" &amp; H359, H359), " ", I359))</f>
        <v/>
      </c>
      <c r="F359" s="2" t="inlineStr">
        <is>
          <t xml:space="preserve"> Palo Santo Feminino</t>
        </is>
      </c>
      <c r="G359" s="131" t="n"/>
      <c r="H359" s="141" t="inlineStr">
        <is>
          <t xml:space="preserve">100ml </t>
        </is>
      </c>
      <c r="I359" s="31" t="inlineStr">
        <is>
          <t xml:space="preserve">Frasco </t>
        </is>
      </c>
      <c r="J359" s="11" t="inlineStr">
        <is>
          <t xml:space="preserve">Floral Branco / Baunilha / Floral Amadeirado / Quente / Doce Confortavel / Envolvente </t>
        </is>
      </c>
      <c r="K359" s="180" t="n"/>
      <c r="L359" s="180" t="n">
        <v>279.9</v>
      </c>
    </row>
    <row r="360" ht="15" customHeight="1" s="145">
      <c r="B360" s="63" t="inlineStr">
        <is>
          <t>Natura</t>
        </is>
      </c>
      <c r="C360" s="74" t="inlineStr">
        <is>
          <t>Essencial</t>
        </is>
      </c>
      <c r="D360" s="64" t="inlineStr">
        <is>
          <t>Deo Parfum</t>
        </is>
      </c>
      <c r="E360" s="136">
        <f>TRIM(CONCATENATE(D360, " ", C360, " ", F360, " ", IF(G360&gt;0, G360 &amp; "x" &amp; H360, H360), " ", I360))</f>
        <v/>
      </c>
      <c r="F360" s="124" t="inlineStr">
        <is>
          <t xml:space="preserve"> Supreme Feminino</t>
        </is>
      </c>
      <c r="G360" s="131" t="n"/>
      <c r="H360" s="141" t="inlineStr">
        <is>
          <t xml:space="preserve">100ml </t>
        </is>
      </c>
      <c r="I360" s="31" t="inlineStr">
        <is>
          <t xml:space="preserve">Frasco </t>
        </is>
      </c>
      <c r="J360" s="11" t="inlineStr">
        <is>
          <t xml:space="preserve">Atalcado / Amadeirado / Doce / Floral / Baunilha / Quente / Delicado </t>
        </is>
      </c>
      <c r="K360" s="180" t="n"/>
      <c r="L360" s="180" t="n">
        <v>279.9</v>
      </c>
    </row>
    <row r="361" ht="15" customHeight="1" s="145">
      <c r="B361" s="63" t="inlineStr">
        <is>
          <t>Natura</t>
        </is>
      </c>
      <c r="C361" s="74" t="inlineStr">
        <is>
          <t>Essencial</t>
        </is>
      </c>
      <c r="D361" s="64" t="inlineStr">
        <is>
          <t>Deo Parfum</t>
        </is>
      </c>
      <c r="E361" s="136">
        <f>TRIM(CONCATENATE(D361, " ", C361, " ", F361, " ", IF(G361&gt;0, G361 &amp; "x" &amp; H361, H361), " ", I361))</f>
        <v/>
      </c>
      <c r="F361" s="2" t="inlineStr">
        <is>
          <t xml:space="preserve"> Sentir Feminino</t>
        </is>
      </c>
      <c r="G361" s="131" t="n"/>
      <c r="H361" s="141" t="inlineStr">
        <is>
          <t xml:space="preserve">100ml </t>
        </is>
      </c>
      <c r="I361" s="31" t="inlineStr">
        <is>
          <t xml:space="preserve">Frasco </t>
        </is>
      </c>
      <c r="J361" s="11" t="inlineStr">
        <is>
          <t xml:space="preserve">Floral / Tuberosa / Animafico / Doce Suave  / Frutado / Diurno / Casual </t>
        </is>
      </c>
      <c r="K361" s="180" t="n"/>
      <c r="L361" s="180" t="n">
        <v>279.9</v>
      </c>
    </row>
    <row r="362" ht="15" customHeight="1" s="145">
      <c r="B362" s="63" t="inlineStr">
        <is>
          <t>Natura</t>
        </is>
      </c>
      <c r="C362" s="74" t="inlineStr">
        <is>
          <t>Essencial</t>
        </is>
      </c>
      <c r="D362" s="64" t="inlineStr">
        <is>
          <t>Deo Parfum</t>
        </is>
      </c>
      <c r="E362" s="136">
        <f>TRIM(CONCATENATE(D362, " ", C362, " ", F362, " ", IF(G362&gt;0, G362 &amp; "x" &amp; H362, H362), " ", I362))</f>
        <v/>
      </c>
      <c r="F362" s="2" t="inlineStr">
        <is>
          <t xml:space="preserve"> Único Feminino</t>
        </is>
      </c>
      <c r="G362" s="131" t="n"/>
      <c r="H362" s="141" t="inlineStr">
        <is>
          <t xml:space="preserve">100ml </t>
        </is>
      </c>
      <c r="I362" s="31" t="inlineStr">
        <is>
          <t xml:space="preserve">Frasco </t>
        </is>
      </c>
      <c r="J362" s="11" t="inlineStr">
        <is>
          <t>Marcante / Pimenta Preta / Diferenciado / Sofisticado / Pura e Notas Mais Nobres / Coração Jasmin Egiptia</t>
        </is>
      </c>
      <c r="K362" s="180" t="n"/>
      <c r="L362" s="180" t="n">
        <v>279.9</v>
      </c>
    </row>
    <row r="363" ht="15" customHeight="1" s="145">
      <c r="B363" s="63" t="inlineStr">
        <is>
          <t>Natura</t>
        </is>
      </c>
      <c r="C363" s="74" t="inlineStr">
        <is>
          <t>Essencial</t>
        </is>
      </c>
      <c r="D363" s="64" t="inlineStr">
        <is>
          <t>Deo Parfum</t>
        </is>
      </c>
      <c r="E363" s="136">
        <f>TRIM(CONCATENATE(D363, " ", C363, " ", F363, " ", IF(G363&gt;0, G363 &amp; "x" &amp; H363, H363), " ", I363))</f>
        <v/>
      </c>
      <c r="F363" s="2" t="inlineStr">
        <is>
          <t xml:space="preserve"> Atrai Feminino</t>
        </is>
      </c>
      <c r="G363" s="131" t="n"/>
      <c r="H363" s="141" t="inlineStr">
        <is>
          <t xml:space="preserve">100ml </t>
        </is>
      </c>
      <c r="I363" s="31" t="inlineStr">
        <is>
          <t xml:space="preserve">Refil </t>
        </is>
      </c>
      <c r="J363" s="124" t="inlineStr">
        <is>
          <t xml:space="preserve">Encanto / Delicado /  Pimenta  Rosa / Amadeirado Floral </t>
        </is>
      </c>
      <c r="K363" s="180" t="n"/>
      <c r="L363" s="180" t="n">
        <v>213.9</v>
      </c>
    </row>
    <row r="364" ht="15" customHeight="1" s="145">
      <c r="B364" s="63" t="inlineStr">
        <is>
          <t>Natura</t>
        </is>
      </c>
      <c r="C364" s="74" t="inlineStr">
        <is>
          <t>Essencial</t>
        </is>
      </c>
      <c r="D364" s="64" t="inlineStr">
        <is>
          <t>Deo Parfum</t>
        </is>
      </c>
      <c r="E364" s="136">
        <f>TRIM(CONCATENATE(D364, " ", C364, " ", F364, " ", IF(G364&gt;0, G364 &amp; "x" &amp; H364, H364), " ", I364))</f>
        <v/>
      </c>
      <c r="F364" s="2" t="inlineStr">
        <is>
          <t xml:space="preserve"> Atô Feminino</t>
        </is>
      </c>
      <c r="G364" s="131" t="n"/>
      <c r="H364" s="141" t="inlineStr">
        <is>
          <t xml:space="preserve">100ml </t>
        </is>
      </c>
      <c r="I364" s="31" t="inlineStr">
        <is>
          <t xml:space="preserve">Refil </t>
        </is>
      </c>
      <c r="J364" s="11" t="inlineStr">
        <is>
          <t xml:space="preserve">Floral Frutal / Acorde Dourado / Iluminoso / Amadeirado / Elegancia </t>
        </is>
      </c>
      <c r="K364" s="180" t="n"/>
      <c r="L364" s="180" t="n">
        <v>213.9</v>
      </c>
    </row>
    <row r="365" ht="15" customHeight="1" s="145">
      <c r="B365" s="63" t="inlineStr">
        <is>
          <t>Natura</t>
        </is>
      </c>
      <c r="C365" s="74" t="inlineStr">
        <is>
          <t>Essencial</t>
        </is>
      </c>
      <c r="D365" s="64" t="inlineStr">
        <is>
          <t>Deo Parfum</t>
        </is>
      </c>
      <c r="E365" s="136">
        <f>TRIM(CONCATENATE(D365, " ", C365, " ", F365, " ", IF(G365&gt;0, G365 &amp; "x" &amp; H365, H365), " ", I365))</f>
        <v/>
      </c>
      <c r="F365" s="2" t="inlineStr">
        <is>
          <t xml:space="preserve"> Feminino</t>
        </is>
      </c>
      <c r="G365" s="131" t="n"/>
      <c r="H365" s="141" t="inlineStr">
        <is>
          <t xml:space="preserve">100ml </t>
        </is>
      </c>
      <c r="I365" s="31" t="inlineStr">
        <is>
          <t xml:space="preserve">Refil </t>
        </is>
      </c>
      <c r="J365" s="11" t="inlineStr">
        <is>
          <t xml:space="preserve">Sofisticado / Elegancia / Intensidade / Amadeirado Floral </t>
        </is>
      </c>
      <c r="K365" s="180" t="n"/>
      <c r="L365" s="180" t="n">
        <v>213.9</v>
      </c>
    </row>
    <row r="366" ht="15" customHeight="1" s="145">
      <c r="B366" s="63" t="inlineStr">
        <is>
          <t>Natura</t>
        </is>
      </c>
      <c r="C366" s="74" t="inlineStr">
        <is>
          <t>Essencial</t>
        </is>
      </c>
      <c r="D366" s="64" t="inlineStr">
        <is>
          <t>Deo Parfum</t>
        </is>
      </c>
      <c r="E366" s="136">
        <f>TRIM(CONCATENATE(D366, " ", C366, " ", F366, " ", IF(G366&gt;0, G366 &amp; "x" &amp; H366, H366), " ", I366))</f>
        <v/>
      </c>
      <c r="F366" s="2" t="inlineStr">
        <is>
          <t xml:space="preserve"> Estilo Feminino</t>
        </is>
      </c>
      <c r="G366" s="131" t="n"/>
      <c r="H366" s="141" t="inlineStr">
        <is>
          <t xml:space="preserve">100ml </t>
        </is>
      </c>
      <c r="I366" s="31" t="inlineStr">
        <is>
          <t xml:space="preserve">Refil </t>
        </is>
      </c>
      <c r="J366" s="11" t="inlineStr">
        <is>
          <t xml:space="preserve">Ousado / Floral Intenso / Moderno / Surpreendente / Amadeirado / Cremoso e Baunilha </t>
        </is>
      </c>
      <c r="K366" s="180" t="n"/>
      <c r="L366" s="180" t="n">
        <v>213.9</v>
      </c>
    </row>
    <row r="367" ht="15" customHeight="1" s="145">
      <c r="B367" s="63" t="inlineStr">
        <is>
          <t>Natura</t>
        </is>
      </c>
      <c r="C367" s="74" t="inlineStr">
        <is>
          <t>Essencial</t>
        </is>
      </c>
      <c r="D367" s="64" t="inlineStr">
        <is>
          <t>Deo Parfum</t>
        </is>
      </c>
      <c r="E367" s="136">
        <f>TRIM(CONCATENATE(D367, " ", C367, " ", F367, " ", IF(G367&gt;0, G367 &amp; "x" &amp; H367, H367), " ", I367))</f>
        <v/>
      </c>
      <c r="F367" s="2" t="inlineStr">
        <is>
          <t xml:space="preserve"> Elixir Feminino</t>
        </is>
      </c>
      <c r="G367" s="131" t="n"/>
      <c r="H367" s="141" t="inlineStr">
        <is>
          <t xml:space="preserve">100ml </t>
        </is>
      </c>
      <c r="I367" s="31" t="inlineStr">
        <is>
          <t xml:space="preserve">Refil </t>
        </is>
      </c>
      <c r="J367" s="11" t="inlineStr">
        <is>
          <t xml:space="preserve">Frescor de Notas Citricas / Frutais Com Um Corpo Floral / Finalizando pelo pachouilli </t>
        </is>
      </c>
      <c r="K367" s="180" t="n"/>
      <c r="L367" s="180" t="n">
        <v>213.9</v>
      </c>
    </row>
    <row r="368" ht="15" customHeight="1" s="145">
      <c r="B368" s="63" t="inlineStr">
        <is>
          <t>Natura</t>
        </is>
      </c>
      <c r="C368" s="74" t="inlineStr">
        <is>
          <t>Essencial</t>
        </is>
      </c>
      <c r="D368" s="64" t="inlineStr">
        <is>
          <t>Deo Parfum</t>
        </is>
      </c>
      <c r="E368" s="136">
        <f>TRIM(CONCATENATE(D368, " ", C368, " ", F368, " ", IF(G368&gt;0, G368 &amp; "x" &amp; H368, H368), " ", I368))</f>
        <v/>
      </c>
      <c r="F368" s="2" t="inlineStr">
        <is>
          <t xml:space="preserve"> Exclusivo Feminino</t>
        </is>
      </c>
      <c r="G368" s="131" t="n"/>
      <c r="H368" s="141" t="inlineStr">
        <is>
          <t xml:space="preserve">100ml </t>
        </is>
      </c>
      <c r="I368" s="31" t="inlineStr">
        <is>
          <t xml:space="preserve">Refil </t>
        </is>
      </c>
      <c r="J368" s="11" t="inlineStr">
        <is>
          <t xml:space="preserve">Exalta Personalidade /  Elegancia / Criação Unica / Notas de Casis e Mandarina </t>
        </is>
      </c>
      <c r="K368" s="180" t="n"/>
      <c r="L368" s="180" t="n">
        <v>213.9</v>
      </c>
    </row>
    <row r="369" ht="15" customHeight="1" s="145">
      <c r="B369" s="63" t="inlineStr">
        <is>
          <t>Natura</t>
        </is>
      </c>
      <c r="C369" s="74" t="inlineStr">
        <is>
          <t>Essencial</t>
        </is>
      </c>
      <c r="D369" s="64" t="inlineStr">
        <is>
          <t>Deo Parfum</t>
        </is>
      </c>
      <c r="E369" s="136">
        <f>TRIM(CONCATENATE(D369, " ", C369, " ", F369, " ", IF(G369&gt;0, G369 &amp; "x" &amp; H369, H369), " ", I369))</f>
        <v/>
      </c>
      <c r="F369" s="2" t="inlineStr">
        <is>
          <t xml:space="preserve"> Exclusivo Floral Feminino</t>
        </is>
      </c>
      <c r="G369" s="131" t="n"/>
      <c r="H369" s="141" t="inlineStr">
        <is>
          <t xml:space="preserve">100ml </t>
        </is>
      </c>
      <c r="I369" s="31" t="inlineStr">
        <is>
          <t xml:space="preserve">Refil </t>
        </is>
      </c>
      <c r="J369" s="11" t="inlineStr">
        <is>
          <t xml:space="preserve">Elegancia /  Flores Brancas Preciosas / Irresistiveis Aroma Frutal </t>
        </is>
      </c>
      <c r="K369" s="180" t="n"/>
      <c r="L369" s="180" t="n">
        <v>213.9</v>
      </c>
    </row>
    <row r="370" ht="15" customHeight="1" s="145">
      <c r="B370" s="63" t="inlineStr">
        <is>
          <t>Natura</t>
        </is>
      </c>
      <c r="C370" s="74" t="inlineStr">
        <is>
          <t>Essencial</t>
        </is>
      </c>
      <c r="D370" s="64" t="inlineStr">
        <is>
          <t>Deo Parfum</t>
        </is>
      </c>
      <c r="E370" s="136">
        <f>TRIM(CONCATENATE(D370, " ", C370, " ", F370, " ", IF(G370&gt;0, G370 &amp; "x" &amp; H370, H370), " ", I370))</f>
        <v/>
      </c>
      <c r="F370" s="2" t="inlineStr">
        <is>
          <t xml:space="preserve"> Mirra Feminino</t>
        </is>
      </c>
      <c r="G370" s="131" t="n"/>
      <c r="H370" s="141" t="inlineStr">
        <is>
          <t xml:space="preserve">100ml </t>
        </is>
      </c>
      <c r="I370" s="31" t="inlineStr">
        <is>
          <t xml:space="preserve">Refil </t>
        </is>
      </c>
      <c r="J370" s="11" t="inlineStr">
        <is>
          <t xml:space="preserve">Adocicado / Bem Amadeirada / Chique / Sexy /  Luminoso /  Saida Pimenta </t>
        </is>
      </c>
      <c r="K370" s="180" t="n"/>
      <c r="L370" s="180" t="n">
        <v>213.9</v>
      </c>
    </row>
    <row r="371" ht="15" customHeight="1" s="145">
      <c r="B371" s="63" t="inlineStr">
        <is>
          <t>Natura</t>
        </is>
      </c>
      <c r="C371" s="74" t="inlineStr">
        <is>
          <t>Essencial</t>
        </is>
      </c>
      <c r="D371" s="64" t="inlineStr">
        <is>
          <t>Deo Parfum</t>
        </is>
      </c>
      <c r="E371" s="136">
        <f>TRIM(CONCATENATE(D371, " ", C371, " ", F371, " ", IF(G371&gt;0, G371 &amp; "x" &amp; H371, H371), " ", I371))</f>
        <v/>
      </c>
      <c r="F371" s="2" t="inlineStr">
        <is>
          <t xml:space="preserve"> Oud Feminino</t>
        </is>
      </c>
      <c r="G371" s="131" t="n"/>
      <c r="H371" s="141" t="inlineStr">
        <is>
          <t xml:space="preserve">100ml </t>
        </is>
      </c>
      <c r="I371" s="31" t="inlineStr">
        <is>
          <t xml:space="preserve">Refil </t>
        </is>
      </c>
      <c r="J371" s="2" t="inlineStr">
        <is>
          <t xml:space="preserve">Poderosissima / Envolvente /  Sofisticado / Força / Marcante /  Elegancia / Intenso </t>
        </is>
      </c>
      <c r="K371" s="180" t="n"/>
      <c r="L371" s="180" t="n">
        <v>213.9</v>
      </c>
    </row>
    <row r="372" ht="15" customHeight="1" s="145">
      <c r="B372" s="63" t="inlineStr">
        <is>
          <t>Natura</t>
        </is>
      </c>
      <c r="C372" s="74" t="inlineStr">
        <is>
          <t>Essencial</t>
        </is>
      </c>
      <c r="D372" s="64" t="inlineStr">
        <is>
          <t>Deo Parfum</t>
        </is>
      </c>
      <c r="E372" s="136">
        <f>TRIM(CONCATENATE(D372, " ", C372, " ", F372, " ", IF(G372&gt;0, G372 &amp; "x" &amp; H372, H372), " ", I372))</f>
        <v/>
      </c>
      <c r="F372" s="2" t="inlineStr">
        <is>
          <t xml:space="preserve"> Old Vanilla Feminino </t>
        </is>
      </c>
      <c r="G372" s="131" t="n"/>
      <c r="H372" s="141" t="inlineStr">
        <is>
          <t xml:space="preserve">100ml </t>
        </is>
      </c>
      <c r="I372" s="31" t="inlineStr">
        <is>
          <t xml:space="preserve">Refil </t>
        </is>
      </c>
      <c r="J372" s="11" t="inlineStr">
        <is>
          <t xml:space="preserve">Doce Sem Ser Enjoativo / Baunilla / Sofisticação / Envolvente / Poderosa / Floral com a intensidade Oud </t>
        </is>
      </c>
      <c r="K372" s="180" t="n"/>
      <c r="L372" s="180" t="n">
        <v>213.9</v>
      </c>
    </row>
    <row r="373" ht="15" customHeight="1" s="145">
      <c r="B373" s="63" t="inlineStr">
        <is>
          <t>Natura</t>
        </is>
      </c>
      <c r="C373" s="74" t="inlineStr">
        <is>
          <t>Essencial</t>
        </is>
      </c>
      <c r="D373" s="64" t="inlineStr">
        <is>
          <t>Deo Parfum</t>
        </is>
      </c>
      <c r="E373" s="136">
        <f>TRIM(CONCATENATE(D373, " ", C373, " ", F373, " ", IF(G373&gt;0, G373 &amp; "x" &amp; H373, H373), " ", I373))</f>
        <v/>
      </c>
      <c r="F373" s="121" t="inlineStr">
        <is>
          <t xml:space="preserve"> Old Pimenta Feminino</t>
        </is>
      </c>
      <c r="G373" s="131" t="n"/>
      <c r="H373" s="141" t="inlineStr">
        <is>
          <t xml:space="preserve">100ml </t>
        </is>
      </c>
      <c r="I373" s="31" t="inlineStr">
        <is>
          <t xml:space="preserve">Refil </t>
        </is>
      </c>
      <c r="J373" s="11" t="inlineStr">
        <is>
          <t xml:space="preserve">Especiado Quente / Amadeirado / Especiado Fresco / Pimenta Preta / Conforto / Agradavel </t>
        </is>
      </c>
      <c r="K373" s="180" t="n"/>
      <c r="L373" s="180" t="n">
        <v>213.9</v>
      </c>
    </row>
    <row r="374" ht="15" customHeight="1" s="145">
      <c r="B374" s="63" t="inlineStr">
        <is>
          <t>Natura</t>
        </is>
      </c>
      <c r="C374" s="74" t="inlineStr">
        <is>
          <t>Essencial</t>
        </is>
      </c>
      <c r="D374" s="64" t="inlineStr">
        <is>
          <t>Deo Parfum</t>
        </is>
      </c>
      <c r="E374" s="136">
        <f>TRIM(CONCATENATE(D374, " ", C374, " ", F374, " ", IF(G374&gt;0, G374 &amp; "x" &amp; H374, H374), " ", I374))</f>
        <v/>
      </c>
      <c r="F374" s="2" t="inlineStr">
        <is>
          <t xml:space="preserve"> Palo Santo Feminino</t>
        </is>
      </c>
      <c r="G374" s="131" t="n"/>
      <c r="H374" s="141" t="inlineStr">
        <is>
          <t xml:space="preserve">100ml </t>
        </is>
      </c>
      <c r="I374" s="31" t="inlineStr">
        <is>
          <t xml:space="preserve">Refil </t>
        </is>
      </c>
      <c r="J374" s="11" t="inlineStr">
        <is>
          <t xml:space="preserve">Floral Branco / Baunilha / Floral Amadeirado / Quente / Doce Confortavel / Envolvente </t>
        </is>
      </c>
      <c r="K374" s="180" t="n"/>
      <c r="L374" s="180" t="n">
        <v>213.9</v>
      </c>
    </row>
    <row r="375" ht="15" customHeight="1" s="145">
      <c r="B375" s="63" t="inlineStr">
        <is>
          <t>Natura</t>
        </is>
      </c>
      <c r="C375" s="74" t="inlineStr">
        <is>
          <t>Essencial</t>
        </is>
      </c>
      <c r="D375" s="64" t="inlineStr">
        <is>
          <t>Deo Parfum</t>
        </is>
      </c>
      <c r="E375" s="136">
        <f>TRIM(CONCATENATE(D375, " ", C375, " ", F375, " ", IF(G375&gt;0, G375 &amp; "x" &amp; H375, H375), " ", I375))</f>
        <v/>
      </c>
      <c r="F375" s="124" t="inlineStr">
        <is>
          <t xml:space="preserve"> Supreme Feminino</t>
        </is>
      </c>
      <c r="G375" s="131" t="n"/>
      <c r="H375" s="141" t="inlineStr">
        <is>
          <t xml:space="preserve">100ml </t>
        </is>
      </c>
      <c r="I375" s="31" t="inlineStr">
        <is>
          <t xml:space="preserve">Refil </t>
        </is>
      </c>
      <c r="J375" s="11" t="inlineStr">
        <is>
          <t xml:space="preserve">Atalcado / Amadeirado / Doce / Floral / Baunilha / Quente / Delicado </t>
        </is>
      </c>
      <c r="K375" s="180" t="n"/>
      <c r="L375" s="180" t="n">
        <v>213.9</v>
      </c>
    </row>
    <row r="376" ht="15" customHeight="1" s="145">
      <c r="B376" s="63" t="inlineStr">
        <is>
          <t>Natura</t>
        </is>
      </c>
      <c r="C376" s="74" t="inlineStr">
        <is>
          <t>Essencial</t>
        </is>
      </c>
      <c r="D376" s="64" t="inlineStr">
        <is>
          <t>Deo Parfum</t>
        </is>
      </c>
      <c r="E376" s="136">
        <f>TRIM(CONCATENATE(D376, " ", C376, " ", F376, " ", IF(G376&gt;0, G376 &amp; "x" &amp; H376, H376), " ", I376))</f>
        <v/>
      </c>
      <c r="F376" s="2" t="inlineStr">
        <is>
          <t xml:space="preserve"> Sentir Feminino</t>
        </is>
      </c>
      <c r="G376" s="131" t="n"/>
      <c r="H376" s="141" t="inlineStr">
        <is>
          <t xml:space="preserve">100ml </t>
        </is>
      </c>
      <c r="I376" s="31" t="inlineStr">
        <is>
          <t xml:space="preserve">Refil </t>
        </is>
      </c>
      <c r="J376" s="11" t="inlineStr">
        <is>
          <t xml:space="preserve">Floral / Tuberosa / Animafico / Doce Suave  / Frutado / Diurno / Casual </t>
        </is>
      </c>
      <c r="K376" s="180" t="n"/>
      <c r="L376" s="180" t="n">
        <v>213.9</v>
      </c>
    </row>
    <row r="377" ht="15" customHeight="1" s="145">
      <c r="B377" s="63" t="inlineStr">
        <is>
          <t>Natura</t>
        </is>
      </c>
      <c r="C377" s="74" t="inlineStr">
        <is>
          <t>Essencial</t>
        </is>
      </c>
      <c r="D377" s="64" t="inlineStr">
        <is>
          <t>Deo Parfum</t>
        </is>
      </c>
      <c r="E377" s="136">
        <f>TRIM(CONCATENATE(D377, " ", C377, " ", F377, " ", IF(G377&gt;0, G377 &amp; "x" &amp; H377, H377), " ", I377))</f>
        <v/>
      </c>
      <c r="F377" s="2" t="inlineStr">
        <is>
          <t xml:space="preserve"> Único Feminino</t>
        </is>
      </c>
      <c r="G377" s="131" t="n"/>
      <c r="H377" s="141" t="inlineStr">
        <is>
          <t xml:space="preserve">100ml </t>
        </is>
      </c>
      <c r="I377" s="31" t="inlineStr">
        <is>
          <t xml:space="preserve">Refil </t>
        </is>
      </c>
      <c r="J377" s="11" t="inlineStr">
        <is>
          <t>Marcante / Pimenta Preta / Diferenciado / Sofisticado / Pura e Notas Mais Nobres / Coração Jasmin Egiptia</t>
        </is>
      </c>
      <c r="K377" s="180" t="n"/>
      <c r="L377" s="180" t="n">
        <v>213.9</v>
      </c>
    </row>
    <row r="378" ht="15" customHeight="1" s="145">
      <c r="B378" s="63" t="inlineStr">
        <is>
          <t>Natura</t>
        </is>
      </c>
      <c r="C378" s="74" t="inlineStr">
        <is>
          <t>Essencial</t>
        </is>
      </c>
      <c r="D378" s="66" t="inlineStr">
        <is>
          <t>Desodorante Coporal</t>
        </is>
      </c>
      <c r="E378" s="136">
        <f>TRIM(CONCATENATE(D378, " ", C378, " ", F378, " ", IF(G378&gt;0, G378 &amp; "x" &amp; H378, H378), " ", I378))</f>
        <v/>
      </c>
      <c r="F378" s="2" t="inlineStr">
        <is>
          <t>Feminino</t>
        </is>
      </c>
      <c r="G378" s="131" t="n"/>
      <c r="H378" s="141" t="inlineStr">
        <is>
          <t xml:space="preserve">100ml </t>
        </is>
      </c>
      <c r="I378" s="31" t="inlineStr">
        <is>
          <t xml:space="preserve">Frasco </t>
        </is>
      </c>
      <c r="J378" s="11" t="inlineStr">
        <is>
          <t xml:space="preserve">Perfuma 24 hrs /  Perfuma / Mantem a Hidratação do Corpo </t>
        </is>
      </c>
      <c r="K378" s="180" t="n"/>
      <c r="L378" s="180" t="n">
        <v>54.9</v>
      </c>
    </row>
    <row r="379" ht="15" customHeight="1" s="145">
      <c r="B379" s="63" t="inlineStr">
        <is>
          <t>Natura</t>
        </is>
      </c>
      <c r="C379" s="74" t="inlineStr">
        <is>
          <t>Essencial</t>
        </is>
      </c>
      <c r="D379" s="66" t="inlineStr">
        <is>
          <t>Desodorante Coporal</t>
        </is>
      </c>
      <c r="E379" s="136">
        <f>TRIM(CONCATENATE(D379, " ", C379, " ", F379, " ", IF(G379&gt;0, G379 &amp; "x" &amp; H379, H379), " ", I379))</f>
        <v/>
      </c>
      <c r="F379" s="2" t="inlineStr">
        <is>
          <t xml:space="preserve"> Atrai Masculino</t>
        </is>
      </c>
      <c r="G379" s="131" t="n"/>
      <c r="H379" s="141" t="inlineStr">
        <is>
          <t xml:space="preserve">100ml </t>
        </is>
      </c>
      <c r="I379" s="31" t="inlineStr">
        <is>
          <t xml:space="preserve">Frasco </t>
        </is>
      </c>
      <c r="J379" s="11" t="inlineStr">
        <is>
          <t xml:space="preserve">Perfuma 24 hrs /  Perfuma / Mantem a Hidratação do Corpo </t>
        </is>
      </c>
      <c r="K379" s="180" t="n"/>
      <c r="L379" s="180" t="n">
        <v>54.9</v>
      </c>
    </row>
    <row r="380" ht="15" customHeight="1" s="145">
      <c r="B380" s="63" t="inlineStr">
        <is>
          <t>Natura</t>
        </is>
      </c>
      <c r="C380" s="74" t="inlineStr">
        <is>
          <t>Essencial</t>
        </is>
      </c>
      <c r="D380" s="66" t="inlineStr">
        <is>
          <t>Desodorante Coporal</t>
        </is>
      </c>
      <c r="E380" s="136">
        <f>TRIM(CONCATENATE(D380, " ", C380, " ", F380, " ", IF(G380&gt;0, G380 &amp; "x" &amp; H380, H380), " ", I380))</f>
        <v/>
      </c>
      <c r="F380" s="2" t="inlineStr">
        <is>
          <t xml:space="preserve"> Atô Masculino</t>
        </is>
      </c>
      <c r="G380" s="131" t="n"/>
      <c r="H380" s="141" t="inlineStr">
        <is>
          <t xml:space="preserve">100ml </t>
        </is>
      </c>
      <c r="I380" s="31" t="inlineStr">
        <is>
          <t xml:space="preserve">Frasco </t>
        </is>
      </c>
      <c r="J380" s="11" t="inlineStr">
        <is>
          <t xml:space="preserve">Perfuma 24 hrs /  Perfuma / Mantem a Hidratação do Corpo </t>
        </is>
      </c>
      <c r="K380" s="180" t="n"/>
      <c r="L380" s="180" t="n">
        <v>54.9</v>
      </c>
    </row>
    <row r="381" ht="15" customHeight="1" s="145">
      <c r="B381" s="63" t="inlineStr">
        <is>
          <t>Natura</t>
        </is>
      </c>
      <c r="C381" s="74" t="inlineStr">
        <is>
          <t>Essencial</t>
        </is>
      </c>
      <c r="D381" s="66" t="inlineStr">
        <is>
          <t>Desodorante Coporal</t>
        </is>
      </c>
      <c r="E381" s="136">
        <f>TRIM(CONCATENATE(D381, " ", C381, " ", F381, " ", IF(G381&gt;0, G381 &amp; "x" &amp; H381, H381), " ", I381))</f>
        <v/>
      </c>
      <c r="F381" s="2" t="inlineStr">
        <is>
          <t xml:space="preserve"> Masculino</t>
        </is>
      </c>
      <c r="G381" s="131" t="n"/>
      <c r="H381" s="141" t="inlineStr">
        <is>
          <t xml:space="preserve">100ml </t>
        </is>
      </c>
      <c r="I381" s="31" t="inlineStr">
        <is>
          <t xml:space="preserve">Frasco </t>
        </is>
      </c>
      <c r="J381" s="11" t="inlineStr">
        <is>
          <t xml:space="preserve">Perfuma 24 hrs /  Perfuma / Mantem a Hidratação do Corpo </t>
        </is>
      </c>
      <c r="K381" s="180" t="n"/>
      <c r="L381" s="180" t="n">
        <v>54.9</v>
      </c>
    </row>
    <row r="382" ht="15" customHeight="1" s="145">
      <c r="B382" s="63" t="inlineStr">
        <is>
          <t>Natura</t>
        </is>
      </c>
      <c r="C382" s="74" t="inlineStr">
        <is>
          <t>Essencial</t>
        </is>
      </c>
      <c r="D382" s="66" t="inlineStr">
        <is>
          <t>Desodorante Coporal</t>
        </is>
      </c>
      <c r="E382" s="136">
        <f>TRIM(CONCATENATE(D382, " ", C382, " ", F382, " ", IF(G382&gt;0, G382 &amp; "x" &amp; H382, H382), " ", I382))</f>
        <v/>
      </c>
      <c r="F382" s="2" t="inlineStr">
        <is>
          <t xml:space="preserve"> Exclusivo Masculino</t>
        </is>
      </c>
      <c r="G382" s="131" t="n"/>
      <c r="H382" s="141" t="inlineStr">
        <is>
          <t xml:space="preserve">100ml </t>
        </is>
      </c>
      <c r="I382" s="31" t="inlineStr">
        <is>
          <t xml:space="preserve">Frasco </t>
        </is>
      </c>
      <c r="J382" s="11" t="inlineStr">
        <is>
          <t xml:space="preserve">Perfuma 24 hrs /  Perfuma / Mantem a Hidratação do Corpo </t>
        </is>
      </c>
      <c r="K382" s="180" t="n"/>
      <c r="L382" s="180" t="n">
        <v>54.9</v>
      </c>
    </row>
    <row r="383" ht="15" customHeight="1" s="145">
      <c r="B383" s="63" t="inlineStr">
        <is>
          <t>Natura</t>
        </is>
      </c>
      <c r="C383" s="74" t="inlineStr">
        <is>
          <t>Essencial</t>
        </is>
      </c>
      <c r="D383" s="66" t="inlineStr">
        <is>
          <t>Desodorante Coporal</t>
        </is>
      </c>
      <c r="E383" s="136">
        <f>TRIM(CONCATENATE(D383, " ", C383, " ", F383, " ", IF(G383&gt;0, G383 &amp; "x" &amp; H383, H383), " ", I383))</f>
        <v/>
      </c>
      <c r="F383" s="2" t="inlineStr">
        <is>
          <t xml:space="preserve"> Oud Masculino</t>
        </is>
      </c>
      <c r="G383" s="131" t="n"/>
      <c r="H383" s="141" t="inlineStr">
        <is>
          <t xml:space="preserve">100ml </t>
        </is>
      </c>
      <c r="I383" s="31" t="inlineStr">
        <is>
          <t xml:space="preserve">Frasco </t>
        </is>
      </c>
      <c r="J383" s="11" t="inlineStr">
        <is>
          <t xml:space="preserve">Perfuma 24 hrs /  Perfuma / Mantem a Hidratação do Corpo </t>
        </is>
      </c>
      <c r="K383" s="180" t="n"/>
      <c r="L383" s="180" t="n">
        <v>54.9</v>
      </c>
    </row>
    <row r="384" ht="15" customHeight="1" s="145">
      <c r="B384" s="63" t="inlineStr">
        <is>
          <t>Natura</t>
        </is>
      </c>
      <c r="C384" s="74" t="inlineStr">
        <is>
          <t>Essencial</t>
        </is>
      </c>
      <c r="D384" s="66" t="inlineStr">
        <is>
          <t>Desodorante Coporal</t>
        </is>
      </c>
      <c r="E384" s="136">
        <f>TRIM(CONCATENATE(D384, " ", C384, " ", F384, " ", IF(G384&gt;0, G384 &amp; "x" &amp; H384, H384), " ", I384))</f>
        <v/>
      </c>
      <c r="F384" s="2" t="inlineStr">
        <is>
          <t xml:space="preserve"> Único Masculino</t>
        </is>
      </c>
      <c r="G384" s="131" t="n"/>
      <c r="H384" s="141" t="inlineStr">
        <is>
          <t xml:space="preserve">100ml </t>
        </is>
      </c>
      <c r="I384" s="31" t="inlineStr">
        <is>
          <t xml:space="preserve">Frasco </t>
        </is>
      </c>
      <c r="J384" s="11" t="inlineStr">
        <is>
          <t xml:space="preserve">Perfuma 24 hrs /  Perfuma / Mantem a Hidratação do Corpo </t>
        </is>
      </c>
      <c r="K384" s="180" t="n"/>
      <c r="L384" s="180" t="n">
        <v>54.9</v>
      </c>
    </row>
    <row r="385" ht="15" customHeight="1" s="145">
      <c r="B385" s="63" t="inlineStr">
        <is>
          <t>Natura</t>
        </is>
      </c>
      <c r="C385" s="74" t="inlineStr">
        <is>
          <t>Essencial</t>
        </is>
      </c>
      <c r="D385" s="66" t="inlineStr">
        <is>
          <t>Desodorante Coporal</t>
        </is>
      </c>
      <c r="E385" s="136">
        <f>TRIM(CONCATENATE(D385, " ", C385, " ", F385, " ", IF(G385&gt;0, G385 &amp; "x" &amp; H385, H385), " ", I385))</f>
        <v/>
      </c>
      <c r="F385" s="2" t="inlineStr">
        <is>
          <t xml:space="preserve"> Sentir Masculino</t>
        </is>
      </c>
      <c r="G385" s="131" t="n"/>
      <c r="H385" s="141" t="inlineStr">
        <is>
          <t xml:space="preserve">100ml </t>
        </is>
      </c>
      <c r="I385" s="31" t="inlineStr">
        <is>
          <t xml:space="preserve">Frasco </t>
        </is>
      </c>
      <c r="J385" s="11" t="inlineStr">
        <is>
          <t xml:space="preserve">Perfuma 24 hrs /  Perfuma / Mantem a Hidratação do Corpo </t>
        </is>
      </c>
      <c r="K385" s="180" t="n"/>
      <c r="L385" s="180" t="n">
        <v>54.9</v>
      </c>
    </row>
    <row r="386" ht="15" customHeight="1" s="145">
      <c r="B386" s="63" t="inlineStr">
        <is>
          <t>Natura</t>
        </is>
      </c>
      <c r="C386" s="74" t="inlineStr">
        <is>
          <t>Essencial</t>
        </is>
      </c>
      <c r="D386" s="66" t="inlineStr">
        <is>
          <t>Desodorante Coporal</t>
        </is>
      </c>
      <c r="E386" s="136">
        <f>TRIM(CONCATENATE(D386, " ", C386, " ", F386, " ", IF(G386&gt;0, G386 &amp; "x" &amp; H386, H386), " ", I386))</f>
        <v/>
      </c>
      <c r="F386" s="2" t="inlineStr">
        <is>
          <t xml:space="preserve"> Atrai Masculino</t>
        </is>
      </c>
      <c r="G386" s="131" t="n"/>
      <c r="H386" s="141" t="inlineStr">
        <is>
          <t xml:space="preserve">100ml </t>
        </is>
      </c>
      <c r="I386" s="31" t="inlineStr">
        <is>
          <t xml:space="preserve">Refil </t>
        </is>
      </c>
      <c r="J386" s="11" t="inlineStr">
        <is>
          <t xml:space="preserve">Perfuma 24 hrs /  Perfuma / Mantem a Hidratação do Corpo </t>
        </is>
      </c>
      <c r="K386" s="180" t="n"/>
      <c r="L386" s="180" t="n">
        <v>54.9</v>
      </c>
    </row>
    <row r="387" ht="15" customHeight="1" s="145">
      <c r="B387" s="63" t="inlineStr">
        <is>
          <t>Natura</t>
        </is>
      </c>
      <c r="C387" s="74" t="inlineStr">
        <is>
          <t>Essencial</t>
        </is>
      </c>
      <c r="D387" s="66" t="inlineStr">
        <is>
          <t>Desodorante Coporal</t>
        </is>
      </c>
      <c r="E387" s="136">
        <f>TRIM(CONCATENATE(D387, " ", C387, " ", F387, " ", IF(G387&gt;0, G387 &amp; "x" &amp; H387, H387), " ", I387))</f>
        <v/>
      </c>
      <c r="F387" s="2" t="inlineStr">
        <is>
          <t xml:space="preserve"> Atô Masculino</t>
        </is>
      </c>
      <c r="G387" s="131" t="n"/>
      <c r="H387" s="141" t="inlineStr">
        <is>
          <t xml:space="preserve">100ml </t>
        </is>
      </c>
      <c r="I387" s="31" t="inlineStr">
        <is>
          <t xml:space="preserve">Refil </t>
        </is>
      </c>
      <c r="J387" s="11" t="inlineStr">
        <is>
          <t xml:space="preserve">Perfuma 24 hrs /  Perfuma / Mantem a Hidratação do Corpo </t>
        </is>
      </c>
      <c r="K387" s="180" t="n"/>
      <c r="L387" s="180" t="n">
        <v>54.9</v>
      </c>
    </row>
    <row r="388" ht="15" customHeight="1" s="145">
      <c r="A388" t="inlineStr">
        <is>
          <t>NATBRA-166317</t>
        </is>
      </c>
      <c r="B388" s="63" t="inlineStr">
        <is>
          <t>Natura</t>
        </is>
      </c>
      <c r="C388" s="74" t="inlineStr">
        <is>
          <t>Essencial</t>
        </is>
      </c>
      <c r="D388" s="66" t="inlineStr">
        <is>
          <t>Desodorante Coporal</t>
        </is>
      </c>
      <c r="E388" s="136">
        <f>TRIM(CONCATENATE(D388, " ", C388, " ", F388, " ", IF(G388&gt;0, G388 &amp; "x" &amp; H388, H388), " ", I388))</f>
        <v/>
      </c>
      <c r="F388" s="2" t="inlineStr">
        <is>
          <t xml:space="preserve"> Masculino</t>
        </is>
      </c>
      <c r="G388" s="131" t="n"/>
      <c r="H388" s="141" t="inlineStr">
        <is>
          <t xml:space="preserve">100ml </t>
        </is>
      </c>
      <c r="I388" s="31" t="inlineStr">
        <is>
          <t xml:space="preserve">Refil </t>
        </is>
      </c>
      <c r="J388" s="11" t="inlineStr">
        <is>
          <t xml:space="preserve">Perfuma 24 hrs /  Perfuma / Mantem a Hidratação do Corpo </t>
        </is>
      </c>
      <c r="K388" s="180" t="n"/>
      <c r="L388" s="180" t="n">
        <v>54.9</v>
      </c>
    </row>
    <row r="389" ht="15" customHeight="1" s="145">
      <c r="B389" s="63" t="inlineStr">
        <is>
          <t>Natura</t>
        </is>
      </c>
      <c r="C389" s="74" t="inlineStr">
        <is>
          <t>Essencial</t>
        </is>
      </c>
      <c r="D389" s="66" t="inlineStr">
        <is>
          <t>Desodorante Coporal</t>
        </is>
      </c>
      <c r="E389" s="136">
        <f>TRIM(CONCATENATE(D389, " ", C389, " ", F389, " ", IF(G389&gt;0, G389 &amp; "x" &amp; H389, H389), " ", I389))</f>
        <v/>
      </c>
      <c r="F389" s="2" t="inlineStr">
        <is>
          <t xml:space="preserve"> Exclusivo</t>
        </is>
      </c>
      <c r="G389" s="131" t="n"/>
      <c r="H389" s="141" t="inlineStr">
        <is>
          <t xml:space="preserve">100ml </t>
        </is>
      </c>
      <c r="I389" s="31" t="inlineStr">
        <is>
          <t xml:space="preserve">Refil </t>
        </is>
      </c>
      <c r="J389" s="11" t="inlineStr">
        <is>
          <t xml:space="preserve">Perfuma 24 hrs /  Perfuma / Mantem a Hidratação do Corpo </t>
        </is>
      </c>
      <c r="K389" s="180" t="n"/>
      <c r="L389" s="180" t="n">
        <v>54.9</v>
      </c>
    </row>
    <row r="390" ht="15" customHeight="1" s="145">
      <c r="B390" s="63" t="inlineStr">
        <is>
          <t>Natura</t>
        </is>
      </c>
      <c r="C390" s="74" t="inlineStr">
        <is>
          <t>Essencial</t>
        </is>
      </c>
      <c r="D390" s="66" t="inlineStr">
        <is>
          <t>Desodorante Coporal</t>
        </is>
      </c>
      <c r="E390" s="136">
        <f>TRIM(CONCATENATE(D390, " ", C390, " ", F390, " ", IF(G390&gt;0, G390 &amp; "x" &amp; H390, H390), " ", I390))</f>
        <v/>
      </c>
      <c r="F390" s="2" t="inlineStr">
        <is>
          <t xml:space="preserve"> Oud Masculino</t>
        </is>
      </c>
      <c r="G390" s="131" t="n"/>
      <c r="H390" s="141" t="inlineStr">
        <is>
          <t xml:space="preserve">100ml </t>
        </is>
      </c>
      <c r="I390" s="31" t="inlineStr">
        <is>
          <t xml:space="preserve">Refil </t>
        </is>
      </c>
      <c r="J390" s="11" t="inlineStr">
        <is>
          <t xml:space="preserve">Perfuma 24 hrs /  Perfuma / Mantem a Hidratação do Corpo </t>
        </is>
      </c>
      <c r="K390" s="180" t="n"/>
      <c r="L390" s="180" t="n">
        <v>54.9</v>
      </c>
    </row>
    <row r="391" ht="15" customHeight="1" s="145">
      <c r="B391" s="63" t="inlineStr">
        <is>
          <t>Natura</t>
        </is>
      </c>
      <c r="C391" s="74" t="inlineStr">
        <is>
          <t>Essencial</t>
        </is>
      </c>
      <c r="D391" s="66" t="inlineStr">
        <is>
          <t>Desodorante Coporal</t>
        </is>
      </c>
      <c r="E391" s="136">
        <f>TRIM(CONCATENATE(D391, " ", C391, " ", F391, " ", IF(G391&gt;0, G391 &amp; "x" &amp; H391, H391), " ", I391))</f>
        <v/>
      </c>
      <c r="F391" s="2" t="inlineStr">
        <is>
          <t xml:space="preserve"> Único Masculino</t>
        </is>
      </c>
      <c r="G391" s="131" t="n"/>
      <c r="H391" s="141" t="inlineStr">
        <is>
          <t xml:space="preserve">100ml </t>
        </is>
      </c>
      <c r="I391" s="31" t="inlineStr">
        <is>
          <t xml:space="preserve">Refil </t>
        </is>
      </c>
      <c r="J391" s="11" t="inlineStr">
        <is>
          <t xml:space="preserve">Perfuma 24 hrs /  Perfuma / Mantem a Hidratação do Corpo </t>
        </is>
      </c>
      <c r="K391" s="180" t="n"/>
      <c r="L391" s="180" t="n">
        <v>54.9</v>
      </c>
    </row>
    <row r="392" ht="15" customHeight="1" s="145">
      <c r="B392" s="63" t="inlineStr">
        <is>
          <t>Natura</t>
        </is>
      </c>
      <c r="C392" s="74" t="inlineStr">
        <is>
          <t>Essencial</t>
        </is>
      </c>
      <c r="D392" s="66" t="inlineStr">
        <is>
          <t>Desodorante Coporal</t>
        </is>
      </c>
      <c r="E392" s="136">
        <f>TRIM(CONCATENATE(D392, " ", C392, " ", F392, " ", IF(G392&gt;0, G392 &amp; "x" &amp; H392, H392), " ", I392))</f>
        <v/>
      </c>
      <c r="F392" s="2" t="inlineStr">
        <is>
          <t xml:space="preserve"> Sentir Masculino</t>
        </is>
      </c>
      <c r="G392" s="131" t="n"/>
      <c r="H392" s="141" t="inlineStr">
        <is>
          <t xml:space="preserve">100ml </t>
        </is>
      </c>
      <c r="I392" s="31" t="inlineStr">
        <is>
          <t xml:space="preserve">Refil </t>
        </is>
      </c>
      <c r="J392" s="11" t="inlineStr">
        <is>
          <t xml:space="preserve">Perfuma 24 hrs /  Perfuma / Mantem a Hidratação do Corpo </t>
        </is>
      </c>
      <c r="K392" s="180" t="n"/>
      <c r="L392" s="180" t="n">
        <v>54.9</v>
      </c>
    </row>
    <row r="393" ht="15" customHeight="1" s="145">
      <c r="B393" s="63" t="inlineStr">
        <is>
          <t>Natura</t>
        </is>
      </c>
      <c r="C393" s="74" t="inlineStr">
        <is>
          <t>Essencial</t>
        </is>
      </c>
      <c r="D393" s="66" t="inlineStr">
        <is>
          <t>Desodorante Coporal</t>
        </is>
      </c>
      <c r="E393" s="136">
        <f>TRIM(CONCATENATE(D393, " ", C393, " ", F393, " ", IF(G393&gt;0, G393 &amp; "x" &amp; H393, H393), " ", I393))</f>
        <v/>
      </c>
      <c r="F393" s="2" t="inlineStr">
        <is>
          <t xml:space="preserve"> Atrai Feminino</t>
        </is>
      </c>
      <c r="G393" s="131" t="n"/>
      <c r="H393" s="141" t="inlineStr">
        <is>
          <t xml:space="preserve">100ml </t>
        </is>
      </c>
      <c r="I393" s="31" t="inlineStr">
        <is>
          <t xml:space="preserve">Frasco </t>
        </is>
      </c>
      <c r="J393" s="11" t="inlineStr">
        <is>
          <t xml:space="preserve">Perfuma 24 hrs /  Perfuma / Mantem a Hidratação do Corpo </t>
        </is>
      </c>
      <c r="K393" s="180" t="n"/>
      <c r="L393" s="180" t="n">
        <v>54.9</v>
      </c>
    </row>
    <row r="394" ht="15" customHeight="1" s="145">
      <c r="B394" s="63" t="inlineStr">
        <is>
          <t>Natura</t>
        </is>
      </c>
      <c r="C394" s="74" t="inlineStr">
        <is>
          <t>Essencial</t>
        </is>
      </c>
      <c r="D394" s="66" t="inlineStr">
        <is>
          <t>Desodorante Coporal</t>
        </is>
      </c>
      <c r="E394" s="136">
        <f>TRIM(CONCATENATE(D394, " ", C394, " ", F394, " ", IF(G394&gt;0, G394 &amp; "x" &amp; H394, H394), " ", I394))</f>
        <v/>
      </c>
      <c r="F394" s="2" t="inlineStr">
        <is>
          <t xml:space="preserve"> Feminino</t>
        </is>
      </c>
      <c r="G394" s="131" t="n"/>
      <c r="H394" s="141" t="inlineStr">
        <is>
          <t xml:space="preserve">100ml </t>
        </is>
      </c>
      <c r="I394" s="31" t="inlineStr">
        <is>
          <t xml:space="preserve">Frasco </t>
        </is>
      </c>
      <c r="J394" s="11" t="inlineStr">
        <is>
          <t xml:space="preserve">Perfuma 24 hrs /  Perfuma / Mantem a Hidratação do Corpo </t>
        </is>
      </c>
      <c r="K394" s="180" t="n"/>
      <c r="L394" s="180" t="n">
        <v>54.9</v>
      </c>
    </row>
    <row r="395" ht="15" customHeight="1" s="145">
      <c r="B395" s="63" t="inlineStr">
        <is>
          <t>Natura</t>
        </is>
      </c>
      <c r="C395" s="74" t="inlineStr">
        <is>
          <t>Essencial</t>
        </is>
      </c>
      <c r="D395" s="66" t="inlineStr">
        <is>
          <t>Desodorante Coporal</t>
        </is>
      </c>
      <c r="E395" s="136">
        <f>TRIM(CONCATENATE(D395, " ", C395, " ", F395, " ", IF(G395&gt;0, G395 &amp; "x" &amp; H395, H395), " ", I395))</f>
        <v/>
      </c>
      <c r="F395" s="2" t="inlineStr">
        <is>
          <t xml:space="preserve"> Exclusivo Feminino</t>
        </is>
      </c>
      <c r="G395" s="131" t="n"/>
      <c r="H395" s="141" t="inlineStr">
        <is>
          <t xml:space="preserve">100ml </t>
        </is>
      </c>
      <c r="I395" s="31" t="inlineStr">
        <is>
          <t xml:space="preserve">Frasco </t>
        </is>
      </c>
      <c r="J395" s="11" t="inlineStr">
        <is>
          <t xml:space="preserve">Perfuma 24 hrs /  Perfuma / Mantem a Hidratação do Corpo </t>
        </is>
      </c>
      <c r="K395" s="180" t="n"/>
      <c r="L395" s="180" t="n">
        <v>54.9</v>
      </c>
    </row>
    <row r="396" ht="15" customHeight="1" s="145">
      <c r="B396" s="63" t="inlineStr">
        <is>
          <t>Natura</t>
        </is>
      </c>
      <c r="C396" s="74" t="inlineStr">
        <is>
          <t>Essencial</t>
        </is>
      </c>
      <c r="D396" s="66" t="inlineStr">
        <is>
          <t>Desodorante Coporal</t>
        </is>
      </c>
      <c r="E396" s="136">
        <f>TRIM(CONCATENATE(D396, " ", C396, " ", F396, " ", IF(G396&gt;0, G396 &amp; "x" &amp; H396, H396), " ", I396))</f>
        <v/>
      </c>
      <c r="F396" s="2" t="inlineStr">
        <is>
          <t xml:space="preserve"> Atrai Feminino</t>
        </is>
      </c>
      <c r="G396" s="131" t="n"/>
      <c r="H396" s="141" t="inlineStr">
        <is>
          <t xml:space="preserve">100ml </t>
        </is>
      </c>
      <c r="I396" s="31" t="inlineStr">
        <is>
          <t xml:space="preserve">Refil </t>
        </is>
      </c>
      <c r="J396" s="11" t="inlineStr">
        <is>
          <t xml:space="preserve">Perfuma 24 hrs /  Perfuma / Mantem a Hidratação do Corpo </t>
        </is>
      </c>
      <c r="K396" s="180" t="n"/>
      <c r="L396" s="180" t="n">
        <v>54.9</v>
      </c>
    </row>
    <row r="397" ht="15" customHeight="1" s="145">
      <c r="B397" s="63" t="inlineStr">
        <is>
          <t>Natura</t>
        </is>
      </c>
      <c r="C397" s="74" t="inlineStr">
        <is>
          <t>Essencial</t>
        </is>
      </c>
      <c r="D397" s="66" t="inlineStr">
        <is>
          <t>Desodorante Coporal</t>
        </is>
      </c>
      <c r="E397" s="136">
        <f>TRIM(CONCATENATE(D397, " ", C397, " ", F397, " ", IF(G397&gt;0, G397 &amp; "x" &amp; H397, H397), " ", I397))</f>
        <v/>
      </c>
      <c r="F397" s="2" t="inlineStr">
        <is>
          <t xml:space="preserve"> Feminino</t>
        </is>
      </c>
      <c r="G397" s="131" t="n"/>
      <c r="H397" s="141" t="inlineStr">
        <is>
          <t xml:space="preserve">100ml </t>
        </is>
      </c>
      <c r="I397" s="31" t="inlineStr">
        <is>
          <t xml:space="preserve">Refil </t>
        </is>
      </c>
      <c r="J397" s="11" t="inlineStr">
        <is>
          <t xml:space="preserve">Perfuma 24 hrs /  Perfuma / Mantem a Hidratação do Corpo </t>
        </is>
      </c>
      <c r="K397" s="180" t="n"/>
      <c r="L397" s="180" t="n">
        <v>54.9</v>
      </c>
    </row>
    <row r="398" ht="15" customHeight="1" s="145">
      <c r="B398" s="63" t="inlineStr">
        <is>
          <t>Natura</t>
        </is>
      </c>
      <c r="C398" s="74" t="inlineStr">
        <is>
          <t>Essencial</t>
        </is>
      </c>
      <c r="D398" s="66" t="inlineStr">
        <is>
          <t>Desodorante Coporal</t>
        </is>
      </c>
      <c r="E398" s="136">
        <f>TRIM(CONCATENATE(D398, " ", C398, " ", F398, " ", IF(G398&gt;0, G398 &amp; "x" &amp; H398, H398), " ", I398))</f>
        <v/>
      </c>
      <c r="F398" s="2" t="inlineStr">
        <is>
          <t xml:space="preserve"> Exclusivo Feminino</t>
        </is>
      </c>
      <c r="G398" s="131" t="n"/>
      <c r="H398" s="141" t="inlineStr">
        <is>
          <t xml:space="preserve">100ml </t>
        </is>
      </c>
      <c r="I398" s="31" t="inlineStr">
        <is>
          <t xml:space="preserve">Refil </t>
        </is>
      </c>
      <c r="J398" s="11" t="inlineStr">
        <is>
          <t xml:space="preserve">Perfuma 24 hrs /  Perfuma / Mantem a Hidratação do Corpo </t>
        </is>
      </c>
      <c r="K398" s="180" t="n"/>
      <c r="L398" s="180" t="n">
        <v>54.9</v>
      </c>
    </row>
    <row r="399" ht="15" customHeight="1" s="145">
      <c r="B399" s="63" t="inlineStr">
        <is>
          <t>Natura</t>
        </is>
      </c>
      <c r="C399" s="74" t="inlineStr">
        <is>
          <t>Essencial</t>
        </is>
      </c>
      <c r="D399" s="64" t="inlineStr">
        <is>
          <t>Hidratante Desodorante Perfumado</t>
        </is>
      </c>
      <c r="E399" s="136">
        <f>TRIM(CONCATENATE(D399, " ", C399, " ", F399, " ", IF(G399&gt;0, G399 &amp; "x" &amp; H399, H399), " ", I399))</f>
        <v/>
      </c>
      <c r="F399" s="2" t="inlineStr">
        <is>
          <t>Essencial</t>
        </is>
      </c>
      <c r="G399" s="131" t="n"/>
      <c r="H399" s="2" t="inlineStr">
        <is>
          <t xml:space="preserve">200g </t>
        </is>
      </c>
      <c r="I399" s="31" t="inlineStr">
        <is>
          <t xml:space="preserve">Pote </t>
        </is>
      </c>
      <c r="J399" s="11" t="inlineStr">
        <is>
          <t xml:space="preserve">Hidrata  / Perfumado  /  Desodorante 48 hrs  / Brilho da Pele  / Cremoso </t>
        </is>
      </c>
      <c r="K399" s="180" t="n"/>
      <c r="L399" s="180" t="n">
        <v>129.9</v>
      </c>
    </row>
    <row r="400" ht="15" customHeight="1" s="145">
      <c r="B400" s="63" t="inlineStr">
        <is>
          <t>Natura</t>
        </is>
      </c>
      <c r="C400" s="74" t="inlineStr">
        <is>
          <t>Essencial</t>
        </is>
      </c>
      <c r="D400" s="64" t="inlineStr">
        <is>
          <t>Hidratante Desodorante Perfumado</t>
        </is>
      </c>
      <c r="E400" s="136">
        <f>TRIM(CONCATENATE(D400, " ", C400, " ", F400, " ", IF(G400&gt;0, G400 &amp; "x" &amp; H400, H400), " ", I400))</f>
        <v/>
      </c>
      <c r="F400" s="2" t="inlineStr">
        <is>
          <t>Essencial Exclusivo</t>
        </is>
      </c>
      <c r="G400" s="131" t="n"/>
      <c r="H400" s="2" t="inlineStr">
        <is>
          <t xml:space="preserve">200g </t>
        </is>
      </c>
      <c r="I400" s="31" t="inlineStr">
        <is>
          <t xml:space="preserve">Pote </t>
        </is>
      </c>
      <c r="J400" s="11" t="inlineStr">
        <is>
          <t xml:space="preserve">Hidrata  / Perfumado  /  Desodorante 48 hrs  / Brilho da Pele  / Cremoso </t>
        </is>
      </c>
      <c r="K400" s="180" t="n"/>
      <c r="L400" s="180" t="n">
        <v>129.9</v>
      </c>
    </row>
    <row r="401" ht="15" customHeight="1" s="145">
      <c r="B401" s="63" t="inlineStr">
        <is>
          <t>Natura</t>
        </is>
      </c>
      <c r="C401" s="74" t="inlineStr">
        <is>
          <t>Essencial</t>
        </is>
      </c>
      <c r="D401" s="64" t="inlineStr">
        <is>
          <t>Hidratante Desodorante Perfumado</t>
        </is>
      </c>
      <c r="E401" s="136">
        <f>TRIM(CONCATENATE(D401, " ", C401, " ", F401, " ", IF(G401&gt;0, G401 &amp; "x" &amp; H401, H401), " ", I401))</f>
        <v/>
      </c>
      <c r="F401" s="2" t="inlineStr">
        <is>
          <t>Essencial Oud</t>
        </is>
      </c>
      <c r="G401" s="131" t="n"/>
      <c r="H401" s="2" t="inlineStr">
        <is>
          <t xml:space="preserve">200g </t>
        </is>
      </c>
      <c r="I401" s="31" t="inlineStr">
        <is>
          <t xml:space="preserve">Pote </t>
        </is>
      </c>
      <c r="J401" s="11" t="inlineStr">
        <is>
          <t xml:space="preserve">Hidrata  / Perfumado  /  Desodorante 48 hrs  / Brilho da Pele  / Cremoso </t>
        </is>
      </c>
      <c r="K401" s="180" t="n"/>
      <c r="L401" s="180" t="n">
        <v>129.9</v>
      </c>
    </row>
    <row r="402" ht="15" customHeight="1" s="145">
      <c r="B402" s="63" t="inlineStr">
        <is>
          <t>Natura</t>
        </is>
      </c>
      <c r="C402" s="74" t="inlineStr">
        <is>
          <t>Essencial</t>
        </is>
      </c>
      <c r="D402" s="64" t="inlineStr">
        <is>
          <t>Hidratante Desodorante Perfumado</t>
        </is>
      </c>
      <c r="E402" s="136">
        <f>TRIM(CONCATENATE(D402, " ", C402, " ", F402, " ", IF(G402&gt;0, G402 &amp; "x" &amp; H402, H402), " ", I402))</f>
        <v/>
      </c>
      <c r="F402" s="124" t="inlineStr">
        <is>
          <t xml:space="preserve">Essencial Supreme </t>
        </is>
      </c>
      <c r="G402" s="131" t="n"/>
      <c r="H402" s="2" t="inlineStr">
        <is>
          <t xml:space="preserve">200g </t>
        </is>
      </c>
      <c r="I402" s="31" t="inlineStr">
        <is>
          <t xml:space="preserve">Pote </t>
        </is>
      </c>
      <c r="J402" s="11" t="inlineStr">
        <is>
          <t xml:space="preserve">Hidrata  / Perfumado  /  Desodorante 48 hrs  / Brilho da Pele  / Cremoso </t>
        </is>
      </c>
      <c r="K402" s="180" t="n"/>
      <c r="L402" s="180" t="n">
        <v>129.9</v>
      </c>
    </row>
    <row r="403" ht="15" customHeight="1" s="145">
      <c r="B403" s="63" t="inlineStr">
        <is>
          <t>Natura</t>
        </is>
      </c>
      <c r="C403" s="74" t="inlineStr">
        <is>
          <t>Essencial</t>
        </is>
      </c>
      <c r="D403" s="64" t="inlineStr">
        <is>
          <t>Hidratante Desodorante Perfumado</t>
        </is>
      </c>
      <c r="E403" s="136">
        <f>TRIM(CONCATENATE(D403, " ", C403, " ", F403, " ", IF(G403&gt;0, G403 &amp; "x" &amp; H403, H403), " ", I403))</f>
        <v/>
      </c>
      <c r="F403" s="2" t="inlineStr">
        <is>
          <t>Essencial</t>
        </is>
      </c>
      <c r="G403" s="131" t="n"/>
      <c r="H403" s="2" t="inlineStr">
        <is>
          <t xml:space="preserve">200g </t>
        </is>
      </c>
      <c r="I403" s="31" t="inlineStr">
        <is>
          <t xml:space="preserve">Refil </t>
        </is>
      </c>
      <c r="J403" s="11" t="inlineStr">
        <is>
          <t xml:space="preserve">Hidrata  / Perfumado  /  Desodorante 48 hrs  / Brilho da Pele  / Cremoso </t>
        </is>
      </c>
      <c r="K403" s="180" t="n"/>
      <c r="L403" s="180" t="n">
        <v>95.90000000000001</v>
      </c>
    </row>
    <row r="404" ht="15" customHeight="1" s="145">
      <c r="B404" s="63" t="inlineStr">
        <is>
          <t>Natura</t>
        </is>
      </c>
      <c r="C404" s="74" t="inlineStr">
        <is>
          <t>Essencial</t>
        </is>
      </c>
      <c r="D404" s="64" t="inlineStr">
        <is>
          <t>Hidratante Desodorante Perfumado</t>
        </is>
      </c>
      <c r="E404" s="136">
        <f>TRIM(CONCATENATE(D404, " ", C404, " ", F404, " ", IF(G404&gt;0, G404 &amp; "x" &amp; H404, H404), " ", I404))</f>
        <v/>
      </c>
      <c r="F404" s="2" t="inlineStr">
        <is>
          <t>Essencial Exclusivo</t>
        </is>
      </c>
      <c r="G404" s="131" t="n"/>
      <c r="H404" s="2" t="inlineStr">
        <is>
          <t xml:space="preserve">200g </t>
        </is>
      </c>
      <c r="I404" s="31" t="inlineStr">
        <is>
          <t xml:space="preserve">Refil </t>
        </is>
      </c>
      <c r="J404" s="11" t="inlineStr">
        <is>
          <t xml:space="preserve">Hidrata  / Perfumado  /  Desodorante 48 hrs  / Brilho da Pele  / Cremoso </t>
        </is>
      </c>
      <c r="K404" s="180" t="n"/>
      <c r="L404" s="180" t="n">
        <v>95.90000000000001</v>
      </c>
    </row>
    <row r="405" ht="15" customHeight="1" s="145">
      <c r="B405" s="63" t="inlineStr">
        <is>
          <t>Natura</t>
        </is>
      </c>
      <c r="C405" s="74" t="inlineStr">
        <is>
          <t>Essencial</t>
        </is>
      </c>
      <c r="D405" s="64" t="inlineStr">
        <is>
          <t>Hidratante Desodorante Perfumado</t>
        </is>
      </c>
      <c r="E405" s="136">
        <f>TRIM(CONCATENATE(D405, " ", C405, " ", F405, " ", IF(G405&gt;0, G405 &amp; "x" &amp; H405, H405), " ", I405))</f>
        <v/>
      </c>
      <c r="F405" s="2" t="inlineStr">
        <is>
          <t>Essencial Oud</t>
        </is>
      </c>
      <c r="G405" s="131" t="n"/>
      <c r="H405" s="2" t="inlineStr">
        <is>
          <t xml:space="preserve">200g </t>
        </is>
      </c>
      <c r="I405" s="31" t="inlineStr">
        <is>
          <t xml:space="preserve">Refil </t>
        </is>
      </c>
      <c r="J405" s="11" t="inlineStr">
        <is>
          <t xml:space="preserve">Hidrata  / Perfumado  /  Desodorante 48 hrs  / Brilho da Pele  / Cremoso </t>
        </is>
      </c>
      <c r="K405" s="180" t="n"/>
      <c r="L405" s="180" t="n">
        <v>95.90000000000001</v>
      </c>
    </row>
    <row r="406" ht="15" customHeight="1" s="145">
      <c r="B406" s="63" t="inlineStr">
        <is>
          <t>Natura</t>
        </is>
      </c>
      <c r="C406" s="74" t="inlineStr">
        <is>
          <t>Essencial</t>
        </is>
      </c>
      <c r="D406" s="64" t="inlineStr">
        <is>
          <t>Hidratante Desodorante Perfumado</t>
        </is>
      </c>
      <c r="E406" s="136">
        <f>TRIM(CONCATENATE(D406, " ", C406, " ", F406, " ", IF(G406&gt;0, G406 &amp; "x" &amp; H406, H406), " ", I406))</f>
        <v/>
      </c>
      <c r="F406" s="124" t="inlineStr">
        <is>
          <t xml:space="preserve">Essencial Supreme </t>
        </is>
      </c>
      <c r="G406" s="131" t="n"/>
      <c r="H406" s="2" t="inlineStr">
        <is>
          <t xml:space="preserve">200g </t>
        </is>
      </c>
      <c r="I406" s="31" t="inlineStr">
        <is>
          <t xml:space="preserve">Refil </t>
        </is>
      </c>
      <c r="J406" s="11" t="inlineStr">
        <is>
          <t xml:space="preserve">Hidrata  / Perfumado  /  Desodorante 48 hrs  / Brilho da Pele  / Cremoso </t>
        </is>
      </c>
      <c r="K406" s="180" t="n"/>
      <c r="L406" s="180" t="n">
        <v>95.90000000000001</v>
      </c>
    </row>
    <row r="407" ht="15" customHeight="1" s="145">
      <c r="B407" s="63" t="inlineStr">
        <is>
          <t>Natura</t>
        </is>
      </c>
      <c r="C407" s="74" t="inlineStr">
        <is>
          <t>Essencial</t>
        </is>
      </c>
      <c r="D407" s="64" t="inlineStr">
        <is>
          <t>Hidratante Desodorante Perfumado</t>
        </is>
      </c>
      <c r="E407" s="136">
        <f>TRIM(CONCATENATE(D407, " ", C407, " ", F407, " ", IF(G407&gt;0, G407 &amp; "x" &amp; H407, H407), " ", I407))</f>
        <v/>
      </c>
      <c r="F407" s="2" t="inlineStr">
        <is>
          <t>Essencial</t>
        </is>
      </c>
      <c r="G407" s="131" t="n"/>
      <c r="H407" s="2" t="inlineStr">
        <is>
          <t xml:space="preserve">100ml </t>
        </is>
      </c>
      <c r="I407" s="31" t="inlineStr">
        <is>
          <t xml:space="preserve">Frasco </t>
        </is>
      </c>
      <c r="J407" s="11" t="inlineStr">
        <is>
          <t xml:space="preserve">Hidrata / Perfuma /  Desodorante / Brilho da Pele / Cremoso </t>
        </is>
      </c>
      <c r="K407" s="180" t="n"/>
      <c r="L407" s="180" t="n">
        <v>39.9</v>
      </c>
    </row>
    <row r="408" ht="15" customHeight="1" s="145">
      <c r="B408" s="63" t="inlineStr">
        <is>
          <t>Natura</t>
        </is>
      </c>
      <c r="C408" s="74" t="inlineStr">
        <is>
          <t>Essencial</t>
        </is>
      </c>
      <c r="D408" s="64" t="inlineStr">
        <is>
          <t>Hidratante Desodorante Perfumado</t>
        </is>
      </c>
      <c r="E408" s="136">
        <f>TRIM(CONCATENATE(D408, " ", C408, " ", F408, " ", IF(G408&gt;0, G408 &amp; "x" &amp; H408, H408), " ", I408))</f>
        <v/>
      </c>
      <c r="F408" s="2" t="inlineStr">
        <is>
          <t>Essencial Exclusivo</t>
        </is>
      </c>
      <c r="G408" s="131" t="n"/>
      <c r="H408" s="2" t="inlineStr">
        <is>
          <t xml:space="preserve">100ml </t>
        </is>
      </c>
      <c r="I408" s="31" t="inlineStr">
        <is>
          <t xml:space="preserve">Frasco </t>
        </is>
      </c>
      <c r="J408" s="11" t="inlineStr">
        <is>
          <t xml:space="preserve">Hidrata / Perfuma /  Desodorante / Brilho da Pele / Cremoso </t>
        </is>
      </c>
      <c r="K408" s="180" t="n"/>
      <c r="L408" s="180" t="inlineStr">
        <is>
          <t>/v4vvv</t>
        </is>
      </c>
    </row>
    <row r="409" ht="15" customHeight="1" s="145">
      <c r="B409" s="63" t="inlineStr">
        <is>
          <t>Natura</t>
        </is>
      </c>
      <c r="C409" s="74" t="inlineStr">
        <is>
          <t>Essencial</t>
        </is>
      </c>
      <c r="D409" s="64" t="inlineStr">
        <is>
          <t>Hidratante Desodorante Perfumado</t>
        </is>
      </c>
      <c r="E409" s="136">
        <f>TRIM(CONCATENATE(D409, " ", C409, " ", F409, " ", IF(G409&gt;0, G409 &amp; "x" &amp; H409, H409), " ", I409))</f>
        <v/>
      </c>
      <c r="F409" s="2" t="inlineStr">
        <is>
          <t>Essencial Oud</t>
        </is>
      </c>
      <c r="G409" s="131" t="n"/>
      <c r="H409" s="2" t="inlineStr">
        <is>
          <t xml:space="preserve">100ml </t>
        </is>
      </c>
      <c r="I409" s="31" t="inlineStr">
        <is>
          <t xml:space="preserve">Frasco </t>
        </is>
      </c>
      <c r="J409" s="11" t="inlineStr">
        <is>
          <t xml:space="preserve">Hidrata / Perfuma /  Desodorante / Brilho da Pele / Cremoso </t>
        </is>
      </c>
      <c r="K409" s="180" t="n"/>
      <c r="L409" s="180" t="n">
        <v>39.9</v>
      </c>
    </row>
    <row r="410" ht="15" customFormat="1" customHeight="1" s="10">
      <c r="A410" t="inlineStr">
        <is>
          <t>NATBRA-178241</t>
        </is>
      </c>
      <c r="B410" s="63" t="inlineStr">
        <is>
          <t>Natura</t>
        </is>
      </c>
      <c r="C410" s="74" t="inlineStr">
        <is>
          <t>Essencial</t>
        </is>
      </c>
      <c r="D410" s="134" t="inlineStr">
        <is>
          <t xml:space="preserve">Creme de Barbear </t>
        </is>
      </c>
      <c r="E410" s="136">
        <f>TRIM(CONCATENATE(D410, " ", C410, " ", F410, " ", IF(G410&gt;0, G410 &amp; "x" &amp; H410, H410), " ", I410))</f>
        <v/>
      </c>
      <c r="F410" s="2" t="inlineStr">
        <is>
          <t>Essencial</t>
        </is>
      </c>
      <c r="G410" s="131" t="n"/>
      <c r="H410" s="9" t="inlineStr">
        <is>
          <t xml:space="preserve">75g </t>
        </is>
      </c>
      <c r="I410" s="36" t="inlineStr">
        <is>
          <t xml:space="preserve">Frasco </t>
        </is>
      </c>
      <c r="J410" s="2" t="inlineStr">
        <is>
          <t xml:space="preserve">Fragrância / Elegante / Perfuma / Desodorante / Fragrância Marcante </t>
        </is>
      </c>
      <c r="K410" s="20" t="n"/>
      <c r="L410" s="20" t="inlineStr">
        <is>
          <t xml:space="preserve">R$ 62, 90 </t>
        </is>
      </c>
    </row>
    <row r="411">
      <c r="B411" s="63" t="inlineStr">
        <is>
          <t>Natura</t>
        </is>
      </c>
      <c r="C411" s="74" t="inlineStr">
        <is>
          <t>Essencial</t>
        </is>
      </c>
      <c r="D411" s="66" t="inlineStr">
        <is>
          <t xml:space="preserve">Balm Pos Barba </t>
        </is>
      </c>
      <c r="E411" s="136">
        <f>TRIM(CONCATENATE(D411, " ", C411, " ", F411, " ", IF(G411&gt;0, G411 &amp; "x" &amp; H411, H411), " ", I411))</f>
        <v/>
      </c>
      <c r="F411" s="2" t="inlineStr">
        <is>
          <t>Essencial</t>
        </is>
      </c>
      <c r="G411" s="131" t="n"/>
      <c r="H411" s="141" t="inlineStr">
        <is>
          <t>75ml</t>
        </is>
      </c>
      <c r="I411" s="31" t="inlineStr">
        <is>
          <t xml:space="preserve">Frasco </t>
        </is>
      </c>
      <c r="J411" s="151" t="inlineStr">
        <is>
          <t>Acalma após o barbear e ainda hidrata a pele</t>
        </is>
      </c>
      <c r="K411" s="11" t="n"/>
      <c r="L411" s="11" t="inlineStr">
        <is>
          <t xml:space="preserve">R$ 76, 90 </t>
        </is>
      </c>
    </row>
    <row r="412" ht="15" customHeight="1" s="145">
      <c r="B412" s="63" t="inlineStr">
        <is>
          <t>Natura</t>
        </is>
      </c>
      <c r="C412" s="74" t="inlineStr">
        <is>
          <t>Essencial</t>
        </is>
      </c>
      <c r="D412" s="64" t="inlineStr">
        <is>
          <t xml:space="preserve">Shampoo </t>
        </is>
      </c>
      <c r="E412" s="136">
        <f>TRIM(CONCATENATE(D412, " ", C412, " ", F412, " ", IF(G412&gt;0, G412 &amp; "x" &amp; H412, H412), " ", I412))</f>
        <v/>
      </c>
      <c r="F412" s="2" t="inlineStr">
        <is>
          <t>Essencial oud</t>
        </is>
      </c>
      <c r="G412" s="131" t="n"/>
      <c r="H412" s="2" t="inlineStr">
        <is>
          <t xml:space="preserve">110ml </t>
        </is>
      </c>
      <c r="I412" s="31" t="inlineStr">
        <is>
          <t xml:space="preserve">Frasco </t>
        </is>
      </c>
      <c r="J412" s="152" t="inlineStr">
        <is>
          <t xml:space="preserve">Shampoo 3 em 1 Limpa (corpo. barba e cabelos ) Sem Pesar /  Cuidados Práticos / Fragrância Amadeirada </t>
        </is>
      </c>
      <c r="K412" s="180" t="n"/>
      <c r="L412" s="180" t="n">
        <v>56.9</v>
      </c>
    </row>
    <row r="413" ht="15" customHeight="1" s="145">
      <c r="B413" s="63" t="inlineStr">
        <is>
          <t>Natura</t>
        </is>
      </c>
      <c r="C413" s="74" t="inlineStr">
        <is>
          <t>Essencial</t>
        </is>
      </c>
      <c r="D413" s="64" t="inlineStr">
        <is>
          <t xml:space="preserve">Shower Gel Corporal </t>
        </is>
      </c>
      <c r="E413" s="136">
        <f>TRIM(CONCATENATE(D413, " ", C413, " ", F413, " ", IF(G413&gt;0, G413 &amp; "x" &amp; H413, H413), " ", I413))</f>
        <v/>
      </c>
      <c r="F413" s="2" t="inlineStr">
        <is>
          <t>Essencial</t>
        </is>
      </c>
      <c r="G413" s="131" t="n"/>
      <c r="H413" s="2" t="inlineStr">
        <is>
          <t xml:space="preserve">100g </t>
        </is>
      </c>
      <c r="I413" s="31" t="inlineStr">
        <is>
          <t xml:space="preserve">Frasco </t>
        </is>
      </c>
      <c r="J413" s="154" t="inlineStr">
        <is>
          <t xml:space="preserve">Shampoo 3 em 1 Limpa (corpo. barba e cabelos  / Sem Rescecar / Sensação Refrescante / Perfumação Douradora </t>
        </is>
      </c>
      <c r="K413" s="180" t="n"/>
      <c r="L413" s="180" t="n">
        <v>42.9</v>
      </c>
    </row>
    <row r="414" ht="15" customHeight="1" s="145">
      <c r="B414" s="63" t="inlineStr">
        <is>
          <t>Natura</t>
        </is>
      </c>
      <c r="C414" s="74" t="inlineStr">
        <is>
          <t>Essencial</t>
        </is>
      </c>
      <c r="D414" s="64" t="inlineStr">
        <is>
          <t xml:space="preserve">Sabonete Liquido em Gel </t>
        </is>
      </c>
      <c r="E414" s="136">
        <f>TRIM(CONCATENATE(D414, " ", C414, " ", F414, " ", IF(G414&gt;0, G414 &amp; "x" &amp; H414, H414), " ", I414))</f>
        <v/>
      </c>
      <c r="F414" s="2" t="inlineStr">
        <is>
          <t xml:space="preserve">Essencial  Exclusivo Floral </t>
        </is>
      </c>
      <c r="G414" s="131" t="n"/>
      <c r="H414" s="2" t="inlineStr">
        <is>
          <t xml:space="preserve">100g </t>
        </is>
      </c>
      <c r="I414" s="31" t="inlineStr">
        <is>
          <t xml:space="preserve">Frasco </t>
        </is>
      </c>
      <c r="J414" s="11" t="inlineStr">
        <is>
          <t xml:space="preserve">Cremoso \ Perfume \ Hidrata  / Ilumina Com As Particulas de Glitter / Frescor / Amadeirado </t>
        </is>
      </c>
      <c r="K414" s="180" t="n"/>
      <c r="L414" s="180" t="n">
        <v>39.9</v>
      </c>
    </row>
    <row r="415" ht="15" customHeight="1" s="145">
      <c r="B415" s="63" t="inlineStr">
        <is>
          <t>Natura</t>
        </is>
      </c>
      <c r="C415" s="74" t="inlineStr">
        <is>
          <t>Essencial</t>
        </is>
      </c>
      <c r="D415" s="64" t="inlineStr">
        <is>
          <t xml:space="preserve">Sabonete Liquido em Gel </t>
        </is>
      </c>
      <c r="E415" s="136">
        <f>TRIM(CONCATENATE(D415, " ", C415, " ", F415, " ", IF(G415&gt;0, G415 &amp; "x" &amp; H415, H415), " ", I415))</f>
        <v/>
      </c>
      <c r="F415" s="2" t="inlineStr">
        <is>
          <t>Essencial Oud</t>
        </is>
      </c>
      <c r="G415" s="131" t="n"/>
      <c r="H415" s="2" t="inlineStr">
        <is>
          <t xml:space="preserve">100g </t>
        </is>
      </c>
      <c r="I415" s="31" t="inlineStr">
        <is>
          <t xml:space="preserve">Frasco </t>
        </is>
      </c>
      <c r="J415" s="11" t="inlineStr">
        <is>
          <t xml:space="preserve">Cremoso \ Perfume \ Hidrata  / Ilumina Com As Particulas de Glitter / Frescor / Amadeirado </t>
        </is>
      </c>
      <c r="K415" s="180" t="n"/>
      <c r="L415" s="180" t="n">
        <v>39.9</v>
      </c>
    </row>
    <row r="416" ht="15" customHeight="1" s="145">
      <c r="B416" s="63" t="inlineStr">
        <is>
          <t>Natura</t>
        </is>
      </c>
      <c r="C416" s="74" t="inlineStr">
        <is>
          <t>Essencial</t>
        </is>
      </c>
      <c r="D416" s="64" t="inlineStr">
        <is>
          <t>Sabonete em barra</t>
        </is>
      </c>
      <c r="E416" s="136">
        <f>TRIM(CONCATENATE(D416, " ", C416, " ", F416, " ", IF(G416&gt;0, G416 &amp; "x" &amp; H416, H416), " ", I416))</f>
        <v/>
      </c>
      <c r="F416" s="2" t="inlineStr">
        <is>
          <t>Masculino</t>
        </is>
      </c>
      <c r="G416" s="131" t="n">
        <v>2</v>
      </c>
      <c r="H416" s="2" t="inlineStr">
        <is>
          <t xml:space="preserve">100g </t>
        </is>
      </c>
      <c r="I416" s="31" t="inlineStr">
        <is>
          <t xml:space="preserve">Caixa  </t>
        </is>
      </c>
      <c r="J416" s="2" t="inlineStr">
        <is>
          <t xml:space="preserve">Promove Limpeza Profunda / Hidratação Natural Da Pele </t>
        </is>
      </c>
      <c r="K416" s="180" t="n"/>
      <c r="L416" s="180" t="n">
        <v>42.9</v>
      </c>
    </row>
    <row r="417" ht="15" customFormat="1" customHeight="1" s="10">
      <c r="B417" s="63" t="inlineStr">
        <is>
          <t>Natura</t>
        </is>
      </c>
      <c r="C417" s="74" t="inlineStr">
        <is>
          <t>Essencial</t>
        </is>
      </c>
      <c r="D417" s="64" t="inlineStr">
        <is>
          <t>Sabonete em barra</t>
        </is>
      </c>
      <c r="E417" s="136">
        <f>TRIM(CONCATENATE(D417, " ", C417, " ", F417, " ", IF(G417&gt;0, G417 &amp; "x" &amp; H417, H417), " ", I417))</f>
        <v/>
      </c>
      <c r="F417" s="9" t="inlineStr">
        <is>
          <t>Atô</t>
        </is>
      </c>
      <c r="G417" s="131" t="n">
        <v>1</v>
      </c>
      <c r="H417" s="2" t="inlineStr">
        <is>
          <t xml:space="preserve">100g </t>
        </is>
      </c>
      <c r="I417" s="31" t="inlineStr">
        <is>
          <t xml:space="preserve">Caixa  </t>
        </is>
      </c>
      <c r="J417" s="2" t="inlineStr">
        <is>
          <t xml:space="preserve">Promove Limpeza Profunda / Hidratação Natural Da Pele </t>
        </is>
      </c>
      <c r="K417" s="191" t="n"/>
      <c r="L417" s="191" t="n">
        <v>19.9</v>
      </c>
    </row>
    <row r="418" ht="15" customHeight="1" s="145">
      <c r="B418" s="63" t="inlineStr">
        <is>
          <t>Natura</t>
        </is>
      </c>
      <c r="C418" s="74" t="inlineStr">
        <is>
          <t>Essencial</t>
        </is>
      </c>
      <c r="D418" s="64" t="inlineStr">
        <is>
          <t>Sabonete em barra</t>
        </is>
      </c>
      <c r="E418" s="136">
        <f>TRIM(CONCATENATE(D418, " ", C418, " ", F418, " ", IF(G418&gt;0, G418 &amp; "x" &amp; H418, H418), " ", I418))</f>
        <v/>
      </c>
      <c r="F418" s="2" t="inlineStr">
        <is>
          <t xml:space="preserve">Supreme </t>
        </is>
      </c>
      <c r="G418" s="131" t="n">
        <v>1</v>
      </c>
      <c r="H418" s="2" t="inlineStr">
        <is>
          <t xml:space="preserve">100g </t>
        </is>
      </c>
      <c r="I418" s="31" t="inlineStr">
        <is>
          <t xml:space="preserve">Caixa  </t>
        </is>
      </c>
      <c r="J418" s="2" t="inlineStr">
        <is>
          <t xml:space="preserve">Promove Limpeza Profunda / Hidratação Natural Da Pele </t>
        </is>
      </c>
      <c r="K418" s="191" t="n"/>
      <c r="L418" s="191" t="n">
        <v>19.9</v>
      </c>
    </row>
    <row r="419" ht="15" customFormat="1" customHeight="1" s="10">
      <c r="B419" s="63" t="inlineStr">
        <is>
          <t>Natura</t>
        </is>
      </c>
      <c r="C419" s="75" t="inlineStr">
        <is>
          <t>Luna</t>
        </is>
      </c>
      <c r="D419" s="66" t="inlineStr">
        <is>
          <t>Colonia</t>
        </is>
      </c>
      <c r="E419" s="136">
        <f>TRIM(CONCATENATE(D419, " ", C419, " ", F419, " ", IF(G419&gt;0, G419 &amp; "x" &amp; H419, H419), " ", I419))</f>
        <v/>
      </c>
      <c r="F419" s="103" t="inlineStr">
        <is>
          <t xml:space="preserve"> Feminino</t>
        </is>
      </c>
      <c r="G419" s="131" t="n"/>
      <c r="H419" s="9" t="inlineStr">
        <is>
          <t xml:space="preserve">25ml </t>
        </is>
      </c>
      <c r="I419" s="36" t="inlineStr">
        <is>
          <t>Miniatura</t>
        </is>
      </c>
      <c r="J419" s="124" t="inlineStr">
        <is>
          <t xml:space="preserve">Personalidade Única Da Fragrância Chipre / Caminho Olfativo / Clássico Mundial </t>
        </is>
      </c>
      <c r="K419" s="20" t="n"/>
      <c r="L419" s="20" t="inlineStr">
        <is>
          <t>R$ 89, 90</t>
        </is>
      </c>
    </row>
    <row r="420" ht="15" customFormat="1" customHeight="1" s="10">
      <c r="B420" s="63" t="inlineStr">
        <is>
          <t>Natura</t>
        </is>
      </c>
      <c r="C420" s="75" t="inlineStr">
        <is>
          <t>Luna</t>
        </is>
      </c>
      <c r="D420" s="66" t="inlineStr">
        <is>
          <t>Colonia</t>
        </is>
      </c>
      <c r="E420" s="136">
        <f>TRIM(CONCATENATE(D420, " ", C420, " ", F420, " ", IF(G420&gt;0, G420 &amp; "x" &amp; H420, H420), " ", I420))</f>
        <v/>
      </c>
      <c r="F420" s="101" t="inlineStr">
        <is>
          <t xml:space="preserve"> Girl Infantil</t>
        </is>
      </c>
      <c r="G420" s="131" t="n"/>
      <c r="H420" s="9" t="inlineStr">
        <is>
          <t xml:space="preserve">25ml </t>
        </is>
      </c>
      <c r="I420" s="36" t="inlineStr">
        <is>
          <t>Miniatura</t>
        </is>
      </c>
      <c r="J420" s="127" t="inlineStr">
        <is>
          <t>Sinta o Frescor e o Floral / meninas que querem mostrar sua identidade e sua personalidade através de uma fragrância</t>
        </is>
      </c>
      <c r="K420" s="20" t="n"/>
      <c r="L420" s="20" t="inlineStr">
        <is>
          <t>R$ 89, 90</t>
        </is>
      </c>
    </row>
    <row r="421" ht="15" customHeight="1" s="145">
      <c r="A421" t="inlineStr">
        <is>
          <t>NATBRA-56417</t>
        </is>
      </c>
      <c r="B421" s="63" t="inlineStr">
        <is>
          <t>Natura</t>
        </is>
      </c>
      <c r="C421" s="75" t="inlineStr">
        <is>
          <t>Luna</t>
        </is>
      </c>
      <c r="D421" s="66" t="inlineStr">
        <is>
          <t>Colonia</t>
        </is>
      </c>
      <c r="E421" s="136">
        <f>TRIM(CONCATENATE(D421, " ", C421, " ", F421, " ", IF(G421&gt;0, G421 &amp; "x" &amp; H421, H421), " ", I421))</f>
        <v/>
      </c>
      <c r="F421" s="102" t="inlineStr">
        <is>
          <t xml:space="preserve"> Absoluta Feminino</t>
        </is>
      </c>
      <c r="G421" s="131" t="n"/>
      <c r="H421" s="2" t="inlineStr">
        <is>
          <t>75ml</t>
        </is>
      </c>
      <c r="I421" s="31" t="inlineStr">
        <is>
          <t xml:space="preserve">Frasco </t>
        </is>
      </c>
      <c r="J421" s="149" t="inlineStr">
        <is>
          <t xml:space="preserve"> Fragrância Intensa / Envolvente / Sensualidade  /  Força Feminina /  Notas Florais Amadeirado / Exala Poder /  Elegância</t>
        </is>
      </c>
      <c r="K421" s="180" t="n"/>
      <c r="L421" s="180" t="n">
        <v>189.9</v>
      </c>
    </row>
    <row r="422" ht="15" customHeight="1" s="145">
      <c r="B422" s="63" t="inlineStr">
        <is>
          <t>Natura</t>
        </is>
      </c>
      <c r="C422" s="75" t="inlineStr">
        <is>
          <t>Luna</t>
        </is>
      </c>
      <c r="D422" s="66" t="inlineStr">
        <is>
          <t>Colonia</t>
        </is>
      </c>
      <c r="E422" s="136">
        <f>TRIM(CONCATENATE(D422, " ", C422, " ", F422, " ", IF(G422&gt;0, G422 &amp; "x" &amp; H422, H422), " ", I422))</f>
        <v/>
      </c>
      <c r="F422" s="94" t="inlineStr">
        <is>
          <t xml:space="preserve"> Confiante Feminino</t>
        </is>
      </c>
      <c r="G422" s="131" t="n"/>
      <c r="H422" s="2" t="inlineStr">
        <is>
          <t>75ml</t>
        </is>
      </c>
      <c r="I422" s="31" t="inlineStr">
        <is>
          <t xml:space="preserve">Frasco </t>
        </is>
      </c>
      <c r="J422" s="11" t="inlineStr">
        <is>
          <t xml:space="preserve">Fundo Amadeirado / Frutas Vermelhas / toque Floral Feminino / Marcante </t>
        </is>
      </c>
      <c r="K422" s="180" t="n"/>
      <c r="L422" s="180" t="n">
        <v>189.9</v>
      </c>
    </row>
    <row r="423" ht="15" customHeight="1" s="145">
      <c r="B423" s="63" t="inlineStr">
        <is>
          <t>Natura</t>
        </is>
      </c>
      <c r="C423" s="75" t="inlineStr">
        <is>
          <t>Luna</t>
        </is>
      </c>
      <c r="D423" s="66" t="inlineStr">
        <is>
          <t>Colonia</t>
        </is>
      </c>
      <c r="E423" s="136">
        <f>TRIM(CONCATENATE(D423, " ", C423, " ", F423, " ", IF(G423&gt;0, G423 &amp; "x" &amp; H423, H423), " ", I423))</f>
        <v/>
      </c>
      <c r="F423" s="94" t="inlineStr">
        <is>
          <t xml:space="preserve"> Coragem Feminino</t>
        </is>
      </c>
      <c r="G423" s="131" t="n"/>
      <c r="H423" s="2" t="inlineStr">
        <is>
          <t>75ml</t>
        </is>
      </c>
      <c r="I423" s="31" t="inlineStr">
        <is>
          <t xml:space="preserve">Frasco </t>
        </is>
      </c>
      <c r="J423" s="11" t="inlineStr">
        <is>
          <t>Flor da Protea / Simboliza Resistência / Esperança / Calor Envolvente da Pimenta-rosa / Cremosidade</t>
        </is>
      </c>
      <c r="K423" s="180" t="n"/>
      <c r="L423" s="180" t="n">
        <v>189.9</v>
      </c>
    </row>
    <row r="424" ht="15" customHeight="1" s="145">
      <c r="B424" s="63" t="inlineStr">
        <is>
          <t>Natura</t>
        </is>
      </c>
      <c r="C424" s="75" t="inlineStr">
        <is>
          <t>Luna</t>
        </is>
      </c>
      <c r="D424" s="66" t="inlineStr">
        <is>
          <t>Colonia</t>
        </is>
      </c>
      <c r="E424" s="136">
        <f>TRIM(CONCATENATE(D424, " ", C424, " ", F424, " ", IF(G424&gt;0, G424 &amp; "x" &amp; H424, H424), " ", I424))</f>
        <v/>
      </c>
      <c r="F424" s="123" t="inlineStr">
        <is>
          <t xml:space="preserve"> Divina Feminino</t>
        </is>
      </c>
      <c r="G424" s="131" t="n"/>
      <c r="H424" s="2" t="inlineStr">
        <is>
          <t>75ml</t>
        </is>
      </c>
      <c r="I424" s="31" t="inlineStr">
        <is>
          <t xml:space="preserve">Frasco </t>
        </is>
      </c>
      <c r="J424" s="11" t="inlineStr">
        <is>
          <t xml:space="preserve"> Fragrância Radiante / Irresistível / Exalta a liberdade / Poder Feminino /  Perfumação Marcante. </t>
        </is>
      </c>
      <c r="K424" s="180" t="n"/>
      <c r="L424" s="180" t="n">
        <v>189.9</v>
      </c>
    </row>
    <row r="425" ht="15" customHeight="1" s="145">
      <c r="B425" s="63" t="inlineStr">
        <is>
          <t>Natura</t>
        </is>
      </c>
      <c r="C425" s="75" t="inlineStr">
        <is>
          <t>Luna</t>
        </is>
      </c>
      <c r="D425" s="66" t="inlineStr">
        <is>
          <t>Colonia</t>
        </is>
      </c>
      <c r="E425" s="136">
        <f>TRIM(CONCATENATE(D425, " ", C425, " ", F425, " ", IF(G425&gt;0, G425 &amp; "x" &amp; H425, H425), " ", I425))</f>
        <v/>
      </c>
      <c r="F425" s="94" t="inlineStr">
        <is>
          <t xml:space="preserve"> Fascinante Feminino</t>
        </is>
      </c>
      <c r="G425" s="131" t="n"/>
      <c r="H425" s="2" t="inlineStr">
        <is>
          <t>75ml</t>
        </is>
      </c>
      <c r="I425" s="31" t="inlineStr">
        <is>
          <t xml:space="preserve">Frasco </t>
        </is>
      </c>
      <c r="J425" s="11" t="inlineStr">
        <is>
          <t xml:space="preserve">Elegância / Magnetismo / Envolvente / Marcante /  Magnética / Envolvente /  Flores Roxas / Delicado da Pataqueira / Bela Flor Roxa </t>
        </is>
      </c>
      <c r="K425" s="180" t="n"/>
      <c r="L425" s="180" t="n">
        <v>189.9</v>
      </c>
    </row>
    <row r="426" ht="15" customHeight="1" s="145">
      <c r="B426" s="63" t="inlineStr">
        <is>
          <t>Natura</t>
        </is>
      </c>
      <c r="C426" s="75" t="inlineStr">
        <is>
          <t>Luna</t>
        </is>
      </c>
      <c r="D426" s="66" t="inlineStr">
        <is>
          <t>Colonia</t>
        </is>
      </c>
      <c r="E426" s="136">
        <f>TRIM(CONCATENATE(D426, " ", C426, " ", F426, " ", IF(G426&gt;0, G426 &amp; "x" &amp; H426, H426), " ", I426))</f>
        <v/>
      </c>
      <c r="F426" s="123" t="inlineStr">
        <is>
          <t xml:space="preserve"> Força Feminino</t>
        </is>
      </c>
      <c r="G426" s="131" t="n"/>
      <c r="H426" s="2" t="inlineStr">
        <is>
          <t>75ml</t>
        </is>
      </c>
      <c r="I426" s="31" t="inlineStr">
        <is>
          <t xml:space="preserve">Frasco </t>
        </is>
      </c>
      <c r="J426" s="124" t="inlineStr">
        <is>
          <t>Intensas / Amadeiradas / Exressar sua Sensualidade / Luna Traduz a Força</t>
        </is>
      </c>
      <c r="K426" s="180" t="n"/>
      <c r="L426" s="180" t="n">
        <v>189.9</v>
      </c>
    </row>
    <row r="427" ht="15" customHeight="1" s="145">
      <c r="B427" s="63" t="inlineStr">
        <is>
          <t>Natura</t>
        </is>
      </c>
      <c r="C427" s="75" t="inlineStr">
        <is>
          <t>Luna</t>
        </is>
      </c>
      <c r="D427" s="66" t="inlineStr">
        <is>
          <t>Colonia</t>
        </is>
      </c>
      <c r="E427" s="136">
        <f>TRIM(CONCATENATE(D427, " ", C427, " ", F427, " ", IF(G427&gt;0, G427 &amp; "x" &amp; H427, H427), " ", I427))</f>
        <v/>
      </c>
      <c r="F427" s="123" t="inlineStr">
        <is>
          <t xml:space="preserve"> Feminino</t>
        </is>
      </c>
      <c r="G427" s="131" t="n"/>
      <c r="H427" s="2" t="inlineStr">
        <is>
          <t>75ml</t>
        </is>
      </c>
      <c r="I427" s="31" t="inlineStr">
        <is>
          <t xml:space="preserve">Frasco </t>
        </is>
      </c>
      <c r="J427" s="124" t="inlineStr">
        <is>
          <t xml:space="preserve">Personalidade Única Da Fragrância Chipre / Caminho Olfativo / Clássico Mundial </t>
        </is>
      </c>
      <c r="K427" s="180" t="n"/>
      <c r="L427" s="180" t="n">
        <v>189.9</v>
      </c>
    </row>
    <row r="428" ht="15" customHeight="1" s="145">
      <c r="B428" s="63" t="inlineStr">
        <is>
          <t>Natura</t>
        </is>
      </c>
      <c r="C428" s="75" t="inlineStr">
        <is>
          <t>Luna</t>
        </is>
      </c>
      <c r="D428" s="66" t="inlineStr">
        <is>
          <t>Colonia</t>
        </is>
      </c>
      <c r="E428" s="136">
        <f>TRIM(CONCATENATE(D428, " ", C428, " ", F428, " ", IF(G428&gt;0, G428 &amp; "x" &amp; H428, H428), " ", I428))</f>
        <v/>
      </c>
      <c r="F428" s="94" t="inlineStr">
        <is>
          <t xml:space="preserve"> Liberdade Feminino</t>
        </is>
      </c>
      <c r="G428" s="131" t="n"/>
      <c r="H428" s="2" t="inlineStr">
        <is>
          <t>75ml</t>
        </is>
      </c>
      <c r="I428" s="31" t="inlineStr">
        <is>
          <t xml:space="preserve">Frasco </t>
        </is>
      </c>
      <c r="J428" s="137" t="inlineStr">
        <is>
          <t xml:space="preserve"> Inspirado em Mulheres Autênticas / Maçã Cristalizada /  Buquê Floral / Baunilha  / Ishpink</t>
        </is>
      </c>
      <c r="K428" s="180" t="n"/>
      <c r="L428" s="180" t="n">
        <v>189.9</v>
      </c>
    </row>
    <row r="429" ht="15" customHeight="1" s="145">
      <c r="B429" s="63" t="inlineStr">
        <is>
          <t>Natura</t>
        </is>
      </c>
      <c r="C429" s="75" t="inlineStr">
        <is>
          <t>Luna</t>
        </is>
      </c>
      <c r="D429" s="66" t="inlineStr">
        <is>
          <t>Colonia</t>
        </is>
      </c>
      <c r="E429" s="136">
        <f>TRIM(CONCATENATE(D429, " ", C429, " ", F429, " ", IF(G429&gt;0, G429 &amp; "x" &amp; H429, H429), " ", I429))</f>
        <v/>
      </c>
      <c r="F429" s="94" t="inlineStr">
        <is>
          <t xml:space="preserve"> Marcante Feminino</t>
        </is>
      </c>
      <c r="G429" s="131" t="n"/>
      <c r="H429" s="2" t="inlineStr">
        <is>
          <t>75ml</t>
        </is>
      </c>
      <c r="I429" s="31" t="inlineStr">
        <is>
          <t xml:space="preserve">Frasco </t>
        </is>
      </c>
      <c r="J429" s="11" t="inlineStr">
        <is>
          <t>Luna Maercante traz o caminho olfativo chipre em sua versão mais ousada</t>
        </is>
      </c>
      <c r="K429" s="180" t="n"/>
      <c r="L429" s="180" t="n">
        <v>189.9</v>
      </c>
    </row>
    <row r="430" ht="15" customHeight="1" s="145">
      <c r="B430" s="63" t="inlineStr">
        <is>
          <t>Natura</t>
        </is>
      </c>
      <c r="C430" s="75" t="inlineStr">
        <is>
          <t>Luna</t>
        </is>
      </c>
      <c r="D430" s="66" t="inlineStr">
        <is>
          <t>Colonia</t>
        </is>
      </c>
      <c r="E430" s="136">
        <f>TRIM(CONCATENATE(D430, " ", C430, " ", F430, " ", IF(G430&gt;0, G430 &amp; "x" &amp; H430, H430), " ", I430))</f>
        <v/>
      </c>
      <c r="F430" s="94" t="inlineStr">
        <is>
          <t xml:space="preserve"> Ousadia Feminino</t>
        </is>
      </c>
      <c r="G430" s="131" t="n"/>
      <c r="H430" s="2" t="inlineStr">
        <is>
          <t>75ml</t>
        </is>
      </c>
      <c r="I430" s="31" t="inlineStr">
        <is>
          <t xml:space="preserve">Frasco </t>
        </is>
      </c>
      <c r="J430" s="137" t="inlineStr">
        <is>
          <t xml:space="preserve"> Natura encontra com a luminosidade da exótica flor da pitaya e a vibração das frutas vermelhas.</t>
        </is>
      </c>
      <c r="K430" s="180" t="n"/>
      <c r="L430" s="180" t="n">
        <v>189.9</v>
      </c>
    </row>
    <row r="431" ht="15" customHeight="1" s="145">
      <c r="B431" s="63" t="inlineStr">
        <is>
          <t>Natura</t>
        </is>
      </c>
      <c r="C431" s="75" t="inlineStr">
        <is>
          <t>Luna</t>
        </is>
      </c>
      <c r="D431" s="66" t="inlineStr">
        <is>
          <t>Colonia</t>
        </is>
      </c>
      <c r="E431" s="136">
        <f>TRIM(CONCATENATE(D431, " ", C431, " ", F431, " ", IF(G431&gt;0, G431 &amp; "x" &amp; H431, H431), " ", I431))</f>
        <v/>
      </c>
      <c r="F431" s="94" t="inlineStr">
        <is>
          <t xml:space="preserve"> Radiante Feminino</t>
        </is>
      </c>
      <c r="G431" s="131" t="n"/>
      <c r="H431" s="2" t="inlineStr">
        <is>
          <t>75ml</t>
        </is>
      </c>
      <c r="I431" s="31" t="inlineStr">
        <is>
          <t xml:space="preserve">Frasco </t>
        </is>
      </c>
      <c r="J431" s="11" t="inlineStr">
        <is>
          <t xml:space="preserve">Alegria / Florais e Frutais / Radiante / Otimista / Notas Vibrantes </t>
        </is>
      </c>
      <c r="K431" s="180" t="n"/>
      <c r="L431" s="180" t="n">
        <v>189.9</v>
      </c>
    </row>
    <row r="432" ht="15" customHeight="1" s="145">
      <c r="B432" s="63" t="inlineStr">
        <is>
          <t>Natura</t>
        </is>
      </c>
      <c r="C432" s="75" t="inlineStr">
        <is>
          <t>Luna</t>
        </is>
      </c>
      <c r="D432" s="66" t="inlineStr">
        <is>
          <t>Colonia</t>
        </is>
      </c>
      <c r="E432" s="136">
        <f>TRIM(CONCATENATE(D432, " ", C432, " ", F432, " ", IF(G432&gt;0, G432 &amp; "x" &amp; H432, H432), " ", I432))</f>
        <v/>
      </c>
      <c r="F432" s="94" t="inlineStr">
        <is>
          <t xml:space="preserve"> Rosé Feminino</t>
        </is>
      </c>
      <c r="G432" s="131" t="n"/>
      <c r="H432" s="2" t="inlineStr">
        <is>
          <t>75ml</t>
        </is>
      </c>
      <c r="I432" s="31" t="inlineStr">
        <is>
          <t xml:space="preserve">Frasco </t>
        </is>
      </c>
      <c r="J432" s="11" t="inlineStr">
        <is>
          <t xml:space="preserve">Frescor Branco Delicioso </t>
        </is>
      </c>
      <c r="K432" s="180" t="n"/>
      <c r="L432" s="180" t="n">
        <v>189.9</v>
      </c>
    </row>
    <row r="433" ht="15" customHeight="1" s="145">
      <c r="B433" s="63" t="inlineStr">
        <is>
          <t>Natura</t>
        </is>
      </c>
      <c r="C433" s="75" t="inlineStr">
        <is>
          <t>Luna</t>
        </is>
      </c>
      <c r="D433" s="64" t="inlineStr">
        <is>
          <t>Deo Parfum</t>
        </is>
      </c>
      <c r="E433" s="136">
        <f>TRIM(CONCATENATE(D433, " ", C433, " ", F433, " ", IF(G433&gt;0, G433 &amp; "x" &amp; H433, H433), " ", I433))</f>
        <v/>
      </c>
      <c r="F433" s="2" t="inlineStr">
        <is>
          <t>Ilumina</t>
        </is>
      </c>
      <c r="G433" s="131" t="n"/>
      <c r="H433" s="2" t="inlineStr">
        <is>
          <t xml:space="preserve">50ml </t>
        </is>
      </c>
      <c r="I433" s="31" t="inlineStr">
        <is>
          <t xml:space="preserve">Frasco </t>
        </is>
      </c>
      <c r="J433" s="11" t="inlineStr">
        <is>
          <t>Intensa / Elegante / Brilho Próprio / Destaca a Potência Feminina</t>
        </is>
      </c>
      <c r="K433" s="180" t="n"/>
      <c r="L433" s="180" t="n">
        <v>218.9</v>
      </c>
    </row>
    <row r="434" ht="15" customHeight="1" s="145">
      <c r="B434" s="63" t="inlineStr">
        <is>
          <t>Natura</t>
        </is>
      </c>
      <c r="C434" s="75" t="inlineStr">
        <is>
          <t>Luna</t>
        </is>
      </c>
      <c r="D434" s="64" t="inlineStr">
        <is>
          <t>Deo Parfum</t>
        </is>
      </c>
      <c r="E434" s="136">
        <f>TRIM(CONCATENATE(D434, " ", C434, " ", F434, " ", IF(G434&gt;0, G434 &amp; "x" &amp; H434, H434), " ", I434))</f>
        <v/>
      </c>
      <c r="F434" s="2" t="inlineStr">
        <is>
          <t xml:space="preserve">Intenso </t>
        </is>
      </c>
      <c r="G434" s="131" t="n"/>
      <c r="H434" s="2" t="inlineStr">
        <is>
          <t xml:space="preserve">50ml </t>
        </is>
      </c>
      <c r="I434" s="31" t="inlineStr">
        <is>
          <t xml:space="preserve">Frasco </t>
        </is>
      </c>
      <c r="J434" s="11" t="inlineStr">
        <is>
          <t>Primeiro Deo Parfum Natura /  Fragrância única / Sensual / Patchoul / Baunilha</t>
        </is>
      </c>
      <c r="K434" s="180" t="n"/>
      <c r="L434" s="180" t="n">
        <v>218.9</v>
      </c>
    </row>
    <row r="435" ht="15" customFormat="1" customHeight="1" s="10">
      <c r="B435" s="63" t="inlineStr">
        <is>
          <t>Natura</t>
        </is>
      </c>
      <c r="C435" s="75" t="inlineStr">
        <is>
          <t>Luna</t>
        </is>
      </c>
      <c r="D435" s="64" t="inlineStr">
        <is>
          <t>Hidratante Desodorante Perfumado</t>
        </is>
      </c>
      <c r="E435" s="136">
        <f>TRIM(CONCATENATE(D435, " ", C435, " ", F435, " ", IF(G435&gt;0, G435 &amp; "x" &amp; H435, H435), " ", I435))</f>
        <v/>
      </c>
      <c r="F435" s="9" t="inlineStr">
        <is>
          <t xml:space="preserve">Intenso </t>
        </is>
      </c>
      <c r="G435" s="131" t="n"/>
      <c r="H435" s="9" t="inlineStr">
        <is>
          <t xml:space="preserve">200g </t>
        </is>
      </c>
      <c r="I435" s="36" t="inlineStr">
        <is>
          <t xml:space="preserve">Pote </t>
        </is>
      </c>
      <c r="J435" s="11" t="inlineStr">
        <is>
          <t xml:space="preserve">Hidrata / Perfuma /  Desodorante / Brilho da Pele / Cremoso </t>
        </is>
      </c>
      <c r="K435" s="191" t="n"/>
      <c r="L435" s="191" t="n">
        <v>120.9</v>
      </c>
    </row>
    <row r="436" ht="15" customFormat="1" customHeight="1" s="10">
      <c r="B436" s="63" t="inlineStr">
        <is>
          <t>Natura</t>
        </is>
      </c>
      <c r="C436" s="75" t="inlineStr">
        <is>
          <t>Luna</t>
        </is>
      </c>
      <c r="D436" s="64" t="inlineStr">
        <is>
          <t>Hidratante Desodorante Perfumado</t>
        </is>
      </c>
      <c r="E436" s="136">
        <f>TRIM(CONCATENATE(D436, " ", C436, " ", F436, " ", IF(G436&gt;0, G436 &amp; "x" &amp; H436, H436), " ", I436))</f>
        <v/>
      </c>
      <c r="F436" s="9" t="inlineStr">
        <is>
          <t xml:space="preserve">Intenso </t>
        </is>
      </c>
      <c r="G436" s="131" t="n"/>
      <c r="H436" s="9" t="inlineStr">
        <is>
          <t xml:space="preserve">200g </t>
        </is>
      </c>
      <c r="I436" s="36" t="inlineStr">
        <is>
          <t xml:space="preserve">Refil </t>
        </is>
      </c>
      <c r="J436" s="11" t="inlineStr">
        <is>
          <t xml:space="preserve">Hidrata / Perfuma /  Desodorante / Brilho da Pele / Cremoso </t>
        </is>
      </c>
      <c r="K436" s="191" t="n"/>
      <c r="L436" s="191" t="n">
        <v>89.90000000000001</v>
      </c>
    </row>
    <row r="437" ht="15" customFormat="1" customHeight="1" s="10">
      <c r="B437" s="63" t="inlineStr">
        <is>
          <t>Natura</t>
        </is>
      </c>
      <c r="C437" s="75" t="inlineStr">
        <is>
          <t>Luna</t>
        </is>
      </c>
      <c r="D437" s="64" t="inlineStr">
        <is>
          <t>Hidratante Desodorante Perfumado</t>
        </is>
      </c>
      <c r="E437" s="136">
        <f>TRIM(CONCATENATE(D437, " ", C437, " ", F437, " ", IF(G437&gt;0, G437 &amp; "x" &amp; H437, H437), " ", I437))</f>
        <v/>
      </c>
      <c r="F437" s="2" t="inlineStr">
        <is>
          <t xml:space="preserve"> Absoluta </t>
        </is>
      </c>
      <c r="G437" s="131" t="n"/>
      <c r="H437" s="9" t="inlineStr">
        <is>
          <t xml:space="preserve">300ml </t>
        </is>
      </c>
      <c r="I437" s="36" t="inlineStr">
        <is>
          <t xml:space="preserve">Frasco </t>
        </is>
      </c>
      <c r="J437" s="11" t="inlineStr">
        <is>
          <t xml:space="preserve">Hidrata  / Perfumado  /  Desodorante 48 hrs  / Brilho da Pele  / Cremoso </t>
        </is>
      </c>
      <c r="K437" s="191" t="n"/>
      <c r="L437" s="191" t="n">
        <v>87.90000000000001</v>
      </c>
    </row>
    <row r="438" ht="15" customFormat="1" customHeight="1" s="10">
      <c r="B438" s="63" t="inlineStr">
        <is>
          <t>Natura</t>
        </is>
      </c>
      <c r="C438" s="75" t="inlineStr">
        <is>
          <t>Luna</t>
        </is>
      </c>
      <c r="D438" s="64" t="inlineStr">
        <is>
          <t>Hidratante Desodorante Perfumado</t>
        </is>
      </c>
      <c r="E438" s="136">
        <f>TRIM(CONCATENATE(D438, " ", C438, " ", F438, " ", IF(G438&gt;0, G438 &amp; "x" &amp; H438, H438), " ", I438))</f>
        <v/>
      </c>
      <c r="F438" s="2" t="inlineStr">
        <is>
          <t xml:space="preserve"> Confiante</t>
        </is>
      </c>
      <c r="G438" s="131" t="n"/>
      <c r="H438" s="9" t="inlineStr">
        <is>
          <t xml:space="preserve">300ml </t>
        </is>
      </c>
      <c r="I438" s="36" t="inlineStr">
        <is>
          <t xml:space="preserve">Frasco </t>
        </is>
      </c>
      <c r="J438" s="11" t="inlineStr">
        <is>
          <t xml:space="preserve">Hidrata  / Perfumado  /  Desodorante 48 hrs  / Brilho da Pele  / Cremoso </t>
        </is>
      </c>
      <c r="K438" s="191" t="n"/>
      <c r="L438" s="191" t="n">
        <v>87.90000000000001</v>
      </c>
    </row>
    <row r="439" ht="15" customFormat="1" customHeight="1" s="10">
      <c r="B439" s="63" t="inlineStr">
        <is>
          <t>Natura</t>
        </is>
      </c>
      <c r="C439" s="75" t="inlineStr">
        <is>
          <t>Luna</t>
        </is>
      </c>
      <c r="D439" s="64" t="inlineStr">
        <is>
          <t>Hidratante Desodorante Perfumado</t>
        </is>
      </c>
      <c r="E439" s="136">
        <f>TRIM(CONCATENATE(D439, " ", C439, " ", F439, " ", IF(G439&gt;0, G439 &amp; "x" &amp; H439, H439), " ", I439))</f>
        <v/>
      </c>
      <c r="F439" s="2" t="inlineStr">
        <is>
          <t xml:space="preserve"> Coragem</t>
        </is>
      </c>
      <c r="G439" s="131" t="n"/>
      <c r="H439" s="9" t="inlineStr">
        <is>
          <t xml:space="preserve">300ml </t>
        </is>
      </c>
      <c r="I439" s="36" t="inlineStr">
        <is>
          <t xml:space="preserve">Frasco </t>
        </is>
      </c>
      <c r="J439" s="11" t="inlineStr">
        <is>
          <t xml:space="preserve">Hidrata  / Perfumado  /  Desodorante 48 hrs  / Brilho da Pele  / Cremoso </t>
        </is>
      </c>
      <c r="K439" s="191" t="n"/>
      <c r="L439" s="191" t="n">
        <v>87.90000000000001</v>
      </c>
    </row>
    <row r="440" ht="15" customFormat="1" customHeight="1" s="10">
      <c r="B440" s="63" t="inlineStr">
        <is>
          <t>Natura</t>
        </is>
      </c>
      <c r="C440" s="75" t="inlineStr">
        <is>
          <t>Luna</t>
        </is>
      </c>
      <c r="D440" s="64" t="inlineStr">
        <is>
          <t>Hidratante Desodorante Perfumado</t>
        </is>
      </c>
      <c r="E440" s="136">
        <f>TRIM(CONCATENATE(D440, " ", C440, " ", F440, " ", IF(G440&gt;0, G440 &amp; "x" &amp; H440, H440), " ", I440))</f>
        <v/>
      </c>
      <c r="F440" s="124" t="inlineStr">
        <is>
          <t xml:space="preserve"> Feminino</t>
        </is>
      </c>
      <c r="G440" s="131" t="n"/>
      <c r="H440" s="9" t="inlineStr">
        <is>
          <t xml:space="preserve">300ml </t>
        </is>
      </c>
      <c r="I440" s="36" t="inlineStr">
        <is>
          <t xml:space="preserve">Frasco </t>
        </is>
      </c>
      <c r="J440" s="11" t="inlineStr">
        <is>
          <t xml:space="preserve">Hidrata  / Perfumado  /  Desodorante 48 hrs  / Brilho da Pele  / Cremoso </t>
        </is>
      </c>
      <c r="K440" s="191" t="n"/>
      <c r="L440" s="191" t="n">
        <v>87.90000000000001</v>
      </c>
    </row>
    <row r="441" ht="15" customFormat="1" customHeight="1" s="10">
      <c r="B441" s="63" t="inlineStr">
        <is>
          <t>Natura</t>
        </is>
      </c>
      <c r="C441" s="75" t="inlineStr">
        <is>
          <t>Luna</t>
        </is>
      </c>
      <c r="D441" s="64" t="inlineStr">
        <is>
          <t>Hidratante Desodorante Perfumado</t>
        </is>
      </c>
      <c r="E441" s="136">
        <f>TRIM(CONCATENATE(D441, " ", C441, " ", F441, " ", IF(G441&gt;0, G441 &amp; "x" &amp; H441, H441), " ", I441))</f>
        <v/>
      </c>
      <c r="F441" s="2" t="inlineStr">
        <is>
          <t xml:space="preserve"> Liberdade</t>
        </is>
      </c>
      <c r="G441" s="131" t="n"/>
      <c r="H441" s="9" t="inlineStr">
        <is>
          <t xml:space="preserve">300ml </t>
        </is>
      </c>
      <c r="I441" s="36" t="inlineStr">
        <is>
          <t xml:space="preserve">Frasco </t>
        </is>
      </c>
      <c r="J441" s="11" t="inlineStr">
        <is>
          <t xml:space="preserve">Hidrata  / Perfumado  /  Desodorante 48 hrs  / Brilho da Pele  / Cremoso </t>
        </is>
      </c>
      <c r="K441" s="191" t="n"/>
      <c r="L441" s="191" t="n">
        <v>87.90000000000001</v>
      </c>
    </row>
    <row r="442" ht="15" customFormat="1" customHeight="1" s="10">
      <c r="B442" s="63" t="inlineStr">
        <is>
          <t>Natura</t>
        </is>
      </c>
      <c r="C442" s="75" t="inlineStr">
        <is>
          <t>Luna</t>
        </is>
      </c>
      <c r="D442" s="64" t="inlineStr">
        <is>
          <t>Hidratante Desodorante Perfumado</t>
        </is>
      </c>
      <c r="E442" s="136">
        <f>TRIM(CONCATENATE(D442, " ", C442, " ", F442, " ", IF(G442&gt;0, G442 &amp; "x" &amp; H442, H442), " ", I442))</f>
        <v/>
      </c>
      <c r="F442" s="2" t="inlineStr">
        <is>
          <t xml:space="preserve"> Ousadia</t>
        </is>
      </c>
      <c r="G442" s="131" t="n"/>
      <c r="H442" s="9" t="inlineStr">
        <is>
          <t xml:space="preserve">300ml </t>
        </is>
      </c>
      <c r="I442" s="36" t="inlineStr">
        <is>
          <t xml:space="preserve">Frasco </t>
        </is>
      </c>
      <c r="J442" s="11" t="inlineStr">
        <is>
          <t xml:space="preserve">Hidrata  / Perfumado  /  Desodorante 48 hrs  / Brilho da Pele  / Cremoso </t>
        </is>
      </c>
      <c r="K442" s="191" t="n"/>
      <c r="L442" s="191" t="n">
        <v>87.90000000000001</v>
      </c>
    </row>
    <row r="443" ht="15" customFormat="1" customHeight="1" s="10">
      <c r="B443" s="63" t="inlineStr">
        <is>
          <t>Natura</t>
        </is>
      </c>
      <c r="C443" s="75" t="inlineStr">
        <is>
          <t>Luna</t>
        </is>
      </c>
      <c r="D443" s="64" t="inlineStr">
        <is>
          <t>Hidratante Desodorante Perfumado</t>
        </is>
      </c>
      <c r="E443" s="136">
        <f>TRIM(CONCATENATE(D443, " ", C443, " ", F443, " ", IF(G443&gt;0, G443 &amp; "x" &amp; H443, H443), " ", I443))</f>
        <v/>
      </c>
      <c r="F443" s="2" t="inlineStr">
        <is>
          <t xml:space="preserve"> Radiante</t>
        </is>
      </c>
      <c r="G443" s="131" t="n"/>
      <c r="H443" s="9" t="inlineStr">
        <is>
          <t xml:space="preserve">300ml </t>
        </is>
      </c>
      <c r="I443" s="36" t="inlineStr">
        <is>
          <t xml:space="preserve">Frasco </t>
        </is>
      </c>
      <c r="J443" s="11" t="inlineStr">
        <is>
          <t xml:space="preserve">Hidrata  / Perfumado  /  Desodorante 48 hrs  / Brilho da Pele  / Cremoso </t>
        </is>
      </c>
      <c r="K443" s="191" t="n"/>
      <c r="L443" s="191" t="n">
        <v>87.90000000000001</v>
      </c>
    </row>
    <row r="444" ht="15" customFormat="1" customHeight="1" s="10">
      <c r="B444" s="63" t="inlineStr">
        <is>
          <t>Natura</t>
        </is>
      </c>
      <c r="C444" s="75" t="inlineStr">
        <is>
          <t>Luna</t>
        </is>
      </c>
      <c r="D444" s="64" t="inlineStr">
        <is>
          <t>Hidratante Desodorante Perfumado</t>
        </is>
      </c>
      <c r="E444" s="136">
        <f>TRIM(CONCATENATE(D444, " ", C444, " ", F444, " ", IF(G444&gt;0, G444 &amp; "x" &amp; H444, H444), " ", I444))</f>
        <v/>
      </c>
      <c r="F444" s="2" t="inlineStr">
        <is>
          <t xml:space="preserve"> Ousadia</t>
        </is>
      </c>
      <c r="G444" s="131" t="n"/>
      <c r="H444" s="9" t="inlineStr">
        <is>
          <t xml:space="preserve">300ml </t>
        </is>
      </c>
      <c r="I444" s="36" t="inlineStr">
        <is>
          <t xml:space="preserve">Frasco </t>
        </is>
      </c>
      <c r="J444" s="11" t="inlineStr">
        <is>
          <t xml:space="preserve">Hidrata  / Perfumado  /  Desodorante 48 hrs  / Brilho da Pele  / Cremoso </t>
        </is>
      </c>
      <c r="K444" s="191" t="n"/>
      <c r="L444" s="191" t="n">
        <v>87.90000000000001</v>
      </c>
    </row>
    <row r="445" ht="15" customHeight="1" s="145">
      <c r="B445" s="63" t="inlineStr">
        <is>
          <t>Natura</t>
        </is>
      </c>
      <c r="C445" s="75" t="inlineStr">
        <is>
          <t>Luna</t>
        </is>
      </c>
      <c r="D445" s="64" t="inlineStr">
        <is>
          <t>Hidratante Desodorante Perfumado</t>
        </is>
      </c>
      <c r="E445" s="136">
        <f>TRIM(CONCATENATE(D445, " ", C445, " ", F445, " ", IF(G445&gt;0, G445 &amp; "x" &amp; H445, H445), " ", I445))</f>
        <v/>
      </c>
      <c r="F445" s="2" t="inlineStr">
        <is>
          <t xml:space="preserve"> Absoluta </t>
        </is>
      </c>
      <c r="G445" s="131" t="n"/>
      <c r="H445" s="9" t="inlineStr">
        <is>
          <t xml:space="preserve">300ml </t>
        </is>
      </c>
      <c r="I445" s="31" t="inlineStr">
        <is>
          <t xml:space="preserve">Refil </t>
        </is>
      </c>
      <c r="J445" s="11" t="inlineStr">
        <is>
          <t xml:space="preserve">Hidrata  / Perfumado  /  Desodorante 48 hrs  / Brilho da Pele  / Cremoso </t>
        </is>
      </c>
      <c r="K445" s="180" t="n"/>
      <c r="L445" s="180" t="n">
        <v>59.9</v>
      </c>
    </row>
    <row r="446" ht="15" customHeight="1" s="145">
      <c r="A446" t="inlineStr">
        <is>
          <t>NATBRA-140684</t>
        </is>
      </c>
      <c r="B446" s="63" t="inlineStr">
        <is>
          <t>Natura</t>
        </is>
      </c>
      <c r="C446" s="75" t="inlineStr">
        <is>
          <t>Luna</t>
        </is>
      </c>
      <c r="D446" s="64" t="inlineStr">
        <is>
          <t>Hidratante Desodorante Perfumado</t>
        </is>
      </c>
      <c r="E446" s="136">
        <f>TRIM(CONCATENATE(D446, " ", C446, " ", F446, " ", IF(G446&gt;0, G446 &amp; "x" &amp; H446, H446), " ", I446))</f>
        <v/>
      </c>
      <c r="F446" s="2" t="inlineStr">
        <is>
          <t xml:space="preserve"> Confiante</t>
        </is>
      </c>
      <c r="G446" s="131" t="n"/>
      <c r="H446" s="9" t="inlineStr">
        <is>
          <t xml:space="preserve">300ml </t>
        </is>
      </c>
      <c r="I446" s="31" t="inlineStr">
        <is>
          <t xml:space="preserve">Refil </t>
        </is>
      </c>
      <c r="J446" s="11" t="inlineStr">
        <is>
          <t xml:space="preserve">Hidrata  / Perfumado  /  Desodorante 48 hrs  / Brilho da Pele  / Cremoso </t>
        </is>
      </c>
      <c r="K446" s="180" t="n"/>
      <c r="L446" s="180" t="n">
        <v>59.9</v>
      </c>
    </row>
    <row r="447" ht="15" customHeight="1" s="145">
      <c r="B447" s="63" t="inlineStr">
        <is>
          <t>Natura</t>
        </is>
      </c>
      <c r="C447" s="75" t="inlineStr">
        <is>
          <t>Luna</t>
        </is>
      </c>
      <c r="D447" s="64" t="inlineStr">
        <is>
          <t>Hidratante Desodorante Perfumado</t>
        </is>
      </c>
      <c r="E447" s="136">
        <f>TRIM(CONCATENATE(D447, " ", C447, " ", F447, " ", IF(G447&gt;0, G447 &amp; "x" &amp; H447, H447), " ", I447))</f>
        <v/>
      </c>
      <c r="F447" s="2" t="inlineStr">
        <is>
          <t xml:space="preserve"> Coragem</t>
        </is>
      </c>
      <c r="G447" s="131" t="n"/>
      <c r="H447" s="9" t="inlineStr">
        <is>
          <t xml:space="preserve">300ml </t>
        </is>
      </c>
      <c r="I447" s="31" t="inlineStr">
        <is>
          <t xml:space="preserve">Refil </t>
        </is>
      </c>
      <c r="J447" s="11" t="inlineStr">
        <is>
          <t xml:space="preserve">Hidrata  / Perfumado  /  Desodorante 48 hrs  / Brilho da Pele  / Cremoso </t>
        </is>
      </c>
      <c r="K447" s="180" t="n"/>
      <c r="L447" s="180" t="n">
        <v>59.9</v>
      </c>
    </row>
    <row r="448" ht="15" customHeight="1" s="145">
      <c r="B448" s="63" t="inlineStr">
        <is>
          <t>Natura</t>
        </is>
      </c>
      <c r="C448" s="75" t="inlineStr">
        <is>
          <t>Luna</t>
        </is>
      </c>
      <c r="D448" s="64" t="inlineStr">
        <is>
          <t>Hidratante Desodorante Perfumado</t>
        </is>
      </c>
      <c r="E448" s="136">
        <f>TRIM(CONCATENATE(D448, " ", C448, " ", F448, " ", IF(G448&gt;0, G448 &amp; "x" &amp; H448, H448), " ", I448))</f>
        <v/>
      </c>
      <c r="F448" s="124" t="inlineStr">
        <is>
          <t xml:space="preserve"> Feminino</t>
        </is>
      </c>
      <c r="G448" s="131" t="n"/>
      <c r="H448" s="9" t="inlineStr">
        <is>
          <t xml:space="preserve">300ml </t>
        </is>
      </c>
      <c r="I448" s="31" t="inlineStr">
        <is>
          <t xml:space="preserve">Refil </t>
        </is>
      </c>
      <c r="J448" s="11" t="inlineStr">
        <is>
          <t xml:space="preserve">Hidrata  / Perfumado  /  Desodorante 48 hrs  / Brilho da Pele  / Cremoso </t>
        </is>
      </c>
      <c r="K448" s="180" t="n"/>
      <c r="L448" s="180" t="n">
        <v>59.9</v>
      </c>
    </row>
    <row r="449" ht="15" customHeight="1" s="145">
      <c r="B449" s="63" t="inlineStr">
        <is>
          <t>Natura</t>
        </is>
      </c>
      <c r="C449" s="75" t="inlineStr">
        <is>
          <t>Luna</t>
        </is>
      </c>
      <c r="D449" s="64" t="inlineStr">
        <is>
          <t>Hidratante Desodorante Perfumado</t>
        </is>
      </c>
      <c r="E449" s="136">
        <f>TRIM(CONCATENATE(D449, " ", C449, " ", F449, " ", IF(G449&gt;0, G449 &amp; "x" &amp; H449, H449), " ", I449))</f>
        <v/>
      </c>
      <c r="F449" s="2" t="inlineStr">
        <is>
          <t xml:space="preserve"> Liberdade</t>
        </is>
      </c>
      <c r="G449" s="131" t="n"/>
      <c r="H449" s="9" t="inlineStr">
        <is>
          <t xml:space="preserve">300ml </t>
        </is>
      </c>
      <c r="I449" s="31" t="inlineStr">
        <is>
          <t xml:space="preserve">Refil </t>
        </is>
      </c>
      <c r="J449" s="11" t="inlineStr">
        <is>
          <t xml:space="preserve">Hidrata  / Perfumado  /  Desodorante 48 hrs  / Brilho da Pele  / Cremoso </t>
        </is>
      </c>
      <c r="K449" s="180" t="n"/>
      <c r="L449" s="180" t="n">
        <v>59.9</v>
      </c>
    </row>
    <row r="450" ht="15" customHeight="1" s="145">
      <c r="B450" s="63" t="inlineStr">
        <is>
          <t>Natura</t>
        </is>
      </c>
      <c r="C450" s="75" t="inlineStr">
        <is>
          <t>Luna</t>
        </is>
      </c>
      <c r="D450" s="64" t="inlineStr">
        <is>
          <t>Hidratante Desodorante Perfumado</t>
        </is>
      </c>
      <c r="E450" s="136">
        <f>TRIM(CONCATENATE(D450, " ", C450, " ", F450, " ", IF(G450&gt;0, G450 &amp; "x" &amp; H450, H450), " ", I450))</f>
        <v/>
      </c>
      <c r="F450" s="2" t="inlineStr">
        <is>
          <t xml:space="preserve"> Ousadia</t>
        </is>
      </c>
      <c r="G450" s="131" t="n"/>
      <c r="H450" s="9" t="inlineStr">
        <is>
          <t xml:space="preserve">300ml </t>
        </is>
      </c>
      <c r="I450" s="31" t="inlineStr">
        <is>
          <t xml:space="preserve">Refil </t>
        </is>
      </c>
      <c r="J450" s="11" t="inlineStr">
        <is>
          <t xml:space="preserve">Hidrata  / Perfumado  /  Desodorante 48 hrs  / Brilho da Pele  / Cremoso </t>
        </is>
      </c>
      <c r="K450" s="180" t="n"/>
      <c r="L450" s="180" t="n">
        <v>59.9</v>
      </c>
    </row>
    <row r="451" ht="15" customHeight="1" s="145">
      <c r="B451" s="63" t="inlineStr">
        <is>
          <t>Natura</t>
        </is>
      </c>
      <c r="C451" s="75" t="inlineStr">
        <is>
          <t>Luna</t>
        </is>
      </c>
      <c r="D451" s="64" t="inlineStr">
        <is>
          <t>Hidratante Desodorante Perfumado</t>
        </is>
      </c>
      <c r="E451" s="136">
        <f>TRIM(CONCATENATE(D451, " ", C451, " ", F451, " ", IF(G451&gt;0, G451 &amp; "x" &amp; H451, H451), " ", I451))</f>
        <v/>
      </c>
      <c r="F451" s="2" t="inlineStr">
        <is>
          <t xml:space="preserve"> Radiante</t>
        </is>
      </c>
      <c r="G451" s="131" t="n"/>
      <c r="H451" s="9" t="inlineStr">
        <is>
          <t xml:space="preserve">300ml </t>
        </is>
      </c>
      <c r="I451" s="31" t="inlineStr">
        <is>
          <t xml:space="preserve">Refil </t>
        </is>
      </c>
      <c r="J451" s="11" t="inlineStr">
        <is>
          <t xml:space="preserve">Hidrata  / Perfumado  /  Desodorante 48 hrs  / Brilho da Pele  / Cremoso </t>
        </is>
      </c>
      <c r="K451" s="180" t="n"/>
      <c r="L451" s="180" t="n">
        <v>59.9</v>
      </c>
    </row>
    <row r="452" ht="15" customHeight="1" s="145">
      <c r="B452" s="63" t="inlineStr">
        <is>
          <t>Natura</t>
        </is>
      </c>
      <c r="C452" s="75" t="inlineStr">
        <is>
          <t>Luna</t>
        </is>
      </c>
      <c r="D452" s="64" t="inlineStr">
        <is>
          <t>Hidratante Desodorante Perfumado</t>
        </is>
      </c>
      <c r="E452" s="136">
        <f>TRIM(CONCATENATE(D452, " ", C452, " ", F452, " ", IF(G452&gt;0, G452 &amp; "x" &amp; H452, H452), " ", I452))</f>
        <v/>
      </c>
      <c r="F452" s="2" t="inlineStr">
        <is>
          <t xml:space="preserve"> Ousadia</t>
        </is>
      </c>
      <c r="G452" s="131" t="n"/>
      <c r="H452" s="9" t="inlineStr">
        <is>
          <t xml:space="preserve">300ml </t>
        </is>
      </c>
      <c r="I452" s="31" t="inlineStr">
        <is>
          <t xml:space="preserve">Refil </t>
        </is>
      </c>
      <c r="J452" s="11" t="inlineStr">
        <is>
          <t xml:space="preserve">Hidrata  / Perfumado  /  Desodorante 48 hrs  / Brilho da Pele  / Cremoso </t>
        </is>
      </c>
      <c r="K452" s="180" t="n"/>
      <c r="L452" s="180" t="n">
        <v>59.9</v>
      </c>
    </row>
    <row r="453" ht="15" customHeight="1" s="145">
      <c r="B453" s="63" t="inlineStr">
        <is>
          <t>Natura</t>
        </is>
      </c>
      <c r="C453" s="75" t="inlineStr">
        <is>
          <t>Luna</t>
        </is>
      </c>
      <c r="D453" s="64" t="inlineStr">
        <is>
          <t>Oleo Corporal  Desodorante  Perfumado</t>
        </is>
      </c>
      <c r="E453" s="136">
        <f>TRIM(CONCATENATE(D453, " ", C453, " ", F453, " ", IF(G453&gt;0, G453 &amp; "x" &amp; H453, H453), " ", I453))</f>
        <v/>
      </c>
      <c r="F453" s="2" t="inlineStr">
        <is>
          <t xml:space="preserve"> Confiante</t>
        </is>
      </c>
      <c r="G453" s="131" t="n"/>
      <c r="H453" s="2" t="inlineStr">
        <is>
          <t xml:space="preserve">150ml </t>
        </is>
      </c>
      <c r="I453" s="31" t="inlineStr">
        <is>
          <t xml:space="preserve">Frasco </t>
        </is>
      </c>
      <c r="J453" s="11" t="inlineStr">
        <is>
          <t xml:space="preserve">Hidrata  / Perfumado  /  Desodorante 48 hrs  / Brilho da Pele  / Cremoso </t>
        </is>
      </c>
      <c r="K453" s="180" t="n"/>
      <c r="L453" s="180" t="n">
        <v>87.90000000000001</v>
      </c>
    </row>
    <row r="454" ht="15" customHeight="1" s="145">
      <c r="B454" s="63" t="inlineStr">
        <is>
          <t>Natura</t>
        </is>
      </c>
      <c r="C454" s="75" t="inlineStr">
        <is>
          <t>Luna</t>
        </is>
      </c>
      <c r="D454" s="66" t="inlineStr">
        <is>
          <t>Desodorante Corporal</t>
        </is>
      </c>
      <c r="E454" s="136">
        <f>TRIM(CONCATENATE(D454, " ", C454, " ", F454, " ", IF(G454&gt;0, G454 &amp; "x" &amp; H454, H454), " ", I454))</f>
        <v/>
      </c>
      <c r="F454" s="2" t="inlineStr">
        <is>
          <t xml:space="preserve"> Absoluta </t>
        </is>
      </c>
      <c r="G454" s="131" t="n"/>
      <c r="H454" s="2" t="inlineStr">
        <is>
          <t xml:space="preserve">100ml </t>
        </is>
      </c>
      <c r="I454" s="90" t="inlineStr">
        <is>
          <t xml:space="preserve">Spray </t>
        </is>
      </c>
      <c r="J454" s="11" t="inlineStr">
        <is>
          <t xml:space="preserve">Perfuma 24 hrs /  Perfuma / Mantem a Hidratação do Corpo </t>
        </is>
      </c>
      <c r="K454" s="180" t="n"/>
      <c r="L454" s="180" t="n">
        <v>54.9</v>
      </c>
    </row>
    <row r="455" ht="15" customHeight="1" s="145">
      <c r="B455" s="63" t="inlineStr">
        <is>
          <t>Natura</t>
        </is>
      </c>
      <c r="C455" s="75" t="inlineStr">
        <is>
          <t>Luna</t>
        </is>
      </c>
      <c r="D455" s="66" t="inlineStr">
        <is>
          <t>Desodorante Corporal</t>
        </is>
      </c>
      <c r="E455" s="136">
        <f>TRIM(CONCATENATE(D455, " ", C455, " ", F455, " ", IF(G455&gt;0, G455 &amp; "x" &amp; H455, H455), " ", I455))</f>
        <v/>
      </c>
      <c r="F455" s="124" t="inlineStr">
        <is>
          <t xml:space="preserve"> Feminino</t>
        </is>
      </c>
      <c r="G455" s="131" t="n"/>
      <c r="H455" s="2" t="inlineStr">
        <is>
          <t xml:space="preserve">100ml </t>
        </is>
      </c>
      <c r="I455" s="90" t="inlineStr">
        <is>
          <t xml:space="preserve">Spray </t>
        </is>
      </c>
      <c r="J455" s="11" t="inlineStr">
        <is>
          <t xml:space="preserve">Perfuma 24 hrs /  Perfuma / Mantem a Hidratação do Corpo </t>
        </is>
      </c>
      <c r="K455" s="180" t="n"/>
      <c r="L455" s="180" t="n">
        <v>54.9</v>
      </c>
    </row>
    <row r="456" ht="15" customHeight="1" s="145">
      <c r="B456" s="63" t="inlineStr">
        <is>
          <t>Natura</t>
        </is>
      </c>
      <c r="C456" s="75" t="inlineStr">
        <is>
          <t>Luna</t>
        </is>
      </c>
      <c r="D456" s="66" t="inlineStr">
        <is>
          <t>Desodorante Corporal</t>
        </is>
      </c>
      <c r="E456" s="136">
        <f>TRIM(CONCATENATE(D456, " ", C456, " ", F456, " ", IF(G456&gt;0, G456 &amp; "x" &amp; H456, H456), " ", I456))</f>
        <v/>
      </c>
      <c r="F456" s="2" t="inlineStr">
        <is>
          <t xml:space="preserve"> Absoluta </t>
        </is>
      </c>
      <c r="G456" s="131" t="n"/>
      <c r="H456" s="2" t="inlineStr">
        <is>
          <t xml:space="preserve">100ml </t>
        </is>
      </c>
      <c r="I456" s="31" t="inlineStr">
        <is>
          <t xml:space="preserve">Refil </t>
        </is>
      </c>
      <c r="J456" s="11" t="inlineStr">
        <is>
          <t xml:space="preserve">Perfuma 24 hrs /  Perfuma / Mantem a Hidratação do Corpo </t>
        </is>
      </c>
      <c r="K456" s="180" t="n"/>
      <c r="L456" s="180" t="n">
        <v>41.9</v>
      </c>
    </row>
    <row r="457" ht="15" customHeight="1" s="145">
      <c r="B457" s="63" t="inlineStr">
        <is>
          <t>Natura</t>
        </is>
      </c>
      <c r="C457" s="75" t="inlineStr">
        <is>
          <t>Luna</t>
        </is>
      </c>
      <c r="D457" s="66" t="inlineStr">
        <is>
          <t>Desodorante Corporal</t>
        </is>
      </c>
      <c r="E457" s="136">
        <f>TRIM(CONCATENATE(D457, " ", C457, " ", F457, " ", IF(G457&gt;0, G457 &amp; "x" &amp; H457, H457), " ", I457))</f>
        <v/>
      </c>
      <c r="F457" s="124" t="inlineStr">
        <is>
          <t xml:space="preserve"> Feminino</t>
        </is>
      </c>
      <c r="G457" s="131" t="n"/>
      <c r="H457" s="2" t="inlineStr">
        <is>
          <t xml:space="preserve">100ml </t>
        </is>
      </c>
      <c r="I457" s="31" t="inlineStr">
        <is>
          <t xml:space="preserve">Refil </t>
        </is>
      </c>
      <c r="J457" s="11" t="inlineStr">
        <is>
          <t xml:space="preserve">Perfuma 24 hrs /  Perfuma / Mantem a Hidratação do Corpo </t>
        </is>
      </c>
      <c r="K457" s="180" t="n"/>
      <c r="L457" s="180" t="n">
        <v>41.9</v>
      </c>
    </row>
    <row r="458" ht="15" customHeight="1" s="145">
      <c r="B458" s="63" t="inlineStr">
        <is>
          <t>Natura</t>
        </is>
      </c>
      <c r="C458" s="75" t="inlineStr">
        <is>
          <t>Luna</t>
        </is>
      </c>
      <c r="D458" s="64" t="inlineStr">
        <is>
          <t xml:space="preserve">Desodorante Roll-on </t>
        </is>
      </c>
      <c r="E458" s="136">
        <f>TRIM(CONCATENATE(D458, " ", C458, " ", F458, " ", IF(G458&gt;0, G458 &amp; "x" &amp; H458, H458), " ", I458))</f>
        <v/>
      </c>
      <c r="F458" s="124" t="inlineStr">
        <is>
          <t xml:space="preserve"> Feminino</t>
        </is>
      </c>
      <c r="G458" s="131" t="n"/>
      <c r="H458" s="2" t="inlineStr">
        <is>
          <t xml:space="preserve"> 75ml </t>
        </is>
      </c>
      <c r="I458" s="31" t="inlineStr">
        <is>
          <t xml:space="preserve">Frasco </t>
        </is>
      </c>
      <c r="J458" s="11" t="inlineStr">
        <is>
          <t xml:space="preserve">Perfuma 24 hrs /  Perfuma / Mantem a Hidratação do Corpo </t>
        </is>
      </c>
      <c r="K458" s="180" t="n"/>
      <c r="L458" s="180" t="n">
        <v>26.9</v>
      </c>
    </row>
    <row r="459" ht="15" customHeight="1" s="145">
      <c r="B459" s="63" t="inlineStr">
        <is>
          <t>Natura</t>
        </is>
      </c>
      <c r="C459" s="75" t="inlineStr">
        <is>
          <t>Luna</t>
        </is>
      </c>
      <c r="D459" s="64" t="inlineStr">
        <is>
          <t xml:space="preserve">Essencia  Para  Cabelos </t>
        </is>
      </c>
      <c r="E459" s="136">
        <f>TRIM(CONCATENATE(D459, " ", C459, " ", F459, " ", IF(G459&gt;0, G459 &amp; "x" &amp; H459, H459), " ", I459))</f>
        <v/>
      </c>
      <c r="F459" s="124" t="inlineStr">
        <is>
          <t xml:space="preserve"> Divina </t>
        </is>
      </c>
      <c r="G459" s="131" t="n"/>
      <c r="H459" s="124" t="inlineStr">
        <is>
          <t xml:space="preserve">30ml </t>
        </is>
      </c>
      <c r="I459" s="31" t="inlineStr">
        <is>
          <t xml:space="preserve">Frasco </t>
        </is>
      </c>
      <c r="J459" s="124" t="inlineStr">
        <is>
          <t xml:space="preserve">Fios perrfumados a qualuqer hora do dia </t>
        </is>
      </c>
      <c r="K459" s="186" t="n"/>
      <c r="L459" s="186" t="n">
        <v>85.90000000000001</v>
      </c>
    </row>
    <row r="460" ht="15" customHeight="1" s="145">
      <c r="B460" s="63" t="inlineStr">
        <is>
          <t>Natura</t>
        </is>
      </c>
      <c r="C460" s="75" t="inlineStr">
        <is>
          <t>Luna</t>
        </is>
      </c>
      <c r="D460" s="64" t="inlineStr">
        <is>
          <t xml:space="preserve">Essencia  Para  Cabelos </t>
        </is>
      </c>
      <c r="E460" s="136">
        <f>TRIM(CONCATENATE(D460, " ", C460, " ", F460, " ", IF(G460&gt;0, G460 &amp; "x" &amp; H460, H460), " ", I460))</f>
        <v/>
      </c>
      <c r="F460" s="2" t="inlineStr">
        <is>
          <t xml:space="preserve"> Feminino</t>
        </is>
      </c>
      <c r="G460" s="131" t="n"/>
      <c r="H460" s="124" t="inlineStr">
        <is>
          <t xml:space="preserve">30ml </t>
        </is>
      </c>
      <c r="I460" s="31" t="inlineStr">
        <is>
          <t xml:space="preserve">Frasco </t>
        </is>
      </c>
      <c r="J460" s="124" t="inlineStr">
        <is>
          <t xml:space="preserve">Fios perrfumados a qualuqer hora do dia </t>
        </is>
      </c>
      <c r="K460" s="180" t="n"/>
      <c r="L460" s="180" t="n">
        <v>77.90000000000001</v>
      </c>
    </row>
    <row r="461" ht="15" customHeight="1" s="145">
      <c r="B461" s="63" t="inlineStr">
        <is>
          <t>Natura</t>
        </is>
      </c>
      <c r="C461" s="75" t="inlineStr">
        <is>
          <t>Luna</t>
        </is>
      </c>
      <c r="D461" s="64" t="inlineStr">
        <is>
          <t>Body Splash</t>
        </is>
      </c>
      <c r="E461" s="136">
        <f>TRIM(CONCATENATE(D461, " ", C461, " ", F461, " ", IF(G461&gt;0, G461 &amp; "x" &amp; H461, H461), " ", I461))</f>
        <v/>
      </c>
      <c r="F461" s="2" t="inlineStr">
        <is>
          <t xml:space="preserve"> Fascinante</t>
        </is>
      </c>
      <c r="G461" s="131" t="n"/>
      <c r="H461" s="2" t="inlineStr">
        <is>
          <t xml:space="preserve">200ml </t>
        </is>
      </c>
      <c r="I461" s="31" t="inlineStr">
        <is>
          <t xml:space="preserve">Frasco </t>
        </is>
      </c>
      <c r="J461" s="11" t="inlineStr">
        <is>
          <t xml:space="preserve">Leve  com  a Sensação de Frescor / Classico Mundial / Mistura Intensiva </t>
        </is>
      </c>
      <c r="K461" s="180" t="n"/>
      <c r="L461" s="180" t="n">
        <v>83.90000000000001</v>
      </c>
    </row>
    <row r="462" ht="15" customHeight="1" s="145">
      <c r="B462" s="63" t="inlineStr">
        <is>
          <t>Natura</t>
        </is>
      </c>
      <c r="C462" s="75" t="inlineStr">
        <is>
          <t>Luna</t>
        </is>
      </c>
      <c r="D462" s="64" t="inlineStr">
        <is>
          <t>Body Splash</t>
        </is>
      </c>
      <c r="E462" s="136">
        <f>TRIM(CONCATENATE(D462, " ", C462, " ", F462, " ", IF(G462&gt;0, G462 &amp; "x" &amp; H462, H462), " ", I462))</f>
        <v/>
      </c>
      <c r="F462" s="2" t="inlineStr">
        <is>
          <t xml:space="preserve"> Feminino</t>
        </is>
      </c>
      <c r="G462" s="131" t="n"/>
      <c r="H462" s="2" t="inlineStr">
        <is>
          <t xml:space="preserve">200ml </t>
        </is>
      </c>
      <c r="I462" s="31" t="inlineStr">
        <is>
          <t xml:space="preserve">Frasco </t>
        </is>
      </c>
      <c r="J462" s="11" t="inlineStr">
        <is>
          <t xml:space="preserve">Leve  com  a Sensação de Frescor / Classico Mundial / Mistura Intensiva </t>
        </is>
      </c>
      <c r="K462" s="180" t="n"/>
      <c r="L462" s="180" t="n">
        <v>83.90000000000001</v>
      </c>
    </row>
    <row r="463" ht="15" customHeight="1" s="145">
      <c r="B463" s="63" t="inlineStr">
        <is>
          <t>Natura</t>
        </is>
      </c>
      <c r="C463" s="75" t="inlineStr">
        <is>
          <t>Luna</t>
        </is>
      </c>
      <c r="D463" s="64" t="inlineStr">
        <is>
          <t>Body Splash</t>
        </is>
      </c>
      <c r="E463" s="136">
        <f>TRIM(CONCATENATE(D463, " ", C463, " ", F463, " ", IF(G463&gt;0, G463 &amp; "x" &amp; H463, H463), " ", I463))</f>
        <v/>
      </c>
      <c r="F463" s="124" t="inlineStr">
        <is>
          <t xml:space="preserve"> Radiante</t>
        </is>
      </c>
      <c r="G463" s="131" t="n"/>
      <c r="H463" s="2" t="inlineStr">
        <is>
          <t xml:space="preserve">200ml </t>
        </is>
      </c>
      <c r="I463" s="31" t="inlineStr">
        <is>
          <t xml:space="preserve">Frasco </t>
        </is>
      </c>
      <c r="J463" s="11" t="inlineStr">
        <is>
          <t xml:space="preserve">Leve  com  a Sensação de Frescor / Classico Mundial / Mistura Intensiva </t>
        </is>
      </c>
      <c r="K463" s="180" t="n"/>
      <c r="L463" s="180" t="n">
        <v>83.90000000000001</v>
      </c>
    </row>
    <row r="464" ht="15" customHeight="1" s="145">
      <c r="B464" s="63" t="inlineStr">
        <is>
          <t>Natura</t>
        </is>
      </c>
      <c r="C464" s="75" t="inlineStr">
        <is>
          <t>Luna</t>
        </is>
      </c>
      <c r="D464" s="68" t="inlineStr">
        <is>
          <t>Hidrante Desodorante Perfumado Iluminador</t>
        </is>
      </c>
      <c r="E464" s="136">
        <f>TRIM(CONCATENATE(D464, " ", C464, " ", F464, " ", IF(G464&gt;0, G464 &amp; "x" &amp; H464, H464), " ", I464))</f>
        <v/>
      </c>
      <c r="F464" s="2" t="inlineStr">
        <is>
          <t xml:space="preserve"> Feminio</t>
        </is>
      </c>
      <c r="G464" s="131" t="n"/>
      <c r="H464" s="2" t="inlineStr">
        <is>
          <t xml:space="preserve">150ml </t>
        </is>
      </c>
      <c r="I464" s="31" t="inlineStr">
        <is>
          <t xml:space="preserve">Frasco </t>
        </is>
      </c>
      <c r="J464" s="11" t="inlineStr">
        <is>
          <t xml:space="preserve">Hidrata  / Perfumado  /  Desodorante 48 hrs  / Brilho da Pele  / Cremoso / Iluminador </t>
        </is>
      </c>
      <c r="K464" s="180" t="n"/>
      <c r="L464" s="180" t="n">
        <v>40.2</v>
      </c>
    </row>
    <row r="465" ht="15" customHeight="1" s="145">
      <c r="B465" s="63" t="inlineStr">
        <is>
          <t>Natura</t>
        </is>
      </c>
      <c r="C465" s="75" t="inlineStr">
        <is>
          <t>Luna</t>
        </is>
      </c>
      <c r="D465" s="68" t="inlineStr">
        <is>
          <t>Hidrante Desodorante Perfumado Iluminador</t>
        </is>
      </c>
      <c r="E465" s="136">
        <f>TRIM(CONCATENATE(D465, " ", C465, " ", F465, " ", IF(G465&gt;0, G465 &amp; "x" &amp; H465, H465), " ", I465))</f>
        <v/>
      </c>
      <c r="F465" s="121" t="inlineStr">
        <is>
          <t xml:space="preserve"> Girl Infantil</t>
        </is>
      </c>
      <c r="G465" s="131" t="n"/>
      <c r="H465" s="2" t="inlineStr">
        <is>
          <t xml:space="preserve">150ml </t>
        </is>
      </c>
      <c r="I465" s="31" t="inlineStr">
        <is>
          <t xml:space="preserve">Frasco </t>
        </is>
      </c>
      <c r="J465" s="11" t="inlineStr">
        <is>
          <t xml:space="preserve">Hidrata  / Perfumado  /  Desodorante 48 hrs  / Brilho da Pele  / Cremoso / Iluminador </t>
        </is>
      </c>
      <c r="K465" s="180" t="n"/>
      <c r="L465" s="180" t="inlineStr">
        <is>
          <t>R$ 42, 20</t>
        </is>
      </c>
    </row>
    <row r="466" ht="15" customHeight="1" s="145">
      <c r="B466" s="63" t="inlineStr">
        <is>
          <t>Natura</t>
        </is>
      </c>
      <c r="C466" s="75" t="inlineStr">
        <is>
          <t>Luna</t>
        </is>
      </c>
      <c r="D466" s="68" t="inlineStr">
        <is>
          <t>Hidrante Desodorante Perfumado Iluminador</t>
        </is>
      </c>
      <c r="E466" s="136">
        <f>TRIM(CONCATENATE(D466, " ", C466, " ", F466, " ", IF(G466&gt;0, G466 &amp; "x" &amp; H466, H466), " ", I466))</f>
        <v/>
      </c>
      <c r="F466" s="124" t="inlineStr">
        <is>
          <t xml:space="preserve"> Radiante</t>
        </is>
      </c>
      <c r="G466" s="131" t="n"/>
      <c r="H466" s="124" t="inlineStr">
        <is>
          <t>100g</t>
        </is>
      </c>
      <c r="I466" s="31" t="inlineStr">
        <is>
          <t xml:space="preserve">Frasco </t>
        </is>
      </c>
      <c r="J466" s="11" t="inlineStr">
        <is>
          <t xml:space="preserve">Hidrata  / Perfumado  /  Desodorante 48 hrs  / Brilho da Pele  / Cremoso / Iluminador </t>
        </is>
      </c>
      <c r="K466" s="193" t="n"/>
      <c r="L466" s="193" t="inlineStr">
        <is>
          <t>R$ 63.90</t>
        </is>
      </c>
    </row>
    <row r="467" ht="15" customHeight="1" s="145">
      <c r="B467" s="63" t="inlineStr">
        <is>
          <t>Natura</t>
        </is>
      </c>
      <c r="C467" s="75" t="inlineStr">
        <is>
          <t>Luna</t>
        </is>
      </c>
      <c r="D467" s="64" t="inlineStr">
        <is>
          <t>Hidratante Desodorante Perfumado</t>
        </is>
      </c>
      <c r="E467" s="136">
        <f>TRIM(CONCATENATE(D467, " ", C467, " ", F467, " ", IF(G467&gt;0, G467 &amp; "x" &amp; H467, H467), " ", I467))</f>
        <v/>
      </c>
      <c r="F467" s="2" t="inlineStr">
        <is>
          <t xml:space="preserve"> Feminino</t>
        </is>
      </c>
      <c r="G467" s="131" t="n"/>
      <c r="H467" s="2" t="inlineStr">
        <is>
          <t xml:space="preserve">40g </t>
        </is>
      </c>
      <c r="I467" s="31" t="inlineStr">
        <is>
          <t xml:space="preserve">Frasco </t>
        </is>
      </c>
      <c r="J467" s="11" t="inlineStr">
        <is>
          <t xml:space="preserve">Hidrata  / Perfumado  /  Desodorante 48 hrs  / Brilho da Pele  / Cremoso </t>
        </is>
      </c>
      <c r="K467" s="180" t="n"/>
      <c r="L467" s="180" t="n">
        <v>42.9</v>
      </c>
    </row>
    <row r="468" ht="15" customHeight="1" s="145">
      <c r="B468" s="63" t="inlineStr">
        <is>
          <t>Natura</t>
        </is>
      </c>
      <c r="C468" s="75" t="inlineStr">
        <is>
          <t>Luna</t>
        </is>
      </c>
      <c r="D468" s="64" t="inlineStr">
        <is>
          <t>Hidratante Desodorante Perfumado</t>
        </is>
      </c>
      <c r="E468" s="136">
        <f>TRIM(CONCATENATE(D468, " ", C468, " ", F468, " ", IF(G468&gt;0, G468 &amp; "x" &amp; H468, H468), " ", I468))</f>
        <v/>
      </c>
      <c r="F468" s="124" t="inlineStr">
        <is>
          <t xml:space="preserve"> Divina </t>
        </is>
      </c>
      <c r="G468" s="131" t="n"/>
      <c r="H468" s="2" t="inlineStr">
        <is>
          <t xml:space="preserve">80ml </t>
        </is>
      </c>
      <c r="I468" s="31" t="inlineStr">
        <is>
          <t xml:space="preserve">Frasco </t>
        </is>
      </c>
      <c r="J468" s="11" t="inlineStr">
        <is>
          <t xml:space="preserve">Hidrata  / Perfumado  /  Desodorante 48 hrs  / Brilho da Pele  / Cremoso </t>
        </is>
      </c>
      <c r="K468" s="193" t="n"/>
      <c r="L468" s="193" t="inlineStr">
        <is>
          <t>R$ 63.90</t>
        </is>
      </c>
    </row>
    <row r="469" ht="15" customHeight="1" s="145">
      <c r="B469" s="63" t="inlineStr">
        <is>
          <t>Natura</t>
        </is>
      </c>
      <c r="C469" s="75" t="inlineStr">
        <is>
          <t>Luna</t>
        </is>
      </c>
      <c r="D469" s="64" t="inlineStr">
        <is>
          <t>Hidratante Desodorante Perfumado</t>
        </is>
      </c>
      <c r="E469" s="136">
        <f>TRIM(CONCATENATE(D469, " ", C469, " ", F469, " ", IF(G469&gt;0, G469 &amp; "x" &amp; H469, H469), " ", I469))</f>
        <v/>
      </c>
      <c r="F469" s="124" t="inlineStr">
        <is>
          <t xml:space="preserve"> Força </t>
        </is>
      </c>
      <c r="G469" s="131" t="n"/>
      <c r="H469" s="2" t="inlineStr">
        <is>
          <t xml:space="preserve">80ml </t>
        </is>
      </c>
      <c r="I469" s="31" t="inlineStr">
        <is>
          <t xml:space="preserve">Frasco </t>
        </is>
      </c>
      <c r="J469" s="11" t="inlineStr">
        <is>
          <t xml:space="preserve">Hidrata  / Perfumado  /  Desodorante 48 hrs  / Brilho da Pele  / Cremoso </t>
        </is>
      </c>
      <c r="K469" s="11" t="n"/>
      <c r="L469" s="11" t="n"/>
    </row>
    <row r="470" ht="15" customHeight="1" s="145">
      <c r="B470" s="63" t="inlineStr">
        <is>
          <t>Natura</t>
        </is>
      </c>
      <c r="C470" s="75" t="inlineStr">
        <is>
          <t>Luna</t>
        </is>
      </c>
      <c r="D470" s="64" t="inlineStr">
        <is>
          <t>Hidratante Desodorante Perfumado</t>
        </is>
      </c>
      <c r="E470" s="136">
        <f>TRIM(CONCATENATE(D470, " ", C470, " ", F470, " ", IF(G470&gt;0, G470 &amp; "x" &amp; H470, H470), " ", I470))</f>
        <v/>
      </c>
      <c r="F470" s="2" t="inlineStr">
        <is>
          <t xml:space="preserve"> Fascinante</t>
        </is>
      </c>
      <c r="G470" s="131" t="n"/>
      <c r="H470" s="2" t="inlineStr">
        <is>
          <t xml:space="preserve">80ml </t>
        </is>
      </c>
      <c r="I470" s="31" t="inlineStr">
        <is>
          <t xml:space="preserve">Frasco </t>
        </is>
      </c>
      <c r="J470" s="11" t="inlineStr">
        <is>
          <t xml:space="preserve">Hidrata  / Perfumado  /  Desodorante 48 hrs  / Brilho da Pele  / Cremoso </t>
        </is>
      </c>
      <c r="K470" s="11" t="n"/>
      <c r="L470" s="11" t="n"/>
    </row>
    <row r="471" ht="15" customHeight="1" s="145">
      <c r="B471" s="63" t="inlineStr">
        <is>
          <t>Natura</t>
        </is>
      </c>
      <c r="C471" s="75" t="inlineStr">
        <is>
          <t>Luna</t>
        </is>
      </c>
      <c r="D471" s="64" t="inlineStr">
        <is>
          <t>Hidratante Desodorante Perfumado</t>
        </is>
      </c>
      <c r="E471" s="136">
        <f>TRIM(CONCATENATE(D471, " ", C471, " ", F471, " ", IF(G471&gt;0, G471 &amp; "x" &amp; H471, H471), " ", I471))</f>
        <v/>
      </c>
      <c r="F471" s="2" t="inlineStr">
        <is>
          <t xml:space="preserve"> Feminino</t>
        </is>
      </c>
      <c r="G471" s="131" t="n"/>
      <c r="H471" s="2" t="inlineStr">
        <is>
          <t xml:space="preserve">80ml </t>
        </is>
      </c>
      <c r="I471" s="31" t="inlineStr">
        <is>
          <t xml:space="preserve">Frasco </t>
        </is>
      </c>
      <c r="J471" s="11" t="inlineStr">
        <is>
          <t xml:space="preserve">Hidrata  / Perfumado  /  Desodorante 48 hrs  / Brilho da Pele  / Cremoso </t>
        </is>
      </c>
      <c r="K471" s="180" t="n"/>
      <c r="L471" s="180" t="n">
        <v>42.9</v>
      </c>
    </row>
    <row r="472" ht="15" customHeight="1" s="145">
      <c r="B472" s="63" t="inlineStr">
        <is>
          <t>Natura</t>
        </is>
      </c>
      <c r="C472" s="75" t="inlineStr">
        <is>
          <t>Luna</t>
        </is>
      </c>
      <c r="D472" s="64" t="inlineStr">
        <is>
          <t>Hidratante Desodorante Perfumado</t>
        </is>
      </c>
      <c r="E472" s="136">
        <f>TRIM(CONCATENATE(D472, " ", C472, " ", F472, " ", IF(G472&gt;0, G472 &amp; "x" &amp; H472, H472), " ", I472))</f>
        <v/>
      </c>
      <c r="F472" s="2" t="inlineStr">
        <is>
          <t xml:space="preserve"> Rosé</t>
        </is>
      </c>
      <c r="G472" s="131" t="n"/>
      <c r="H472" s="2" t="inlineStr">
        <is>
          <t xml:space="preserve">80ml </t>
        </is>
      </c>
      <c r="I472" s="31" t="inlineStr">
        <is>
          <t xml:space="preserve">Frasco </t>
        </is>
      </c>
      <c r="J472" s="11" t="inlineStr">
        <is>
          <t xml:space="preserve">Hidrata  / Perfumado  /  Desodorante 48 hrs  / Brilho da Pele  / Cremoso </t>
        </is>
      </c>
      <c r="K472" s="11" t="n"/>
      <c r="L472" s="11" t="n"/>
    </row>
    <row r="473" ht="15" customHeight="1" s="145">
      <c r="B473" s="63" t="inlineStr">
        <is>
          <t>Natura</t>
        </is>
      </c>
      <c r="C473" s="76" t="inlineStr">
        <is>
          <t>Kaiak</t>
        </is>
      </c>
      <c r="D473" s="98" t="inlineStr">
        <is>
          <t>Colonia</t>
        </is>
      </c>
      <c r="E473" s="136">
        <f>TRIM(CONCATENATE(D473, " ", C473, " ", F473, " ", IF(G473&gt;0, G473 &amp; "x" &amp; H473, H473), " ", I473))</f>
        <v/>
      </c>
      <c r="F473" s="2" t="inlineStr">
        <is>
          <t xml:space="preserve"> Masculino</t>
        </is>
      </c>
      <c r="G473" s="131" t="n"/>
      <c r="H473" s="2" t="inlineStr">
        <is>
          <t xml:space="preserve">25ml </t>
        </is>
      </c>
      <c r="I473" s="31" t="inlineStr">
        <is>
          <t>Miniatura</t>
        </is>
      </c>
      <c r="J473" s="11" t="inlineStr">
        <is>
          <t>Clássico da Perfumaria Brasileira /  atemporal de notas aromáticas / cítricas / aquosas inspiradas na força das águas</t>
        </is>
      </c>
      <c r="K473" s="193" t="n"/>
      <c r="L473" s="193" t="inlineStr">
        <is>
          <t>R$ 185, 90</t>
        </is>
      </c>
    </row>
    <row r="474" ht="15" customHeight="1" s="145">
      <c r="B474" s="63" t="inlineStr">
        <is>
          <t>Natura</t>
        </is>
      </c>
      <c r="C474" s="76" t="inlineStr">
        <is>
          <t>Kaiak</t>
        </is>
      </c>
      <c r="D474" s="98" t="inlineStr">
        <is>
          <t>Colonia</t>
        </is>
      </c>
      <c r="E474" s="136">
        <f>TRIM(CONCATENATE(D474, " ", C474, " ", F474, " ", IF(G474&gt;0, G474 &amp; "x" &amp; H474, H474), " ", I474))</f>
        <v/>
      </c>
      <c r="F474" s="94" t="inlineStr">
        <is>
          <t xml:space="preserve"> Aero Masculino</t>
        </is>
      </c>
      <c r="G474" s="131" t="n"/>
      <c r="H474" s="2" t="inlineStr">
        <is>
          <t>100ml</t>
        </is>
      </c>
      <c r="I474" s="31" t="inlineStr">
        <is>
          <t xml:space="preserve">Frasco </t>
        </is>
      </c>
      <c r="J474" s="11" t="inlineStr">
        <is>
          <t xml:space="preserve">Encapsula a sensação revigorante do encontro do vento com a água do mar / Refrescante </t>
        </is>
      </c>
      <c r="K474" s="193" t="n"/>
      <c r="L474" s="193" t="inlineStr">
        <is>
          <t>R$ 185, 90</t>
        </is>
      </c>
    </row>
    <row r="475" ht="15" customHeight="1" s="145">
      <c r="B475" s="63" t="inlineStr">
        <is>
          <t>Natura</t>
        </is>
      </c>
      <c r="C475" s="76" t="inlineStr">
        <is>
          <t>Kaiak</t>
        </is>
      </c>
      <c r="D475" s="98" t="inlineStr">
        <is>
          <t>Colonia</t>
        </is>
      </c>
      <c r="E475" s="136">
        <f>TRIM(CONCATENATE(D475, " ", C475, " ", F475, " ", IF(G475&gt;0, G475 &amp; "x" &amp; H475, H475), " ", I475))</f>
        <v/>
      </c>
      <c r="F475" s="94" t="inlineStr">
        <is>
          <t xml:space="preserve"> Aventura Masculino</t>
        </is>
      </c>
      <c r="G475" s="131" t="n"/>
      <c r="H475" s="2" t="inlineStr">
        <is>
          <t>100ml</t>
        </is>
      </c>
      <c r="I475" s="31" t="inlineStr">
        <is>
          <t xml:space="preserve">Frasco </t>
        </is>
      </c>
      <c r="J475" s="11" t="inlineStr">
        <is>
          <t>Combinação surpreendente água / sol / mata / Notas Cítricas / Vibrantes da Bergamota / Combinadas ao musk / Madeira</t>
        </is>
      </c>
      <c r="K475" s="193" t="n"/>
      <c r="L475" s="193" t="inlineStr">
        <is>
          <t>R$ 185, 90</t>
        </is>
      </c>
    </row>
    <row r="476" ht="15" customHeight="1" s="145">
      <c r="B476" s="63" t="inlineStr">
        <is>
          <t>Natura</t>
        </is>
      </c>
      <c r="C476" s="76" t="inlineStr">
        <is>
          <t>Kaiak</t>
        </is>
      </c>
      <c r="D476" s="98" t="inlineStr">
        <is>
          <t>Colonia</t>
        </is>
      </c>
      <c r="E476" s="136">
        <f>TRIM(CONCATENATE(D476, " ", C476, " ", F476, " ", IF(G476&gt;0, G476 &amp; "x" &amp; H476, H476), " ", I476))</f>
        <v/>
      </c>
      <c r="F476" s="94" t="inlineStr">
        <is>
          <t xml:space="preserve"> Aventura Intensa Masculino</t>
        </is>
      </c>
      <c r="G476" s="131" t="n"/>
      <c r="H476" s="2" t="inlineStr">
        <is>
          <t>100ml</t>
        </is>
      </c>
      <c r="I476" s="31" t="inlineStr">
        <is>
          <t xml:space="preserve">Frasco </t>
        </is>
      </c>
      <c r="J476" s="11" t="inlineStr">
        <is>
          <t xml:space="preserve">Fresca com Frutas Aquosas / Notas Aromáticas / Madeiras Úmidas / Pimentas / Marcante / Material 100% Reciclado </t>
        </is>
      </c>
      <c r="K476" s="193" t="n"/>
      <c r="L476" s="193" t="inlineStr">
        <is>
          <t>R$ 185, 90</t>
        </is>
      </c>
    </row>
    <row r="477" ht="15" customHeight="1" s="145">
      <c r="B477" s="63" t="inlineStr">
        <is>
          <t>Natura</t>
        </is>
      </c>
      <c r="C477" s="76" t="inlineStr">
        <is>
          <t>Kaiak</t>
        </is>
      </c>
      <c r="D477" s="98" t="inlineStr">
        <is>
          <t>Colonia</t>
        </is>
      </c>
      <c r="E477" s="136">
        <f>TRIM(CONCATENATE(D477, " ", C477, " ", F477, " ", IF(G477&gt;0, G477 &amp; "x" &amp; H477, H477), " ", I477))</f>
        <v/>
      </c>
      <c r="F477" s="94" t="inlineStr">
        <is>
          <t xml:space="preserve"> Masculino</t>
        </is>
      </c>
      <c r="G477" s="131" t="n"/>
      <c r="H477" s="2" t="inlineStr">
        <is>
          <t>100ml</t>
        </is>
      </c>
      <c r="I477" s="31" t="inlineStr">
        <is>
          <t xml:space="preserve">Frasco </t>
        </is>
      </c>
      <c r="J477" s="11" t="inlineStr">
        <is>
          <t>Clássico da Perfumaria Brasileira /  atemporal de notas aromáticas / cítricas / aquosas inspiradas na força das águas</t>
        </is>
      </c>
      <c r="K477" s="193" t="n"/>
      <c r="L477" s="193" t="inlineStr">
        <is>
          <t>R$ 185, 90</t>
        </is>
      </c>
    </row>
    <row r="478" ht="15" customHeight="1" s="145">
      <c r="B478" s="63" t="inlineStr">
        <is>
          <t>Natura</t>
        </is>
      </c>
      <c r="C478" s="76" t="inlineStr">
        <is>
          <t>Kaiak</t>
        </is>
      </c>
      <c r="D478" s="98" t="inlineStr">
        <is>
          <t>Colonia</t>
        </is>
      </c>
      <c r="E478" s="136">
        <f>TRIM(CONCATENATE(D478, " ", C478, " ", F478, " ", IF(G478&gt;0, G478 &amp; "x" &amp; H478, H478), " ", I478))</f>
        <v/>
      </c>
      <c r="F478" s="94" t="inlineStr">
        <is>
          <t xml:space="preserve"> Oceano Masculino</t>
        </is>
      </c>
      <c r="G478" s="131" t="n"/>
      <c r="H478" s="2" t="inlineStr">
        <is>
          <t>100ml</t>
        </is>
      </c>
      <c r="I478" s="31" t="inlineStr">
        <is>
          <t xml:space="preserve">Frasco </t>
        </is>
      </c>
      <c r="J478" s="11" t="inlineStr">
        <is>
          <t>Emoção única Desbravar a Imensidão azul Oceano / Notas Frescas Algas Marinhas / Salgadas da Pataqueira Âmbar Marinho / Madeiras Escuras</t>
        </is>
      </c>
      <c r="K478" s="193" t="n"/>
      <c r="L478" s="193" t="inlineStr">
        <is>
          <t>R$ 185, 90</t>
        </is>
      </c>
    </row>
    <row r="479" ht="15" customHeight="1" s="145">
      <c r="B479" s="63" t="inlineStr">
        <is>
          <t>Natura</t>
        </is>
      </c>
      <c r="C479" s="76" t="inlineStr">
        <is>
          <t>Kaiak</t>
        </is>
      </c>
      <c r="D479" s="98" t="inlineStr">
        <is>
          <t>Colonia</t>
        </is>
      </c>
      <c r="E479" s="136">
        <f>TRIM(CONCATENATE(D479, " ", C479, " ", F479, " ", IF(G479&gt;0, G479 &amp; "x" &amp; H479, H479), " ", I479))</f>
        <v/>
      </c>
      <c r="F479" s="94" t="inlineStr">
        <is>
          <t xml:space="preserve"> O2 Masculino</t>
        </is>
      </c>
      <c r="G479" s="131" t="n"/>
      <c r="H479" s="2" t="inlineStr">
        <is>
          <t>100ml</t>
        </is>
      </c>
      <c r="I479" s="31" t="inlineStr">
        <is>
          <t xml:space="preserve">Frasco </t>
        </is>
      </c>
      <c r="J479" s="11" t="inlineStr">
        <is>
          <t>Traz o Respiro do Mar / Pureza do Frescor Oxigena / Tomar Fôlego / Mergulhar Fundo na energia das águas.</t>
        </is>
      </c>
      <c r="K479" s="193" t="n"/>
      <c r="L479" s="193" t="inlineStr">
        <is>
          <t>R$ 185, 90</t>
        </is>
      </c>
    </row>
    <row r="480" ht="15" customHeight="1" s="145">
      <c r="B480" s="63" t="inlineStr">
        <is>
          <t>Natura</t>
        </is>
      </c>
      <c r="C480" s="76" t="inlineStr">
        <is>
          <t>Kaiak</t>
        </is>
      </c>
      <c r="D480" s="98" t="inlineStr">
        <is>
          <t>Colonia</t>
        </is>
      </c>
      <c r="E480" s="136">
        <f>TRIM(CONCATENATE(D480, " ", C480, " ", F480, " ", IF(G480&gt;0, G480 &amp; "x" &amp; H480, H480), " ", I480))</f>
        <v/>
      </c>
      <c r="F480" s="94" t="inlineStr">
        <is>
          <t xml:space="preserve"> Pulso Masculino</t>
        </is>
      </c>
      <c r="G480" s="131" t="n"/>
      <c r="H480" s="2" t="inlineStr">
        <is>
          <t>100ml</t>
        </is>
      </c>
      <c r="I480" s="31" t="inlineStr">
        <is>
          <t xml:space="preserve">Frasco </t>
        </is>
      </c>
      <c r="J480" s="11" t="inlineStr">
        <is>
          <t>Resultado de Uma Combinação Notas Aquosas / Especiarias Fresca / Madeiras como Sândalo / Cedro</t>
        </is>
      </c>
      <c r="K480" s="193" t="n"/>
      <c r="L480" s="193" t="inlineStr">
        <is>
          <t>R$ 185, 90</t>
        </is>
      </c>
    </row>
    <row r="481" ht="15" customHeight="1" s="145">
      <c r="B481" s="63" t="inlineStr">
        <is>
          <t>Natura</t>
        </is>
      </c>
      <c r="C481" s="76" t="inlineStr">
        <is>
          <t>Kaiak</t>
        </is>
      </c>
      <c r="D481" s="98" t="inlineStr">
        <is>
          <t>Colonia</t>
        </is>
      </c>
      <c r="E481" s="136">
        <f>TRIM(CONCATENATE(D481, " ", C481, " ", F481, " ", IF(G481&gt;0, G481 &amp; "x" &amp; H481, H481), " ", I481))</f>
        <v/>
      </c>
      <c r="F481" s="94" t="inlineStr">
        <is>
          <t xml:space="preserve"> Sonar Masculino</t>
        </is>
      </c>
      <c r="G481" s="131" t="n"/>
      <c r="H481" s="2" t="inlineStr">
        <is>
          <t>100ml</t>
        </is>
      </c>
      <c r="I481" s="31" t="inlineStr">
        <is>
          <t xml:space="preserve">Frasco </t>
        </is>
      </c>
      <c r="J481" s="11" t="inlineStr">
        <is>
          <t>Tecnologia VibraScent traduz sons e cores em cheiros /Mais de 50% da embalagem feita com plástico reciclado</t>
        </is>
      </c>
      <c r="K481" s="193" t="n"/>
      <c r="L481" s="193" t="inlineStr">
        <is>
          <t>R$ 185, 90</t>
        </is>
      </c>
    </row>
    <row r="482" ht="15" customHeight="1" s="145">
      <c r="B482" s="63" t="inlineStr">
        <is>
          <t>Natura</t>
        </is>
      </c>
      <c r="C482" s="76" t="inlineStr">
        <is>
          <t>Kaiak</t>
        </is>
      </c>
      <c r="D482" s="98" t="inlineStr">
        <is>
          <t>Colonia</t>
        </is>
      </c>
      <c r="E482" s="136">
        <f>TRIM(CONCATENATE(D482, " ", C482, " ", F482, " ", IF(G482&gt;0, G482 &amp; "x" &amp; H482, H482), " ", I482))</f>
        <v/>
      </c>
      <c r="F482" s="94" t="inlineStr">
        <is>
          <t xml:space="preserve"> Uber Masculino</t>
        </is>
      </c>
      <c r="G482" s="131" t="n"/>
      <c r="H482" s="2" t="inlineStr">
        <is>
          <t>100ml</t>
        </is>
      </c>
      <c r="I482" s="31" t="inlineStr">
        <is>
          <t xml:space="preserve">Frasco </t>
        </is>
      </c>
      <c r="J482" s="11" t="inlineStr">
        <is>
          <t>Menta / Diidromircenol / Notas Verdes / Notas de corpo: gerânio / Manjericão / Lavanda / Notas de fundo: âmbar/ sândalo /copaíba.</t>
        </is>
      </c>
      <c r="K482" s="193" t="n"/>
      <c r="L482" s="193" t="inlineStr">
        <is>
          <t>R$ 185, 90</t>
        </is>
      </c>
    </row>
    <row r="483" ht="15" customHeight="1" s="145">
      <c r="B483" s="63" t="inlineStr">
        <is>
          <t>Natura</t>
        </is>
      </c>
      <c r="C483" s="76" t="inlineStr">
        <is>
          <t>Kaiak</t>
        </is>
      </c>
      <c r="D483" s="98" t="inlineStr">
        <is>
          <t>Colonia</t>
        </is>
      </c>
      <c r="E483" s="136">
        <f>TRIM(CONCATENATE(D483, " ", C483, " ", F483, " ", IF(G483&gt;0, G483 &amp; "x" &amp; H483, H483), " ", I483))</f>
        <v/>
      </c>
      <c r="F483" s="94" t="inlineStr">
        <is>
          <t xml:space="preserve"> Ultra Masculino</t>
        </is>
      </c>
      <c r="G483" s="131" t="n"/>
      <c r="H483" s="2" t="inlineStr">
        <is>
          <t>100ml</t>
        </is>
      </c>
      <c r="I483" s="31" t="inlineStr">
        <is>
          <t xml:space="preserve">Frasco </t>
        </is>
      </c>
      <c r="J483" s="11" t="inlineStr">
        <is>
          <t>Frescor / Bem estar / Combinação de Anis / Notas Aquosas / Estoraque / Madeiras / Cedro / Patchouli / Para todos momentos.</t>
        </is>
      </c>
      <c r="K483" s="193" t="n"/>
      <c r="L483" s="193" t="inlineStr">
        <is>
          <t>R$ 185, 90</t>
        </is>
      </c>
    </row>
    <row r="484" ht="15" customHeight="1" s="145">
      <c r="B484" s="63" t="inlineStr">
        <is>
          <t>Natura</t>
        </is>
      </c>
      <c r="C484" s="76" t="inlineStr">
        <is>
          <t>Kaiak</t>
        </is>
      </c>
      <c r="D484" s="98" t="inlineStr">
        <is>
          <t>Colonia</t>
        </is>
      </c>
      <c r="E484" s="136">
        <f>TRIM(CONCATENATE(D484, " ", C484, " ", F484, " ", IF(G484&gt;0, G484 &amp; "x" &amp; H484, H484), " ", I484))</f>
        <v/>
      </c>
      <c r="F484" s="94" t="inlineStr">
        <is>
          <t xml:space="preserve"> Vital Masculino</t>
        </is>
      </c>
      <c r="G484" s="131" t="n"/>
      <c r="H484" s="2" t="inlineStr">
        <is>
          <t>100ml</t>
        </is>
      </c>
      <c r="I484" s="31" t="inlineStr">
        <is>
          <t xml:space="preserve">Frasco </t>
        </is>
      </c>
      <c r="J484" s="11" t="inlineStr">
        <is>
          <t>Potência / recarga de Energia / Do encontro com Mar /  Frescor Renovador / Fragrância única que ativa os sentidos / Nos faz Sentir Vivos.</t>
        </is>
      </c>
      <c r="K484" s="193" t="n"/>
      <c r="L484" s="193" t="inlineStr">
        <is>
          <t>R$ 185, 90</t>
        </is>
      </c>
    </row>
    <row r="485" ht="15" customFormat="1" customHeight="1" s="10">
      <c r="B485" s="63" t="inlineStr">
        <is>
          <t>Natura</t>
        </is>
      </c>
      <c r="C485" s="76" t="inlineStr">
        <is>
          <t>Kaiak</t>
        </is>
      </c>
      <c r="D485" s="66" t="inlineStr">
        <is>
          <t>Colonia</t>
        </is>
      </c>
      <c r="E485" s="136">
        <f>TRIM(CONCATENATE(D485, " ", C485, " ", F485, " ", IF(G485&gt;0, G485 &amp; "x" &amp; H485, H485), " ", I485))</f>
        <v/>
      </c>
      <c r="F485" s="94" t="inlineStr">
        <is>
          <t xml:space="preserve"> Aero Feminino</t>
        </is>
      </c>
      <c r="G485" s="131" t="n"/>
      <c r="H485" s="2" t="inlineStr">
        <is>
          <t>100ml</t>
        </is>
      </c>
      <c r="I485" s="36" t="inlineStr">
        <is>
          <t xml:space="preserve">Frasco </t>
        </is>
      </c>
      <c r="J485" s="20" t="inlineStr">
        <is>
          <t>Explosão Cítrica de Bergamota e Laranja / Notas Aquosas / Femininas de jasmim  / Explosão de Frescor / Feminilidade</t>
        </is>
      </c>
      <c r="K485" s="193" t="n"/>
      <c r="L485" s="193" t="inlineStr">
        <is>
          <t>R$ 185, 90</t>
        </is>
      </c>
    </row>
    <row r="486" ht="15" customHeight="1" s="145">
      <c r="B486" s="63" t="inlineStr">
        <is>
          <t>Natura</t>
        </is>
      </c>
      <c r="C486" s="76" t="inlineStr">
        <is>
          <t>Kaiak</t>
        </is>
      </c>
      <c r="D486" s="66" t="inlineStr">
        <is>
          <t>Colonia</t>
        </is>
      </c>
      <c r="E486" s="136">
        <f>TRIM(CONCATENATE(D486, " ", C486, " ", F486, " ", IF(G486&gt;0, G486 &amp; "x" &amp; H486, H486), " ", I486))</f>
        <v/>
      </c>
      <c r="F486" s="94" t="inlineStr">
        <is>
          <t xml:space="preserve"> Aventura Feminino</t>
        </is>
      </c>
      <c r="G486" s="131" t="n"/>
      <c r="H486" s="2" t="inlineStr">
        <is>
          <t>100ml</t>
        </is>
      </c>
      <c r="I486" s="36" t="inlineStr">
        <is>
          <t xml:space="preserve">Frasco </t>
        </is>
      </c>
      <c r="J486" s="11" t="inlineStr">
        <is>
          <t xml:space="preserve">Combinação entre Água / Sol / Mata / Notas Aquosas / Verdes / Frescor / Floral do Muguet / Jasmim </t>
        </is>
      </c>
      <c r="K486" s="193" t="n"/>
      <c r="L486" s="193" t="inlineStr">
        <is>
          <t>R$ 185, 90</t>
        </is>
      </c>
    </row>
    <row r="487" ht="15" customHeight="1" s="145">
      <c r="B487" s="63" t="inlineStr">
        <is>
          <t>Natura</t>
        </is>
      </c>
      <c r="C487" s="76" t="inlineStr">
        <is>
          <t>Kaiak</t>
        </is>
      </c>
      <c r="D487" s="66" t="inlineStr">
        <is>
          <t>Colonia</t>
        </is>
      </c>
      <c r="E487" s="136">
        <f>TRIM(CONCATENATE(D487, " ", C487, " ", F487, " ", IF(G487&gt;0, G487 &amp; "x" &amp; H487, H487), " ", I487))</f>
        <v/>
      </c>
      <c r="F487" s="94" t="inlineStr">
        <is>
          <t xml:space="preserve"> Aventura Intensa Feminino</t>
        </is>
      </c>
      <c r="G487" s="131" t="n"/>
      <c r="H487" s="2" t="inlineStr">
        <is>
          <t>100ml</t>
        </is>
      </c>
      <c r="I487" s="36" t="inlineStr">
        <is>
          <t xml:space="preserve">Frasco </t>
        </is>
      </c>
      <c r="J487" s="11" t="inlineStr">
        <is>
          <t>Fragrância Fresca com Flor de Jasmim / Folhas de Violeta / Melancia / Notas Aromáticas / Marcante / Material 100% Reciclado</t>
        </is>
      </c>
      <c r="K487" s="193" t="n"/>
      <c r="L487" s="193" t="inlineStr">
        <is>
          <t>R$ 185, 90</t>
        </is>
      </c>
    </row>
    <row r="488" ht="15" customHeight="1" s="145">
      <c r="B488" s="63" t="inlineStr">
        <is>
          <t>Natura</t>
        </is>
      </c>
      <c r="C488" s="76" t="inlineStr">
        <is>
          <t>Kaiak</t>
        </is>
      </c>
      <c r="D488" s="66" t="inlineStr">
        <is>
          <t>Colonia</t>
        </is>
      </c>
      <c r="E488" s="136">
        <f>TRIM(CONCATENATE(D488, " ", C488, " ", F488, " ", IF(G488&gt;0, G488 &amp; "x" &amp; H488, H488), " ", I488))</f>
        <v/>
      </c>
      <c r="F488" s="94" t="inlineStr">
        <is>
          <t xml:space="preserve"> Extremo Feminino</t>
        </is>
      </c>
      <c r="G488" s="131" t="n"/>
      <c r="H488" s="2" t="inlineStr">
        <is>
          <t>100ml</t>
        </is>
      </c>
      <c r="I488" s="36" t="inlineStr">
        <is>
          <t xml:space="preserve">Frasco </t>
        </is>
      </c>
      <c r="J488" s="11" t="n"/>
      <c r="K488" s="193" t="n"/>
      <c r="L488" s="193" t="inlineStr">
        <is>
          <t>R$ 185, 90</t>
        </is>
      </c>
    </row>
    <row r="489" ht="15" customHeight="1" s="145">
      <c r="B489" s="63" t="inlineStr">
        <is>
          <t>Natura</t>
        </is>
      </c>
      <c r="C489" s="76" t="inlineStr">
        <is>
          <t>Kaiak</t>
        </is>
      </c>
      <c r="D489" s="66" t="inlineStr">
        <is>
          <t>Colonia</t>
        </is>
      </c>
      <c r="E489" s="136">
        <f>TRIM(CONCATENATE(D489, " ", C489, " ", F489, " ", IF(G489&gt;0, G489 &amp; "x" &amp; H489, H489), " ", I489))</f>
        <v/>
      </c>
      <c r="F489" s="2" t="inlineStr">
        <is>
          <t xml:space="preserve"> Energia </t>
        </is>
      </c>
      <c r="G489" s="131" t="n"/>
      <c r="H489" s="2" t="inlineStr">
        <is>
          <t>100ml</t>
        </is>
      </c>
      <c r="I489" s="36" t="inlineStr">
        <is>
          <t xml:space="preserve">Frasco </t>
        </is>
      </c>
      <c r="J489" s="11" t="n"/>
      <c r="K489" s="193" t="n"/>
      <c r="L489" s="193" t="inlineStr">
        <is>
          <t>R$ 185, 90</t>
        </is>
      </c>
    </row>
    <row r="490" ht="15" customHeight="1" s="145">
      <c r="B490" s="63" t="inlineStr">
        <is>
          <t>Natura</t>
        </is>
      </c>
      <c r="C490" s="76" t="inlineStr">
        <is>
          <t>Kaiak</t>
        </is>
      </c>
      <c r="D490" s="66" t="inlineStr">
        <is>
          <t>Colonia</t>
        </is>
      </c>
      <c r="E490" s="136">
        <f>TRIM(CONCATENATE(D490, " ", C490, " ", F490, " ", IF(G490&gt;0, G490 &amp; "x" &amp; H490, H490), " ", I490))</f>
        <v/>
      </c>
      <c r="F490" s="99" t="inlineStr">
        <is>
          <t xml:space="preserve"> Feminino</t>
        </is>
      </c>
      <c r="G490" s="131" t="n"/>
      <c r="H490" s="2" t="inlineStr">
        <is>
          <t>100ml</t>
        </is>
      </c>
      <c r="I490" s="36" t="inlineStr">
        <is>
          <t xml:space="preserve">Frasco </t>
        </is>
      </c>
      <c r="J490" s="11" t="inlineStr">
        <is>
          <t>Deslumbrante Explosão Cítrica de Bergamota / Laranja / notas aquosas / fem- jasmim /  Inspirada na Força das Águas / Revigora as Energias</t>
        </is>
      </c>
      <c r="K490" s="193" t="n"/>
      <c r="L490" s="193" t="inlineStr">
        <is>
          <t>R$ 185, 90</t>
        </is>
      </c>
    </row>
    <row r="491" ht="15" customHeight="1" s="145">
      <c r="B491" s="63" t="inlineStr">
        <is>
          <t>Natura</t>
        </is>
      </c>
      <c r="C491" s="76" t="inlineStr">
        <is>
          <t>Kaiak</t>
        </is>
      </c>
      <c r="D491" s="66" t="inlineStr">
        <is>
          <t>Colonia</t>
        </is>
      </c>
      <c r="E491" s="136">
        <f>TRIM(CONCATENATE(D491, " ", C491, " ", F491, " ", IF(G491&gt;0, G491 &amp; "x" &amp; H491, H491), " ", I491))</f>
        <v/>
      </c>
      <c r="F491" s="94" t="inlineStr">
        <is>
          <t xml:space="preserve"> O2 Feminino</t>
        </is>
      </c>
      <c r="G491" s="131" t="n"/>
      <c r="H491" s="2" t="inlineStr">
        <is>
          <t>100ml</t>
        </is>
      </c>
      <c r="I491" s="36" t="inlineStr">
        <is>
          <t xml:space="preserve">Frasco </t>
        </is>
      </c>
      <c r="J491" s="11" t="inlineStr">
        <is>
          <t>Cítricas Borbulhantes / Buquê Floral Cristalino / Potentes Notas Aquáticas / Refrescância do poejo / Ingrediente da Biodiversidade Brasileira</t>
        </is>
      </c>
      <c r="K491" s="193" t="n"/>
      <c r="L491" s="193" t="inlineStr">
        <is>
          <t>R$ 185, 90</t>
        </is>
      </c>
    </row>
    <row r="492" ht="15" customHeight="1" s="145">
      <c r="B492" s="63" t="inlineStr">
        <is>
          <t>Natura</t>
        </is>
      </c>
      <c r="C492" s="76" t="inlineStr">
        <is>
          <t>Kaiak</t>
        </is>
      </c>
      <c r="D492" s="66" t="inlineStr">
        <is>
          <t>Colonia</t>
        </is>
      </c>
      <c r="E492" s="136">
        <f>TRIM(CONCATENATE(D492, " ", C492, " ", F492, " ", IF(G492&gt;0, G492 &amp; "x" &amp; H492, H492), " ", I492))</f>
        <v/>
      </c>
      <c r="F492" s="94" t="inlineStr">
        <is>
          <t xml:space="preserve"> Oceano Feminino</t>
        </is>
      </c>
      <c r="G492" s="131" t="n"/>
      <c r="H492" s="2" t="inlineStr">
        <is>
          <t>100ml</t>
        </is>
      </c>
      <c r="I492" s="36" t="inlineStr">
        <is>
          <t xml:space="preserve">Frasco </t>
        </is>
      </c>
      <c r="J492" s="11" t="inlineStr">
        <is>
          <t>Jardins de Corais do Fundo do Mar / Notas Frescas de Algas / Nuances Frutadas / Olfativa Refrescante / Envolvente / Fluem como as águas</t>
        </is>
      </c>
      <c r="K492" s="193" t="n"/>
      <c r="L492" s="193" t="inlineStr">
        <is>
          <t>R$ 185, 90</t>
        </is>
      </c>
    </row>
    <row r="493" ht="15" customHeight="1" s="145">
      <c r="B493" s="63" t="inlineStr">
        <is>
          <t>Natura</t>
        </is>
      </c>
      <c r="C493" s="76" t="inlineStr">
        <is>
          <t>Kaiak</t>
        </is>
      </c>
      <c r="D493" s="66" t="inlineStr">
        <is>
          <t>Colonia</t>
        </is>
      </c>
      <c r="E493" s="136">
        <f>TRIM(CONCATENATE(D493, " ", C493, " ", F493, " ", IF(G493&gt;0, G493 &amp; "x" &amp; H493, H493), " ", I493))</f>
        <v/>
      </c>
      <c r="F493" s="94" t="inlineStr">
        <is>
          <t xml:space="preserve"> Sonar Feminino</t>
        </is>
      </c>
      <c r="G493" s="131" t="n"/>
      <c r="H493" s="2" t="inlineStr">
        <is>
          <t>100ml</t>
        </is>
      </c>
      <c r="I493" s="36" t="inlineStr">
        <is>
          <t xml:space="preserve">Frasco </t>
        </is>
      </c>
      <c r="J493" s="11" t="inlineStr">
        <is>
          <t>Frescor / Tem um Caminho Olfativo Floral Frutal Moderado / Sensação de Oceano Profundo / Nota Aquosa Intensa / Mas Delicada</t>
        </is>
      </c>
      <c r="K493" s="193" t="n"/>
      <c r="L493" s="193" t="inlineStr">
        <is>
          <t>R$ 185, 90</t>
        </is>
      </c>
    </row>
    <row r="494" ht="15" customHeight="1" s="145">
      <c r="B494" s="63" t="inlineStr">
        <is>
          <t>Natura</t>
        </is>
      </c>
      <c r="C494" s="76" t="inlineStr">
        <is>
          <t>Kaiak</t>
        </is>
      </c>
      <c r="D494" s="66" t="inlineStr">
        <is>
          <t>Colonia</t>
        </is>
      </c>
      <c r="E494" s="136">
        <f>TRIM(CONCATENATE(D494, " ", C494, " ", F494, " ", IF(G494&gt;0, G494 &amp; "x" &amp; H494, H494), " ", I494))</f>
        <v/>
      </c>
      <c r="F494" s="94" t="inlineStr">
        <is>
          <t xml:space="preserve"> Ultra Feminino</t>
        </is>
      </c>
      <c r="G494" s="131" t="n"/>
      <c r="H494" s="2" t="inlineStr">
        <is>
          <t>100ml</t>
        </is>
      </c>
      <c r="I494" s="36" t="inlineStr">
        <is>
          <t xml:space="preserve">Frasco </t>
        </is>
      </c>
      <c r="J494" s="11" t="inlineStr">
        <is>
          <t>Frescor e Bem Estar / Combinação de Anis / Notas Aquosas / Estoraque / Jasmim / lavanda / Embalagem Feita de Material Reciclado</t>
        </is>
      </c>
      <c r="K494" s="193" t="n"/>
      <c r="L494" s="193" t="inlineStr">
        <is>
          <t>R$ 185, 90</t>
        </is>
      </c>
    </row>
    <row r="495" ht="15" customHeight="1" s="145">
      <c r="B495" s="63" t="inlineStr">
        <is>
          <t>Natura</t>
        </is>
      </c>
      <c r="C495" s="76" t="inlineStr">
        <is>
          <t>Kaiak</t>
        </is>
      </c>
      <c r="D495" s="66" t="inlineStr">
        <is>
          <t>Colonia</t>
        </is>
      </c>
      <c r="E495" s="136">
        <f>TRIM(CONCATENATE(D495, " ", C495, " ", F495, " ", IF(G495&gt;0, G495 &amp; "x" &amp; H495, H495), " ", I495))</f>
        <v/>
      </c>
      <c r="F495" s="94" t="inlineStr">
        <is>
          <t xml:space="preserve"> Vital Feminino</t>
        </is>
      </c>
      <c r="G495" s="131" t="n"/>
      <c r="H495" s="2" t="inlineStr">
        <is>
          <t>100ml</t>
        </is>
      </c>
      <c r="I495" s="36" t="inlineStr">
        <is>
          <t xml:space="preserve">Frasco </t>
        </is>
      </c>
      <c r="J495" s="11" t="inlineStr">
        <is>
          <t>Assim Como um Encontro Reenergizante com o Mar / Te Faz se Sentir Revitalizada (comprovada pela neurociência)</t>
        </is>
      </c>
      <c r="K495" s="193" t="n"/>
      <c r="L495" s="193" t="inlineStr">
        <is>
          <t>R$ 185, 90</t>
        </is>
      </c>
    </row>
    <row r="496" ht="15" customHeight="1" s="145">
      <c r="B496" s="63" t="inlineStr">
        <is>
          <t>Natura</t>
        </is>
      </c>
      <c r="C496" s="76" t="inlineStr">
        <is>
          <t>Kaiak</t>
        </is>
      </c>
      <c r="D496" s="98" t="inlineStr">
        <is>
          <t>Deo Perfum</t>
        </is>
      </c>
      <c r="E496" s="136">
        <f>TRIM(CONCATENATE(D496, " ", C496, " ", F496, " ", IF(G496&gt;0, G496 &amp; "x" &amp; H496, H496), " ", I496))</f>
        <v/>
      </c>
      <c r="F496" s="94" t="inlineStr">
        <is>
          <t>K Masculino</t>
        </is>
      </c>
      <c r="G496" s="131" t="n"/>
      <c r="H496" s="2" t="inlineStr">
        <is>
          <t>100ml</t>
        </is>
      </c>
      <c r="I496" s="36" t="inlineStr">
        <is>
          <t xml:space="preserve">Frasco </t>
        </is>
      </c>
      <c r="J496" s="11" t="inlineStr">
        <is>
          <t>Deo Parfum / Aromático intenso / Intensidade / Durabilidade / Frescor Revigorante / Intenso</t>
        </is>
      </c>
      <c r="K496" s="11" t="n"/>
      <c r="L496" s="11" t="inlineStr">
        <is>
          <t>R$ 273, 90</t>
        </is>
      </c>
    </row>
    <row r="497" ht="15" customHeight="1" s="145">
      <c r="B497" s="63" t="inlineStr">
        <is>
          <t>Natura</t>
        </is>
      </c>
      <c r="C497" s="76" t="inlineStr">
        <is>
          <t>Kaiak</t>
        </is>
      </c>
      <c r="D497" s="98" t="inlineStr">
        <is>
          <t>Deo Perfum</t>
        </is>
      </c>
      <c r="E497" s="136">
        <f>TRIM(CONCATENATE(D497, " ", C497, " ", F497, " ", IF(G497&gt;0, G497 &amp; "x" &amp; H497, H497), " ", I497))</f>
        <v/>
      </c>
      <c r="F497" s="94" t="inlineStr">
        <is>
          <t>K Max Masculino</t>
        </is>
      </c>
      <c r="G497" s="131" t="n"/>
      <c r="H497" s="2" t="inlineStr">
        <is>
          <t>100ml</t>
        </is>
      </c>
      <c r="I497" s="36" t="inlineStr">
        <is>
          <t xml:space="preserve">Frasco </t>
        </is>
      </c>
      <c r="J497" s="11" t="inlineStr">
        <is>
          <t>Deo Parfum / Intensas / Amadeiradas / Duradouras / Frescor Revigorante / Sofisticada / Única / Potente</t>
        </is>
      </c>
      <c r="K497" s="11" t="n"/>
      <c r="L497" s="11" t="inlineStr">
        <is>
          <t>R$ 273, 90</t>
        </is>
      </c>
    </row>
    <row r="498" ht="15" customHeight="1" s="145">
      <c r="B498" s="63" t="inlineStr">
        <is>
          <t>Natura</t>
        </is>
      </c>
      <c r="C498" s="76" t="inlineStr">
        <is>
          <t>Kaiak</t>
        </is>
      </c>
      <c r="D498" s="64" t="inlineStr">
        <is>
          <t xml:space="preserve">Gel 2 em 1 Barbear e Pos Barba </t>
        </is>
      </c>
      <c r="E498" s="136">
        <f>TRIM(CONCATENATE(D498, " ", C498, " ", F498, " ", IF(G498&gt;0, G498 &amp; "x" &amp; H498, H498), " ", I498))</f>
        <v/>
      </c>
      <c r="F498" s="94" t="inlineStr">
        <is>
          <t xml:space="preserve"> Uber Masculino</t>
        </is>
      </c>
      <c r="G498" s="131" t="n"/>
      <c r="H498" s="2" t="inlineStr">
        <is>
          <t xml:space="preserve">100g </t>
        </is>
      </c>
      <c r="I498" s="31" t="inlineStr">
        <is>
          <t xml:space="preserve">Frasco </t>
        </is>
      </c>
      <c r="J498" s="2" t="inlineStr">
        <is>
          <t>Facilita o deslize da lâmina para barbear preciso e confortável / Acalma a pele após o barbear / Perfuma o rosto com fragrância aromática.</t>
        </is>
      </c>
      <c r="K498" s="11" t="n"/>
      <c r="L498" s="11" t="inlineStr">
        <is>
          <t>R$ 46, 90</t>
        </is>
      </c>
    </row>
    <row r="499" ht="15" customHeight="1" s="145">
      <c r="B499" s="63" t="inlineStr">
        <is>
          <t>Natura</t>
        </is>
      </c>
      <c r="C499" s="76" t="inlineStr">
        <is>
          <t>Kaiak</t>
        </is>
      </c>
      <c r="D499" s="64" t="inlineStr">
        <is>
          <t xml:space="preserve">Gel 2 em 1 Barbear e Pos Barba </t>
        </is>
      </c>
      <c r="E499" s="136">
        <f>TRIM(CONCATENATE(D499, " ", C499, " ", F499, " ", IF(G499&gt;0, G499 &amp; "x" &amp; H499, H499), " ", I499))</f>
        <v/>
      </c>
      <c r="F499" s="2" t="inlineStr">
        <is>
          <t xml:space="preserve"> Aventura </t>
        </is>
      </c>
      <c r="G499" s="131" t="n"/>
      <c r="H499" s="2" t="inlineStr">
        <is>
          <t xml:space="preserve">100g </t>
        </is>
      </c>
      <c r="I499" s="31" t="inlineStr">
        <is>
          <t xml:space="preserve">Frasco </t>
        </is>
      </c>
      <c r="J499" s="2" t="inlineStr">
        <is>
          <t>Facilita o deslize da lâmina para barbear preciso e confortável / Acalma a pele após o barbear / Perfuma o rosto com fragrância aromática.</t>
        </is>
      </c>
      <c r="K499" s="11" t="n"/>
      <c r="L499" s="11" t="inlineStr">
        <is>
          <t>R$ 46, 90</t>
        </is>
      </c>
    </row>
    <row r="500" ht="15" customHeight="1" s="145">
      <c r="B500" s="63" t="inlineStr">
        <is>
          <t>Natura</t>
        </is>
      </c>
      <c r="C500" s="76" t="inlineStr">
        <is>
          <t>Kaiak</t>
        </is>
      </c>
      <c r="D500" s="64" t="inlineStr">
        <is>
          <t xml:space="preserve">Gel 2 em 1 Barbear e Pos Barba </t>
        </is>
      </c>
      <c r="E500" s="136">
        <f>TRIM(CONCATENATE(D500, " ", C500, " ", F500, " ", IF(G500&gt;0, G500 &amp; "x" &amp; H500, H500), " ", I500))</f>
        <v/>
      </c>
      <c r="F500" s="2" t="inlineStr">
        <is>
          <t xml:space="preserve"> Extremo</t>
        </is>
      </c>
      <c r="G500" s="131" t="n"/>
      <c r="H500" s="2" t="inlineStr">
        <is>
          <t xml:space="preserve">100g </t>
        </is>
      </c>
      <c r="I500" s="31" t="inlineStr">
        <is>
          <t xml:space="preserve">Frasco </t>
        </is>
      </c>
      <c r="J500" s="2" t="inlineStr">
        <is>
          <t>Facilita o deslize da lâmina para barbear preciso e confortável / Acalma a pele após o barbear / Perfuma o rosto com fragrância aromática.</t>
        </is>
      </c>
      <c r="K500" s="11" t="n"/>
      <c r="L500" s="11" t="inlineStr">
        <is>
          <t>R$ 46, 90</t>
        </is>
      </c>
    </row>
    <row r="501" ht="15" customHeight="1" s="145">
      <c r="B501" s="63" t="inlineStr">
        <is>
          <t>Natura</t>
        </is>
      </c>
      <c r="C501" s="76" t="inlineStr">
        <is>
          <t>Kaiak</t>
        </is>
      </c>
      <c r="D501" s="64" t="inlineStr">
        <is>
          <t xml:space="preserve">Gel 2 em 1 Barbear e Pos Barba </t>
        </is>
      </c>
      <c r="E501" s="136">
        <f>TRIM(CONCATENATE(D501, " ", C501, " ", F501, " ", IF(G501&gt;0, G501 &amp; "x" &amp; H501, H501), " ", I501))</f>
        <v/>
      </c>
      <c r="F501" s="2" t="inlineStr">
        <is>
          <t xml:space="preserve"> Oceano </t>
        </is>
      </c>
      <c r="G501" s="131" t="n"/>
      <c r="H501" s="2" t="inlineStr">
        <is>
          <t xml:space="preserve">100g </t>
        </is>
      </c>
      <c r="I501" s="31" t="inlineStr">
        <is>
          <t xml:space="preserve">Frasco </t>
        </is>
      </c>
      <c r="J501" s="2" t="inlineStr">
        <is>
          <t>Facilita o deslize da lâmina para barbear preciso e confortável / Acalma a pele após o barbear / Perfuma o rosto com fragrância aromática.</t>
        </is>
      </c>
      <c r="K501" s="11" t="n"/>
      <c r="L501" s="11" t="inlineStr">
        <is>
          <t>R$ 46, 90</t>
        </is>
      </c>
    </row>
    <row r="502" ht="15" customFormat="1" customHeight="1" s="10">
      <c r="B502" s="63" t="inlineStr">
        <is>
          <t>Natura</t>
        </is>
      </c>
      <c r="C502" s="76" t="inlineStr">
        <is>
          <t>Kaiak</t>
        </is>
      </c>
      <c r="D502" s="64" t="inlineStr">
        <is>
          <t xml:space="preserve">Gel 2 em 1 Barbear e Pos Barba </t>
        </is>
      </c>
      <c r="E502" s="136">
        <f>TRIM(CONCATENATE(D502, " ", C502, " ", F502, " ", IF(G502&gt;0, G502 &amp; "x" &amp; H502, H502), " ", I502))</f>
        <v/>
      </c>
      <c r="F502" s="9" t="inlineStr">
        <is>
          <t xml:space="preserve"> Pulso </t>
        </is>
      </c>
      <c r="G502" s="131" t="n"/>
      <c r="H502" s="2" t="inlineStr">
        <is>
          <t xml:space="preserve">100g </t>
        </is>
      </c>
      <c r="I502" s="31" t="inlineStr">
        <is>
          <t xml:space="preserve">Frasco </t>
        </is>
      </c>
      <c r="J502" s="2" t="inlineStr">
        <is>
          <t>Facilita o deslize da lâmina para barbear preciso e confortável / Acalma a pele após o barbear / Perfuma o rosto com fragrância aromática.</t>
        </is>
      </c>
      <c r="K502" s="11" t="n"/>
      <c r="L502" s="11" t="inlineStr">
        <is>
          <t>R$ 46, 90</t>
        </is>
      </c>
    </row>
    <row r="503">
      <c r="B503" s="63" t="inlineStr">
        <is>
          <t>Natura</t>
        </is>
      </c>
      <c r="C503" s="76" t="inlineStr">
        <is>
          <t>Kaiak</t>
        </is>
      </c>
      <c r="D503" s="64" t="inlineStr">
        <is>
          <t xml:space="preserve"> Shampoo Cabelo e Corpo</t>
        </is>
      </c>
      <c r="E503" s="136">
        <f>TRIM(CONCATENATE(D503, " ", C503, " ", F503, " ", IF(G503&gt;0, G503 &amp; "x" &amp; H503, H503), " ", I503))</f>
        <v/>
      </c>
      <c r="F503" s="2" t="inlineStr">
        <is>
          <t xml:space="preserve"> Aero </t>
        </is>
      </c>
      <c r="G503" s="131" t="n"/>
      <c r="H503" s="2" t="inlineStr">
        <is>
          <t xml:space="preserve">125ml </t>
        </is>
      </c>
      <c r="I503" s="31" t="inlineStr">
        <is>
          <t xml:space="preserve">Frasco </t>
        </is>
      </c>
      <c r="J503" s="148" t="inlineStr">
        <is>
          <t>Usado nos Cabelos e Também como Sabonete Líquido Corporal</t>
        </is>
      </c>
      <c r="K503" s="11" t="n"/>
      <c r="L503" s="11" t="n"/>
    </row>
    <row r="504">
      <c r="B504" s="63" t="inlineStr">
        <is>
          <t>Natura</t>
        </is>
      </c>
      <c r="C504" s="76" t="inlineStr">
        <is>
          <t>Kaiak</t>
        </is>
      </c>
      <c r="D504" s="64" t="inlineStr">
        <is>
          <t xml:space="preserve"> Shampoo Cabelo e Corpo</t>
        </is>
      </c>
      <c r="E504" s="136">
        <f>TRIM(CONCATENATE(D504, " ", C504, " ", F504, " ", IF(G504&gt;0, G504 &amp; "x" &amp; H504, H504), " ", I504))</f>
        <v/>
      </c>
      <c r="F504" s="2" t="inlineStr">
        <is>
          <t xml:space="preserve"> Extremo </t>
        </is>
      </c>
      <c r="G504" s="131" t="n"/>
      <c r="H504" s="2" t="inlineStr">
        <is>
          <t xml:space="preserve">125ml </t>
        </is>
      </c>
      <c r="I504" s="31" t="inlineStr">
        <is>
          <t xml:space="preserve">Frasco </t>
        </is>
      </c>
      <c r="J504" s="148" t="inlineStr">
        <is>
          <t>Usado nos Cabelos e Também como Sabonete Líquido Corporal</t>
        </is>
      </c>
      <c r="K504" s="11" t="n"/>
      <c r="L504" s="11" t="inlineStr">
        <is>
          <t>R$ 35, 90</t>
        </is>
      </c>
    </row>
    <row r="505">
      <c r="B505" s="63" t="inlineStr">
        <is>
          <t>Natura</t>
        </is>
      </c>
      <c r="C505" s="76" t="inlineStr">
        <is>
          <t>Kaiak</t>
        </is>
      </c>
      <c r="D505" s="64" t="inlineStr">
        <is>
          <t xml:space="preserve"> Shampoo Cabelo e Corpo</t>
        </is>
      </c>
      <c r="E505" s="136">
        <f>TRIM(CONCATENATE(D505, " ", C505, " ", F505, " ", IF(G505&gt;0, G505 &amp; "x" &amp; H505, H505), " ", I505))</f>
        <v/>
      </c>
      <c r="F505" s="2" t="inlineStr">
        <is>
          <t xml:space="preserve"> Masculino</t>
        </is>
      </c>
      <c r="G505" s="131" t="n"/>
      <c r="H505" s="2" t="inlineStr">
        <is>
          <t xml:space="preserve">125ml </t>
        </is>
      </c>
      <c r="I505" s="31" t="inlineStr">
        <is>
          <t xml:space="preserve">Frasco </t>
        </is>
      </c>
      <c r="J505" s="148" t="inlineStr">
        <is>
          <t>Usado nos Cabelos e Também como Sabonete Líquido Corporal</t>
        </is>
      </c>
      <c r="K505" s="11" t="n"/>
      <c r="L505" s="11" t="inlineStr">
        <is>
          <t>R$ 64, 30</t>
        </is>
      </c>
    </row>
    <row r="506">
      <c r="B506" s="63" t="inlineStr">
        <is>
          <t>Natura</t>
        </is>
      </c>
      <c r="C506" s="76" t="inlineStr">
        <is>
          <t>Kaiak</t>
        </is>
      </c>
      <c r="D506" s="64" t="inlineStr">
        <is>
          <t xml:space="preserve"> Shampoo Cabelo e Corpo</t>
        </is>
      </c>
      <c r="E506" s="136">
        <f>TRIM(CONCATENATE(D506, " ", C506, " ", F506, " ", IF(G506&gt;0, G506 &amp; "x" &amp; H506, H506), " ", I506))</f>
        <v/>
      </c>
      <c r="F506" s="2" t="inlineStr">
        <is>
          <t xml:space="preserve"> Oceano </t>
        </is>
      </c>
      <c r="G506" s="131" t="n"/>
      <c r="H506" s="2" t="inlineStr">
        <is>
          <t xml:space="preserve">125ml </t>
        </is>
      </c>
      <c r="I506" s="31" t="inlineStr">
        <is>
          <t xml:space="preserve">Frasco </t>
        </is>
      </c>
      <c r="J506" s="148" t="inlineStr">
        <is>
          <t>Usado nos Cabelos e Também como Sabonete Líquido Corporal</t>
        </is>
      </c>
      <c r="K506" s="11" t="n"/>
      <c r="L506" s="11" t="n"/>
    </row>
    <row r="507">
      <c r="B507" s="63" t="inlineStr">
        <is>
          <t>Natura</t>
        </is>
      </c>
      <c r="C507" s="76" t="inlineStr">
        <is>
          <t>Kaiak</t>
        </is>
      </c>
      <c r="D507" s="64" t="inlineStr">
        <is>
          <t xml:space="preserve"> Shampoo Cabelo e Corpo</t>
        </is>
      </c>
      <c r="E507" s="136">
        <f>TRIM(CONCATENATE(D507, " ", C507, " ", F507, " ", IF(G507&gt;0, G507 &amp; "x" &amp; H507, H507), " ", I507))</f>
        <v/>
      </c>
      <c r="F507" s="2" t="inlineStr">
        <is>
          <t xml:space="preserve"> Pulso </t>
        </is>
      </c>
      <c r="G507" s="131" t="n"/>
      <c r="H507" s="2" t="inlineStr">
        <is>
          <t xml:space="preserve">125ml </t>
        </is>
      </c>
      <c r="I507" s="31" t="inlineStr">
        <is>
          <t xml:space="preserve">Frasco </t>
        </is>
      </c>
      <c r="J507" s="148" t="inlineStr">
        <is>
          <t>Usado nos Cabelos e Também como Sabonete Líquido Corporal</t>
        </is>
      </c>
      <c r="K507" s="2" t="n"/>
      <c r="L507" s="2" t="n"/>
    </row>
    <row r="508">
      <c r="B508" s="63" t="inlineStr">
        <is>
          <t>Natura</t>
        </is>
      </c>
      <c r="C508" s="76" t="inlineStr">
        <is>
          <t>Kaiak</t>
        </is>
      </c>
      <c r="D508" s="64" t="inlineStr">
        <is>
          <t xml:space="preserve"> Shampoo Cabelo e Corpo</t>
        </is>
      </c>
      <c r="E508" s="136">
        <f>TRIM(CONCATENATE(D508, " ", C508, " ", F508, " ", IF(G508&gt;0, G508 &amp; "x" &amp; H508, H508), " ", I508))</f>
        <v/>
      </c>
      <c r="F508" s="2" t="inlineStr">
        <is>
          <t xml:space="preserve"> Uber</t>
        </is>
      </c>
      <c r="G508" s="131" t="n"/>
      <c r="H508" s="2" t="inlineStr">
        <is>
          <t xml:space="preserve">125ml </t>
        </is>
      </c>
      <c r="I508" s="31" t="inlineStr">
        <is>
          <t xml:space="preserve">Frasco </t>
        </is>
      </c>
      <c r="J508" s="148" t="inlineStr">
        <is>
          <t>Usado nos Cabelos e Também como Sabonete Líquido Corporal</t>
        </is>
      </c>
      <c r="K508" s="11" t="n"/>
      <c r="L508" s="11" t="n"/>
    </row>
    <row r="509" ht="15" customHeight="1" s="145">
      <c r="A509" t="inlineStr">
        <is>
          <t>NATBRA-182679</t>
        </is>
      </c>
      <c r="B509" s="63" t="inlineStr">
        <is>
          <t>Natura</t>
        </is>
      </c>
      <c r="C509" s="76" t="inlineStr">
        <is>
          <t>Kaiak</t>
        </is>
      </c>
      <c r="D509" s="66" t="inlineStr">
        <is>
          <t>Sabonete Loquido em Gel</t>
        </is>
      </c>
      <c r="E509" s="136">
        <f>TRIM(CONCATENATE(D509, " ", C509, " ", F509, " ", IF(G509&gt;0, G509 &amp; "x" &amp; H509, H509), " ", I509))</f>
        <v/>
      </c>
      <c r="F509" s="121" t="inlineStr">
        <is>
          <t xml:space="preserve"> Masculino</t>
        </is>
      </c>
      <c r="G509" s="131" t="n"/>
      <c r="H509" s="2" t="inlineStr">
        <is>
          <t xml:space="preserve">200ml </t>
        </is>
      </c>
      <c r="I509" s="31" t="inlineStr">
        <is>
          <t xml:space="preserve">Frasco </t>
        </is>
      </c>
      <c r="J509" s="11" t="n"/>
      <c r="K509" s="11" t="n"/>
      <c r="L509" s="11" t="n"/>
    </row>
    <row r="510" ht="15" customHeight="1" s="145">
      <c r="A510" t="inlineStr">
        <is>
          <t>NATBRA-182679</t>
        </is>
      </c>
      <c r="B510" s="63" t="inlineStr">
        <is>
          <t>Natura</t>
        </is>
      </c>
      <c r="C510" s="76" t="inlineStr">
        <is>
          <t>Kaiak</t>
        </is>
      </c>
      <c r="D510" s="66" t="inlineStr">
        <is>
          <t>Sabonete Loquido em Gel</t>
        </is>
      </c>
      <c r="E510" s="136">
        <f>TRIM(CONCATENATE(D510, " ", C510, " ", F510, " ", IF(G510&gt;0, G510 &amp; "x" &amp; H510, H510), " ", I510))</f>
        <v/>
      </c>
      <c r="F510" s="121" t="inlineStr">
        <is>
          <t>Masculino</t>
        </is>
      </c>
      <c r="G510" s="131" t="n"/>
      <c r="H510" s="2" t="inlineStr">
        <is>
          <t xml:space="preserve">200ml </t>
        </is>
      </c>
      <c r="I510" s="31" t="inlineStr">
        <is>
          <t xml:space="preserve">Frasco </t>
        </is>
      </c>
      <c r="J510" s="11" t="n"/>
      <c r="K510" s="11" t="n"/>
      <c r="L510" s="11" t="n"/>
    </row>
    <row r="511" ht="15" customHeight="1" s="145">
      <c r="B511" s="63" t="inlineStr">
        <is>
          <t>Natura</t>
        </is>
      </c>
      <c r="C511" s="76" t="inlineStr">
        <is>
          <t>Kaiak</t>
        </is>
      </c>
      <c r="D511" s="64" t="inlineStr">
        <is>
          <t xml:space="preserve">Desodorante Roll-on </t>
        </is>
      </c>
      <c r="E511" s="136">
        <f>TRIM(CONCATENATE(D511, " ", C511, " ", F511, " ", IF(G511&gt;0, G511 &amp; "x" &amp; H511, H511), " ", I511))</f>
        <v/>
      </c>
      <c r="F511" s="2" t="inlineStr">
        <is>
          <t xml:space="preserve"> Aventura Masculino</t>
        </is>
      </c>
      <c r="G511" s="131" t="n"/>
      <c r="H511" s="2" t="inlineStr">
        <is>
          <t xml:space="preserve">75ml </t>
        </is>
      </c>
      <c r="I511" s="31" t="inlineStr">
        <is>
          <t xml:space="preserve">Frasco </t>
        </is>
      </c>
      <c r="J511" s="11" t="inlineStr">
        <is>
          <t>Fragrância com alta proteção até 72h / Cuida da pele com ativos naturais / Tem tecnologia invisível</t>
        </is>
      </c>
      <c r="K511" s="180" t="n"/>
      <c r="L511" s="180" t="n">
        <v>29.9</v>
      </c>
    </row>
    <row r="512" ht="15" customHeight="1" s="145">
      <c r="B512" s="63" t="inlineStr">
        <is>
          <t>Natura</t>
        </is>
      </c>
      <c r="C512" s="76" t="inlineStr">
        <is>
          <t>Kaiak</t>
        </is>
      </c>
      <c r="D512" s="64" t="inlineStr">
        <is>
          <t xml:space="preserve">Desodorante Roll-on </t>
        </is>
      </c>
      <c r="E512" s="136">
        <f>TRIM(CONCATENATE(D512, " ", C512, " ", F512, " ", IF(G512&gt;0, G512 &amp; "x" &amp; H512, H512), " ", I512))</f>
        <v/>
      </c>
      <c r="F512" s="2" t="inlineStr">
        <is>
          <t xml:space="preserve"> Aero Masculino</t>
        </is>
      </c>
      <c r="G512" s="131" t="n"/>
      <c r="H512" s="2" t="inlineStr">
        <is>
          <t xml:space="preserve">75ml </t>
        </is>
      </c>
      <c r="I512" s="31" t="inlineStr">
        <is>
          <t xml:space="preserve">Frasco </t>
        </is>
      </c>
      <c r="J512" s="11" t="inlineStr">
        <is>
          <t>Fragrância com alta proteção até 72h / Cuida da pele com ativos naturais / Tem tecnologia invisível</t>
        </is>
      </c>
      <c r="K512" s="180" t="n"/>
      <c r="L512" s="180" t="n">
        <v>29.9</v>
      </c>
    </row>
    <row r="513" ht="15" customHeight="1" s="145">
      <c r="B513" s="63" t="inlineStr">
        <is>
          <t>Natura</t>
        </is>
      </c>
      <c r="C513" s="76" t="inlineStr">
        <is>
          <t>Kaiak</t>
        </is>
      </c>
      <c r="D513" s="64" t="inlineStr">
        <is>
          <t xml:space="preserve">Desodorante Roll-on </t>
        </is>
      </c>
      <c r="E513" s="136">
        <f>TRIM(CONCATENATE(D513, " ", C513, " ", F513, " ", IF(G513&gt;0, G513 &amp; "x" &amp; H513, H513), " ", I513))</f>
        <v/>
      </c>
      <c r="F513" s="2" t="inlineStr">
        <is>
          <t xml:space="preserve"> Masculino</t>
        </is>
      </c>
      <c r="G513" s="131" t="n"/>
      <c r="H513" s="2" t="inlineStr">
        <is>
          <t xml:space="preserve">75ml </t>
        </is>
      </c>
      <c r="I513" s="31" t="inlineStr">
        <is>
          <t xml:space="preserve">Frasco </t>
        </is>
      </c>
      <c r="J513" s="11" t="inlineStr">
        <is>
          <t>Fragrância com alta proteção até 72h / Cuida da pele com ativos naturais / Tem tecnologia invisível</t>
        </is>
      </c>
      <c r="K513" s="180" t="n"/>
      <c r="L513" s="180" t="n">
        <v>29.9</v>
      </c>
    </row>
    <row r="514" ht="15" customHeight="1" s="145">
      <c r="B514" s="63" t="inlineStr">
        <is>
          <t>Natura</t>
        </is>
      </c>
      <c r="C514" s="76" t="inlineStr">
        <is>
          <t>Kaiak</t>
        </is>
      </c>
      <c r="D514" s="64" t="inlineStr">
        <is>
          <t xml:space="preserve">Desodorante Roll-on </t>
        </is>
      </c>
      <c r="E514" s="136">
        <f>TRIM(CONCATENATE(D514, " ", C514, " ", F514, " ", IF(G514&gt;0, G514 &amp; "x" &amp; H514, H514), " ", I514))</f>
        <v/>
      </c>
      <c r="F514" s="2" t="inlineStr">
        <is>
          <t xml:space="preserve"> Pulso Masculino</t>
        </is>
      </c>
      <c r="G514" s="131" t="n"/>
      <c r="H514" s="2" t="inlineStr">
        <is>
          <t xml:space="preserve">75ml </t>
        </is>
      </c>
      <c r="I514" s="31" t="inlineStr">
        <is>
          <t xml:space="preserve">Frasco </t>
        </is>
      </c>
      <c r="J514" s="11" t="inlineStr">
        <is>
          <t>Fragrância com alta proteção até 72h / Cuida da pele com ativos naturais / Tem tecnologia invisível</t>
        </is>
      </c>
      <c r="K514" s="180" t="n"/>
      <c r="L514" s="180" t="n">
        <v>29.9</v>
      </c>
    </row>
    <row r="515" ht="15" customHeight="1" s="145">
      <c r="B515" s="63" t="inlineStr">
        <is>
          <t>Natura</t>
        </is>
      </c>
      <c r="C515" s="76" t="inlineStr">
        <is>
          <t>Kaiak</t>
        </is>
      </c>
      <c r="D515" s="64" t="inlineStr">
        <is>
          <t xml:space="preserve">Desodorante Roll-on </t>
        </is>
      </c>
      <c r="E515" s="136">
        <f>TRIM(CONCATENATE(D515, " ", C515, " ", F515, " ", IF(G515&gt;0, G515 &amp; "x" &amp; H515, H515), " ", I515))</f>
        <v/>
      </c>
      <c r="F515" s="2" t="inlineStr">
        <is>
          <t xml:space="preserve"> Uber Masculino</t>
        </is>
      </c>
      <c r="G515" s="131" t="n"/>
      <c r="H515" s="2" t="inlineStr">
        <is>
          <t xml:space="preserve">75ml </t>
        </is>
      </c>
      <c r="I515" s="31" t="inlineStr">
        <is>
          <t xml:space="preserve">Frasco </t>
        </is>
      </c>
      <c r="J515" s="11" t="inlineStr">
        <is>
          <t>Fragrância com alta proteção até 72h / Cuida da pele com ativos naturais / Tem tecnologia invisível</t>
        </is>
      </c>
      <c r="K515" s="180" t="n"/>
      <c r="L515" s="180" t="n">
        <v>29.9</v>
      </c>
    </row>
    <row r="516" ht="15" customHeight="1" s="145">
      <c r="B516" s="63" t="inlineStr">
        <is>
          <t>Natura</t>
        </is>
      </c>
      <c r="C516" s="76" t="inlineStr">
        <is>
          <t>Kaiak</t>
        </is>
      </c>
      <c r="D516" s="64" t="inlineStr">
        <is>
          <t xml:space="preserve">Desodorante Roll-on </t>
        </is>
      </c>
      <c r="E516" s="136">
        <f>TRIM(CONCATENATE(D516, " ", C516, " ", F516, " ", IF(G516&gt;0, G516 &amp; "x" &amp; H516, H516), " ", I516))</f>
        <v/>
      </c>
      <c r="F516" s="2" t="inlineStr">
        <is>
          <t xml:space="preserve"> Aventura Feminino</t>
        </is>
      </c>
      <c r="G516" s="131" t="n"/>
      <c r="H516" s="2" t="inlineStr">
        <is>
          <t xml:space="preserve">75ml </t>
        </is>
      </c>
      <c r="I516" s="31" t="inlineStr">
        <is>
          <t xml:space="preserve">Frasco </t>
        </is>
      </c>
      <c r="J516" s="11" t="inlineStr">
        <is>
          <t>Floral Frutal Moderada / Fragrância com alta proteção até 72h / Cuida da pele com ativos naturais / Tem tecnologia invisível</t>
        </is>
      </c>
      <c r="K516" s="180" t="n"/>
      <c r="L516" s="180" t="n">
        <v>29.9</v>
      </c>
    </row>
    <row r="517" ht="15" customHeight="1" s="145">
      <c r="B517" s="63" t="inlineStr">
        <is>
          <t>Natura</t>
        </is>
      </c>
      <c r="C517" s="76" t="inlineStr">
        <is>
          <t>Kaiak</t>
        </is>
      </c>
      <c r="D517" s="64" t="inlineStr">
        <is>
          <t xml:space="preserve">Desodorante Roll-on </t>
        </is>
      </c>
      <c r="E517" s="136">
        <f>TRIM(CONCATENATE(D517, " ", C517, " ", F517, " ", IF(G517&gt;0, G517 &amp; "x" &amp; H517, H517), " ", I517))</f>
        <v/>
      </c>
      <c r="F517" s="2" t="inlineStr">
        <is>
          <t xml:space="preserve"> Feminino</t>
        </is>
      </c>
      <c r="G517" s="131" t="n"/>
      <c r="H517" s="2" t="inlineStr">
        <is>
          <t xml:space="preserve">75ml </t>
        </is>
      </c>
      <c r="I517" s="31" t="inlineStr">
        <is>
          <t xml:space="preserve">Frasco </t>
        </is>
      </c>
      <c r="J517" s="11" t="inlineStr">
        <is>
          <t>Floral Frutal Moderada / Fragrância com alta proteção até 72h / Cuida da pele com ativos naturais / Tem tecnologia invisível</t>
        </is>
      </c>
      <c r="K517" s="180" t="n"/>
      <c r="L517" s="180" t="n">
        <v>29.9</v>
      </c>
    </row>
    <row r="518" ht="15" customHeight="1" s="145">
      <c r="B518" s="63" t="inlineStr">
        <is>
          <t>Natura</t>
        </is>
      </c>
      <c r="C518" s="97" t="inlineStr">
        <is>
          <t>Kaiak</t>
        </is>
      </c>
      <c r="D518" s="64" t="inlineStr">
        <is>
          <t xml:space="preserve">Desodorante Roll-on </t>
        </is>
      </c>
      <c r="E518" s="136">
        <f>TRIM(CONCATENATE(D518, " ", C518, " ", F518, " ", IF(G518&gt;0, G518 &amp; "x" &amp; H518, H518), " ", I518))</f>
        <v/>
      </c>
      <c r="F518" s="2" t="inlineStr">
        <is>
          <t xml:space="preserve"> Oceano Feminino</t>
        </is>
      </c>
      <c r="G518" s="131" t="n"/>
      <c r="H518" s="2" t="inlineStr">
        <is>
          <t xml:space="preserve">75ml </t>
        </is>
      </c>
      <c r="I518" s="31" t="inlineStr">
        <is>
          <t xml:space="preserve">Frasco </t>
        </is>
      </c>
      <c r="J518" s="11" t="inlineStr">
        <is>
          <t>Floral Frutal Moderada / Fragrância com alta proteção até 72h / Cuida da pele com ativos naturais / Tem tecnologia invisível</t>
        </is>
      </c>
      <c r="K518" s="180" t="n"/>
      <c r="L518" s="180" t="n">
        <v>29.9</v>
      </c>
    </row>
    <row r="519" ht="15" customHeight="1" s="145">
      <c r="B519" s="63" t="inlineStr">
        <is>
          <t>Natura</t>
        </is>
      </c>
      <c r="C519" s="76" t="inlineStr">
        <is>
          <t>Kaiak</t>
        </is>
      </c>
      <c r="D519" s="66" t="inlineStr">
        <is>
          <t>Desodorante Corporal</t>
        </is>
      </c>
      <c r="E519" s="136">
        <f>TRIM(CONCATENATE(D519, " ", C519, " ", F519, " ", IF(G519&gt;0, G519 &amp; "x" &amp; H519, H519), " ", I519))</f>
        <v/>
      </c>
      <c r="F519" s="2" t="inlineStr">
        <is>
          <t xml:space="preserve"> Aventura Masculino</t>
        </is>
      </c>
      <c r="G519" s="131" t="n"/>
      <c r="H519" s="2" t="inlineStr">
        <is>
          <t xml:space="preserve">100ml </t>
        </is>
      </c>
      <c r="I519" s="31" t="inlineStr">
        <is>
          <t xml:space="preserve">Frasco </t>
        </is>
      </c>
      <c r="J519" s="11" t="inlineStr">
        <is>
          <t>Fragrância com alta proteção até 24h / Cuida da pele com ativos naturais / Tem tecnologia invisível</t>
        </is>
      </c>
      <c r="K519" s="11" t="n"/>
      <c r="L519" s="11" t="inlineStr">
        <is>
          <t>R$ 54, 90</t>
        </is>
      </c>
    </row>
    <row r="520" ht="15" customHeight="1" s="145">
      <c r="B520" s="63" t="inlineStr">
        <is>
          <t>Natura</t>
        </is>
      </c>
      <c r="C520" s="76" t="inlineStr">
        <is>
          <t>Kaiak</t>
        </is>
      </c>
      <c r="D520" s="66" t="inlineStr">
        <is>
          <t>Desodorante Corporal</t>
        </is>
      </c>
      <c r="E520" s="136">
        <f>TRIM(CONCATENATE(D520, " ", C520, " ", F520, " ", IF(G520&gt;0, G520 &amp; "x" &amp; H520, H520), " ", I520))</f>
        <v/>
      </c>
      <c r="F520" s="2" t="inlineStr">
        <is>
          <t xml:space="preserve"> Extremo Masculino</t>
        </is>
      </c>
      <c r="G520" s="131" t="n"/>
      <c r="H520" s="2" t="inlineStr">
        <is>
          <t xml:space="preserve">100ml </t>
        </is>
      </c>
      <c r="I520" s="31" t="inlineStr">
        <is>
          <t xml:space="preserve">Frasco </t>
        </is>
      </c>
      <c r="J520" s="11" t="inlineStr">
        <is>
          <t>Fragrância com alta proteção até 24h / Cuida da pele com ativos naturais / Tem tecnologia invisível</t>
        </is>
      </c>
      <c r="K520" s="11" t="n"/>
      <c r="L520" s="11" t="inlineStr">
        <is>
          <t>R$ 54, 90</t>
        </is>
      </c>
    </row>
    <row r="521" ht="15" customHeight="1" s="145">
      <c r="B521" s="63" t="inlineStr">
        <is>
          <t>Natura</t>
        </is>
      </c>
      <c r="C521" s="76" t="inlineStr">
        <is>
          <t>Kaiak</t>
        </is>
      </c>
      <c r="D521" s="66" t="inlineStr">
        <is>
          <t>Desodorante Corporal</t>
        </is>
      </c>
      <c r="E521" s="136">
        <f>TRIM(CONCATENATE(D521, " ", C521, " ", F521, " ", IF(G521&gt;0, G521 &amp; "x" &amp; H521, H521), " ", I521))</f>
        <v/>
      </c>
      <c r="F521" s="2" t="inlineStr">
        <is>
          <t xml:space="preserve"> Masculino</t>
        </is>
      </c>
      <c r="G521" s="131" t="n"/>
      <c r="H521" s="2" t="inlineStr">
        <is>
          <t xml:space="preserve">100ml </t>
        </is>
      </c>
      <c r="I521" s="31" t="inlineStr">
        <is>
          <t xml:space="preserve">Frasco </t>
        </is>
      </c>
      <c r="J521" s="11" t="inlineStr">
        <is>
          <t>Fragrância com alta proteção até 24h / Cuida da pele com ativos naturais / Tem tecnologia invisível</t>
        </is>
      </c>
      <c r="K521" s="11" t="n"/>
      <c r="L521" s="11" t="inlineStr">
        <is>
          <t>R$ 54, 90</t>
        </is>
      </c>
    </row>
    <row r="522" ht="15" customHeight="1" s="145">
      <c r="B522" s="63" t="inlineStr">
        <is>
          <t>Natura</t>
        </is>
      </c>
      <c r="C522" s="76" t="inlineStr">
        <is>
          <t>Kaiak</t>
        </is>
      </c>
      <c r="D522" s="66" t="inlineStr">
        <is>
          <t>Desodorante Corporal</t>
        </is>
      </c>
      <c r="E522" s="136">
        <f>TRIM(CONCATENATE(D522, " ", C522, " ", F522, " ", IF(G522&gt;0, G522 &amp; "x" &amp; H522, H522), " ", I522))</f>
        <v/>
      </c>
      <c r="F522" s="2" t="inlineStr">
        <is>
          <t xml:space="preserve"> O2 Masculino</t>
        </is>
      </c>
      <c r="G522" s="131" t="n"/>
      <c r="H522" s="2" t="inlineStr">
        <is>
          <t xml:space="preserve">100ml </t>
        </is>
      </c>
      <c r="I522" s="31" t="inlineStr">
        <is>
          <t xml:space="preserve">Frasco </t>
        </is>
      </c>
      <c r="J522" s="11" t="inlineStr">
        <is>
          <t>Fragrância com alta proteção até 24h / Cuida da pele com ativos naturais / Tem tecnologia invisível</t>
        </is>
      </c>
      <c r="K522" s="11" t="n"/>
      <c r="L522" s="11" t="inlineStr">
        <is>
          <t>R$ 54, 90</t>
        </is>
      </c>
    </row>
    <row r="523" ht="15" customHeight="1" s="145">
      <c r="B523" s="63" t="inlineStr">
        <is>
          <t>Natura</t>
        </is>
      </c>
      <c r="C523" s="76" t="inlineStr">
        <is>
          <t>Kaiak</t>
        </is>
      </c>
      <c r="D523" s="66" t="inlineStr">
        <is>
          <t>Desodorante Corporal</t>
        </is>
      </c>
      <c r="E523" s="136">
        <f>TRIM(CONCATENATE(D523, " ", C523, " ", F523, " ", IF(G523&gt;0, G523 &amp; "x" &amp; H523, H523), " ", I523))</f>
        <v/>
      </c>
      <c r="F523" s="2" t="inlineStr">
        <is>
          <t xml:space="preserve"> Oceano Masculino</t>
        </is>
      </c>
      <c r="G523" s="131" t="n"/>
      <c r="H523" s="2" t="inlineStr">
        <is>
          <t xml:space="preserve">100ml </t>
        </is>
      </c>
      <c r="I523" s="31" t="inlineStr">
        <is>
          <t xml:space="preserve">Frasco </t>
        </is>
      </c>
      <c r="J523" s="11" t="inlineStr">
        <is>
          <t>Fragrância com alta proteção até 24h / Cuida da pele com ativos naturais / Tem tecnologia invisível</t>
        </is>
      </c>
      <c r="K523" s="11" t="n"/>
      <c r="L523" s="11" t="inlineStr">
        <is>
          <t>R$ 54, 90</t>
        </is>
      </c>
    </row>
    <row r="524" ht="15" customHeight="1" s="145">
      <c r="B524" s="63" t="inlineStr">
        <is>
          <t>Natura</t>
        </is>
      </c>
      <c r="C524" s="76" t="inlineStr">
        <is>
          <t>Kaiak</t>
        </is>
      </c>
      <c r="D524" s="66" t="inlineStr">
        <is>
          <t>Desodorante Corporal</t>
        </is>
      </c>
      <c r="E524" s="136">
        <f>TRIM(CONCATENATE(D524, " ", C524, " ", F524, " ", IF(G524&gt;0, G524 &amp; "x" &amp; H524, H524), " ", I524))</f>
        <v/>
      </c>
      <c r="F524" s="2" t="inlineStr">
        <is>
          <t xml:space="preserve"> Uber Masculino</t>
        </is>
      </c>
      <c r="G524" s="131" t="n"/>
      <c r="H524" s="2" t="inlineStr">
        <is>
          <t xml:space="preserve">100ml </t>
        </is>
      </c>
      <c r="I524" s="31" t="inlineStr">
        <is>
          <t xml:space="preserve">Frasco </t>
        </is>
      </c>
      <c r="J524" s="11" t="inlineStr">
        <is>
          <t>Fragrância com alta proteção até 24h / Cuida da pele com ativos naturais / Tem tecnologia invisível</t>
        </is>
      </c>
      <c r="K524" s="11" t="n"/>
      <c r="L524" s="11" t="inlineStr">
        <is>
          <t>R$ 54, 90</t>
        </is>
      </c>
    </row>
    <row r="525" ht="15" customHeight="1" s="145">
      <c r="B525" s="63" t="inlineStr">
        <is>
          <t>Natura</t>
        </is>
      </c>
      <c r="C525" s="76" t="inlineStr">
        <is>
          <t>Kaiak</t>
        </is>
      </c>
      <c r="D525" s="66" t="inlineStr">
        <is>
          <t>Desodorante Corporal</t>
        </is>
      </c>
      <c r="E525" s="136">
        <f>TRIM(CONCATENATE(D525, " ", C525, " ", F525, " ", IF(G525&gt;0, G525 &amp; "x" &amp; H525, H525), " ", I525))</f>
        <v/>
      </c>
      <c r="F525" s="2" t="inlineStr">
        <is>
          <t xml:space="preserve"> Pulso Masculino</t>
        </is>
      </c>
      <c r="G525" s="131" t="n"/>
      <c r="H525" s="2" t="inlineStr">
        <is>
          <t xml:space="preserve">100ml </t>
        </is>
      </c>
      <c r="I525" s="31" t="inlineStr">
        <is>
          <t xml:space="preserve">Frasco </t>
        </is>
      </c>
      <c r="J525" s="11" t="inlineStr">
        <is>
          <t>Fragrância com alta proteção até 24h / Cuida da pele com ativos naturais / Tem tecnologia invisível</t>
        </is>
      </c>
      <c r="K525" s="11" t="n"/>
      <c r="L525" s="11" t="inlineStr">
        <is>
          <t>R$ 54, 90</t>
        </is>
      </c>
    </row>
    <row r="526" ht="15" customHeight="1" s="145">
      <c r="B526" s="63" t="inlineStr">
        <is>
          <t>Natura</t>
        </is>
      </c>
      <c r="C526" s="76" t="inlineStr">
        <is>
          <t>Kaiak</t>
        </is>
      </c>
      <c r="D526" s="66" t="inlineStr">
        <is>
          <t>Desodorante Corporal</t>
        </is>
      </c>
      <c r="E526" s="136">
        <f>TRIM(CONCATENATE(D526, " ", C526, " ", F526, " ", IF(G526&gt;0, G526 &amp; "x" &amp; H526, H526), " ", I526))</f>
        <v/>
      </c>
      <c r="F526" s="2" t="inlineStr">
        <is>
          <t xml:space="preserve"> Aventura Masculino</t>
        </is>
      </c>
      <c r="G526" s="131" t="n"/>
      <c r="H526" s="2" t="inlineStr">
        <is>
          <t xml:space="preserve">100ml </t>
        </is>
      </c>
      <c r="I526" s="31" t="inlineStr">
        <is>
          <t xml:space="preserve">Refil </t>
        </is>
      </c>
      <c r="J526" s="11" t="inlineStr">
        <is>
          <t>Fragrância com alta proteção até 24h / Cuida da pele com ativos naturais / Tem tecnologia invisível</t>
        </is>
      </c>
      <c r="K526" s="11" t="n"/>
      <c r="L526" s="11" t="inlineStr">
        <is>
          <t>R$ 41, 90</t>
        </is>
      </c>
    </row>
    <row r="527" ht="15" customHeight="1" s="145">
      <c r="B527" s="63" t="inlineStr">
        <is>
          <t>Natura</t>
        </is>
      </c>
      <c r="C527" s="76" t="inlineStr">
        <is>
          <t>Kaiak</t>
        </is>
      </c>
      <c r="D527" s="66" t="inlineStr">
        <is>
          <t>Desodorante Corporal</t>
        </is>
      </c>
      <c r="E527" s="136">
        <f>TRIM(CONCATENATE(D527, " ", C527, " ", F527, " ", IF(G527&gt;0, G527 &amp; "x" &amp; H527, H527), " ", I527))</f>
        <v/>
      </c>
      <c r="F527" s="2" t="inlineStr">
        <is>
          <t xml:space="preserve"> Extremo Masculino</t>
        </is>
      </c>
      <c r="G527" s="131" t="n"/>
      <c r="H527" s="2" t="inlineStr">
        <is>
          <t xml:space="preserve">100ml </t>
        </is>
      </c>
      <c r="I527" s="31" t="inlineStr">
        <is>
          <t xml:space="preserve">Refil </t>
        </is>
      </c>
      <c r="J527" s="11" t="inlineStr">
        <is>
          <t>Fragrância com alta proteção até 24h / Cuida da pele com ativos naturais / Tem tecnologia invisível</t>
        </is>
      </c>
      <c r="K527" s="11" t="n"/>
      <c r="L527" s="11" t="inlineStr">
        <is>
          <t>R$ 35, 90</t>
        </is>
      </c>
    </row>
    <row r="528" ht="15" customHeight="1" s="145">
      <c r="A528" t="inlineStr">
        <is>
          <t>NATBRA-56747</t>
        </is>
      </c>
      <c r="B528" s="63" t="inlineStr">
        <is>
          <t>Natura</t>
        </is>
      </c>
      <c r="C528" s="76" t="inlineStr">
        <is>
          <t>Kaiak</t>
        </is>
      </c>
      <c r="D528" s="66" t="inlineStr">
        <is>
          <t>Desodorante Corporal</t>
        </is>
      </c>
      <c r="E528" s="136">
        <f>TRIM(CONCATENATE(D528, " ", C528, " ", F528, " ", IF(G528&gt;0, G528 &amp; "x" &amp; H528, H528), " ", I528))</f>
        <v/>
      </c>
      <c r="F528" s="2" t="inlineStr">
        <is>
          <t xml:space="preserve"> Masculino</t>
        </is>
      </c>
      <c r="G528" s="131" t="n"/>
      <c r="H528" s="2" t="inlineStr">
        <is>
          <t xml:space="preserve">100ml </t>
        </is>
      </c>
      <c r="I528" s="31" t="inlineStr">
        <is>
          <t xml:space="preserve">Refil </t>
        </is>
      </c>
      <c r="J528" s="11" t="inlineStr">
        <is>
          <t>Fragrância com alta proteção até 24h / Cuida da pele com ativos naturais / Tem tecnologia invisível</t>
        </is>
      </c>
      <c r="K528" s="11" t="n"/>
      <c r="L528" s="11" t="inlineStr">
        <is>
          <t>R$ 35, 90</t>
        </is>
      </c>
    </row>
    <row r="529" ht="15" customHeight="1" s="145">
      <c r="B529" s="63" t="inlineStr">
        <is>
          <t>Natura</t>
        </is>
      </c>
      <c r="C529" s="76" t="inlineStr">
        <is>
          <t>Kaiak</t>
        </is>
      </c>
      <c r="D529" s="66" t="inlineStr">
        <is>
          <t>Desodorante Corporal</t>
        </is>
      </c>
      <c r="E529" s="136">
        <f>TRIM(CONCATENATE(D529, " ", C529, " ", F529, " ", IF(G529&gt;0, G529 &amp; "x" &amp; H529, H529), " ", I529))</f>
        <v/>
      </c>
      <c r="F529" s="2" t="inlineStr">
        <is>
          <t xml:space="preserve"> O2 Masculino</t>
        </is>
      </c>
      <c r="G529" s="131" t="n"/>
      <c r="H529" s="2" t="inlineStr">
        <is>
          <t xml:space="preserve">100ml </t>
        </is>
      </c>
      <c r="I529" s="31" t="inlineStr">
        <is>
          <t xml:space="preserve">Refil </t>
        </is>
      </c>
      <c r="J529" s="11" t="inlineStr">
        <is>
          <t>Fragrância com alta proteção até 24h / Cuida da pele com ativos naturais / Tem tecnologia invisível</t>
        </is>
      </c>
      <c r="K529" s="11" t="n"/>
      <c r="L529" s="11" t="inlineStr">
        <is>
          <t>R$ 35, 90</t>
        </is>
      </c>
    </row>
    <row r="530" ht="15" customHeight="1" s="145">
      <c r="A530" t="inlineStr">
        <is>
          <t>NATBRA-108405</t>
        </is>
      </c>
      <c r="B530" s="63" t="inlineStr">
        <is>
          <t>Natura</t>
        </is>
      </c>
      <c r="C530" s="76" t="inlineStr">
        <is>
          <t>Kaiak</t>
        </is>
      </c>
      <c r="D530" s="66" t="inlineStr">
        <is>
          <t>Desodorante Corporal</t>
        </is>
      </c>
      <c r="E530" s="136">
        <f>TRIM(CONCATENATE(D530, " ", C530, " ", F530, " ", IF(G530&gt;0, G530 &amp; "x" &amp; H530, H530), " ", I530))</f>
        <v/>
      </c>
      <c r="F530" s="2" t="inlineStr">
        <is>
          <t xml:space="preserve"> Oceano Masculino</t>
        </is>
      </c>
      <c r="G530" s="131" t="n"/>
      <c r="H530" s="2" t="inlineStr">
        <is>
          <t xml:space="preserve">100ml </t>
        </is>
      </c>
      <c r="I530" s="31" t="inlineStr">
        <is>
          <t xml:space="preserve">Refil </t>
        </is>
      </c>
      <c r="J530" s="11" t="inlineStr">
        <is>
          <t>Fragrância com alta proteção até 24h / Cuida da pele com ativos naturais / Tem tecnologia invisível</t>
        </is>
      </c>
      <c r="K530" s="11" t="n"/>
      <c r="L530" s="11" t="inlineStr">
        <is>
          <t>R$ 35, 90</t>
        </is>
      </c>
    </row>
    <row r="531" ht="15" customHeight="1" s="145">
      <c r="B531" s="63" t="inlineStr">
        <is>
          <t>Natura</t>
        </is>
      </c>
      <c r="C531" s="76" t="inlineStr">
        <is>
          <t>Kaiak</t>
        </is>
      </c>
      <c r="D531" s="66" t="inlineStr">
        <is>
          <t>Desodorante Corporal</t>
        </is>
      </c>
      <c r="E531" s="136">
        <f>TRIM(CONCATENATE(D531, " ", C531, " ", F531, " ", IF(G531&gt;0, G531 &amp; "x" &amp; H531, H531), " ", I531))</f>
        <v/>
      </c>
      <c r="F531" s="2" t="inlineStr">
        <is>
          <t xml:space="preserve"> Uber Masculino</t>
        </is>
      </c>
      <c r="G531" s="131" t="n"/>
      <c r="H531" s="2" t="inlineStr">
        <is>
          <t xml:space="preserve">100ml </t>
        </is>
      </c>
      <c r="I531" s="31" t="inlineStr">
        <is>
          <t xml:space="preserve">Refil </t>
        </is>
      </c>
      <c r="J531" s="11" t="inlineStr">
        <is>
          <t>Fragrância com alta proteção até 24h / Cuida da pele com ativos naturais / Tem tecnologia invisível</t>
        </is>
      </c>
      <c r="K531" s="11" t="n"/>
      <c r="L531" s="11" t="inlineStr">
        <is>
          <t>R$ 35, 90</t>
        </is>
      </c>
    </row>
    <row r="532" ht="15" customHeight="1" s="145">
      <c r="B532" s="63" t="inlineStr">
        <is>
          <t>Natura</t>
        </is>
      </c>
      <c r="C532" s="76" t="inlineStr">
        <is>
          <t>Kaiak</t>
        </is>
      </c>
      <c r="D532" s="66" t="inlineStr">
        <is>
          <t>Desodorante Corporal</t>
        </is>
      </c>
      <c r="E532" s="136">
        <f>TRIM(CONCATENATE(D532, " ", C532, " ", F532, " ", IF(G532&gt;0, G532 &amp; "x" &amp; H532, H532), " ", I532))</f>
        <v/>
      </c>
      <c r="F532" s="2" t="inlineStr">
        <is>
          <t xml:space="preserve"> Pulso Masculino</t>
        </is>
      </c>
      <c r="G532" s="131" t="n"/>
      <c r="H532" s="2" t="inlineStr">
        <is>
          <t xml:space="preserve">100ml </t>
        </is>
      </c>
      <c r="I532" s="31" t="inlineStr">
        <is>
          <t xml:space="preserve">Refil </t>
        </is>
      </c>
      <c r="J532" s="11" t="inlineStr">
        <is>
          <t>Fragrância com alta proteção até 24h / Cuida da pele com ativos naturais / Tem tecnologia invisível</t>
        </is>
      </c>
      <c r="K532" s="11" t="n"/>
      <c r="L532" s="11" t="inlineStr">
        <is>
          <t>R$ 35, 90</t>
        </is>
      </c>
    </row>
    <row r="533" ht="15" customHeight="1" s="145">
      <c r="B533" s="63" t="inlineStr">
        <is>
          <t>Natura</t>
        </is>
      </c>
      <c r="C533" s="76" t="inlineStr">
        <is>
          <t>Kaiak</t>
        </is>
      </c>
      <c r="D533" s="66" t="inlineStr">
        <is>
          <t>Desodorante Corporal</t>
        </is>
      </c>
      <c r="E533" s="136">
        <f>TRIM(CONCATENATE(D533, " ", C533, " ", F533, " ", IF(G533&gt;0, G533 &amp; "x" &amp; H533, H533), " ", I533))</f>
        <v/>
      </c>
      <c r="F533" s="2" t="inlineStr">
        <is>
          <t xml:space="preserve"> Aventura Feminino</t>
        </is>
      </c>
      <c r="G533" s="131" t="n"/>
      <c r="H533" s="2" t="inlineStr">
        <is>
          <t xml:space="preserve">100ml </t>
        </is>
      </c>
      <c r="I533" s="31" t="inlineStr">
        <is>
          <t xml:space="preserve">Frasco </t>
        </is>
      </c>
      <c r="J533" s="11" t="inlineStr">
        <is>
          <t>Fragrância com alta proteção até 24h / Cuida da pele com ativos naturais / Tem tecnologia invisível</t>
        </is>
      </c>
      <c r="K533" s="11" t="n"/>
      <c r="L533" s="11" t="inlineStr">
        <is>
          <t xml:space="preserve">R$ 54, 90 </t>
        </is>
      </c>
    </row>
    <row r="534" ht="15" customHeight="1" s="145">
      <c r="B534" s="63" t="inlineStr">
        <is>
          <t>Natura</t>
        </is>
      </c>
      <c r="C534" s="76" t="inlineStr">
        <is>
          <t>Kaiak</t>
        </is>
      </c>
      <c r="D534" s="66" t="inlineStr">
        <is>
          <t>Desodorante Corporal</t>
        </is>
      </c>
      <c r="E534" s="136">
        <f>TRIM(CONCATENATE(D534, " ", C534, " ", F534, " ", IF(G534&gt;0, G534 &amp; "x" &amp; H534, H534), " ", I534))</f>
        <v/>
      </c>
      <c r="F534" s="2" t="inlineStr">
        <is>
          <t xml:space="preserve"> Aero Feminino</t>
        </is>
      </c>
      <c r="G534" s="131" t="n"/>
      <c r="H534" s="2" t="inlineStr">
        <is>
          <t xml:space="preserve">100ml </t>
        </is>
      </c>
      <c r="I534" s="31" t="inlineStr">
        <is>
          <t xml:space="preserve">Frasco </t>
        </is>
      </c>
      <c r="J534" s="11" t="inlineStr">
        <is>
          <t>Fragrância com alta proteção até 24h / Cuida da pele com ativos naturais / Tem tecnologia invisível</t>
        </is>
      </c>
      <c r="K534" s="11" t="n"/>
      <c r="L534" s="11" t="inlineStr">
        <is>
          <t xml:space="preserve">R$ 54, 90 </t>
        </is>
      </c>
    </row>
    <row r="535" ht="15" customHeight="1" s="145">
      <c r="B535" s="63" t="inlineStr">
        <is>
          <t>Natura</t>
        </is>
      </c>
      <c r="C535" s="76" t="inlineStr">
        <is>
          <t>Kaiak</t>
        </is>
      </c>
      <c r="D535" s="66" t="inlineStr">
        <is>
          <t>Desodorante Corporal</t>
        </is>
      </c>
      <c r="E535" s="136">
        <f>TRIM(CONCATENATE(D535, " ", C535, " ", F535, " ", IF(G535&gt;0, G535 &amp; "x" &amp; H535, H535), " ", I535))</f>
        <v/>
      </c>
      <c r="F535" s="2" t="inlineStr">
        <is>
          <t xml:space="preserve"> Feminino</t>
        </is>
      </c>
      <c r="G535" s="131" t="n"/>
      <c r="H535" s="2" t="inlineStr">
        <is>
          <t xml:space="preserve">100ml </t>
        </is>
      </c>
      <c r="I535" s="31" t="inlineStr">
        <is>
          <t xml:space="preserve">Frasco </t>
        </is>
      </c>
      <c r="J535" s="11" t="inlineStr">
        <is>
          <t>Fragrância com alta proteção até 24h / Cuida da pele com ativos naturais / Tem tecnologia invisível</t>
        </is>
      </c>
      <c r="K535" s="11" t="n"/>
      <c r="L535" s="11" t="inlineStr">
        <is>
          <t xml:space="preserve">R$ 54, 90 </t>
        </is>
      </c>
    </row>
    <row r="536" ht="15" customHeight="1" s="145">
      <c r="B536" s="63" t="inlineStr">
        <is>
          <t>Natura</t>
        </is>
      </c>
      <c r="C536" s="76" t="inlineStr">
        <is>
          <t>Kaiak</t>
        </is>
      </c>
      <c r="D536" s="66" t="inlineStr">
        <is>
          <t>Desodorante Corporal</t>
        </is>
      </c>
      <c r="E536" s="136">
        <f>TRIM(CONCATENATE(D536, " ", C536, " ", F536, " ", IF(G536&gt;0, G536 &amp; "x" &amp; H536, H536), " ", I536))</f>
        <v/>
      </c>
      <c r="F536" s="2" t="inlineStr">
        <is>
          <t xml:space="preserve"> Oceano Feminino</t>
        </is>
      </c>
      <c r="G536" s="131" t="n"/>
      <c r="H536" s="2" t="inlineStr">
        <is>
          <t xml:space="preserve">100ml </t>
        </is>
      </c>
      <c r="I536" s="31" t="inlineStr">
        <is>
          <t xml:space="preserve">Frasco </t>
        </is>
      </c>
      <c r="J536" s="11" t="inlineStr">
        <is>
          <t>Fragrância com alta proteção até 24h / Cuida da pele com ativos naturais / Tem tecnologia invisível</t>
        </is>
      </c>
      <c r="K536" s="11" t="n"/>
      <c r="L536" s="11" t="inlineStr">
        <is>
          <t xml:space="preserve">R$ 54, 90 </t>
        </is>
      </c>
    </row>
    <row r="537" ht="15" customFormat="1" customHeight="1" s="10">
      <c r="B537" s="63" t="inlineStr">
        <is>
          <t>Natura</t>
        </is>
      </c>
      <c r="C537" s="76" t="inlineStr">
        <is>
          <t>Kaiak</t>
        </is>
      </c>
      <c r="D537" s="66" t="inlineStr">
        <is>
          <t>Desodorante Corporal</t>
        </is>
      </c>
      <c r="E537" s="136">
        <f>TRIM(CONCATENATE(D537, " ", C537, " ", F537, " ", IF(G537&gt;0, G537 &amp; "x" &amp; H537, H537), " ", I537))</f>
        <v/>
      </c>
      <c r="F537" s="2" t="inlineStr">
        <is>
          <t xml:space="preserve"> Aventura Feminino</t>
        </is>
      </c>
      <c r="G537" s="131" t="n"/>
      <c r="H537" s="2" t="inlineStr">
        <is>
          <t xml:space="preserve">100ml </t>
        </is>
      </c>
      <c r="I537" s="31" t="inlineStr">
        <is>
          <t>Refil</t>
        </is>
      </c>
      <c r="J537" s="11" t="inlineStr">
        <is>
          <t>Fragrância com alta proteção até 24h / Cuida da pele com ativos naturais / Tem tecnologia invisível</t>
        </is>
      </c>
      <c r="K537" s="20" t="n"/>
      <c r="L537" s="20" t="inlineStr">
        <is>
          <t xml:space="preserve">R$ 41, 90 </t>
        </is>
      </c>
    </row>
    <row r="538" ht="15" customHeight="1" s="145">
      <c r="B538" s="63" t="inlineStr">
        <is>
          <t>Natura</t>
        </is>
      </c>
      <c r="C538" s="76" t="inlineStr">
        <is>
          <t>Kaiak</t>
        </is>
      </c>
      <c r="D538" s="66" t="inlineStr">
        <is>
          <t>Desodorante Corporal</t>
        </is>
      </c>
      <c r="E538" s="136">
        <f>TRIM(CONCATENATE(D538, " ", C538, " ", F538, " ", IF(G538&gt;0, G538 &amp; "x" &amp; H538, H538), " ", I538))</f>
        <v/>
      </c>
      <c r="F538" s="2" t="inlineStr">
        <is>
          <t xml:space="preserve"> Aero Feminino </t>
        </is>
      </c>
      <c r="G538" s="131" t="n"/>
      <c r="H538" s="2" t="inlineStr">
        <is>
          <t xml:space="preserve">100ml </t>
        </is>
      </c>
      <c r="I538" s="31" t="inlineStr">
        <is>
          <t>Refil</t>
        </is>
      </c>
      <c r="J538" s="11" t="inlineStr">
        <is>
          <t>Fragrância com alta proteção até 24h / Cuida da pele com ativos naturais / Tem tecnologia invisível</t>
        </is>
      </c>
      <c r="K538" s="20" t="n"/>
      <c r="L538" s="20" t="inlineStr">
        <is>
          <t xml:space="preserve">R$ 41, 90 </t>
        </is>
      </c>
    </row>
    <row r="539" ht="15" customHeight="1" s="145">
      <c r="B539" s="63" t="inlineStr">
        <is>
          <t>Natura</t>
        </is>
      </c>
      <c r="C539" s="76" t="inlineStr">
        <is>
          <t>Kaiak</t>
        </is>
      </c>
      <c r="D539" s="66" t="inlineStr">
        <is>
          <t>Desodorante Corporal</t>
        </is>
      </c>
      <c r="E539" s="136">
        <f>TRIM(CONCATENATE(D539, " ", C539, " ", F539, " ", IF(G539&gt;0, G539 &amp; "x" &amp; H539, H539), " ", I539))</f>
        <v/>
      </c>
      <c r="F539" s="2" t="inlineStr">
        <is>
          <t xml:space="preserve"> Feminino</t>
        </is>
      </c>
      <c r="G539" s="131" t="n"/>
      <c r="H539" s="2" t="inlineStr">
        <is>
          <t xml:space="preserve">100ml </t>
        </is>
      </c>
      <c r="I539" s="31" t="inlineStr">
        <is>
          <t>Refil</t>
        </is>
      </c>
      <c r="J539" s="11" t="inlineStr">
        <is>
          <t>Fragrância com alta proteção até 24h / Cuida da pele com ativos naturais / Tem tecnologia invisível</t>
        </is>
      </c>
      <c r="K539" s="20" t="n"/>
      <c r="L539" s="20" t="inlineStr">
        <is>
          <t xml:space="preserve">R$ 41, 90 </t>
        </is>
      </c>
    </row>
    <row r="540" ht="15" customHeight="1" s="145">
      <c r="B540" s="63" t="inlineStr">
        <is>
          <t>Natura</t>
        </is>
      </c>
      <c r="C540" s="76" t="inlineStr">
        <is>
          <t>Kaiak</t>
        </is>
      </c>
      <c r="D540" s="66" t="inlineStr">
        <is>
          <t>Desodorante Corporal</t>
        </is>
      </c>
      <c r="E540" s="136">
        <f>TRIM(CONCATENATE(D540, " ", C540, " ", F540, " ", IF(G540&gt;0, G540 &amp; "x" &amp; H540, H540), " ", I540))</f>
        <v/>
      </c>
      <c r="F540" s="2" t="inlineStr">
        <is>
          <t xml:space="preserve"> Oceano Feminino</t>
        </is>
      </c>
      <c r="G540" s="131" t="n"/>
      <c r="H540" s="2" t="inlineStr">
        <is>
          <t xml:space="preserve">100ml </t>
        </is>
      </c>
      <c r="I540" s="31" t="inlineStr">
        <is>
          <t>Refil</t>
        </is>
      </c>
      <c r="J540" s="11" t="inlineStr">
        <is>
          <t>Fragrância com alta proteção até 24h / Cuida da pele com ativos naturais / Tem tecnologia invisível</t>
        </is>
      </c>
      <c r="K540" s="20" t="n"/>
      <c r="L540" s="20" t="inlineStr">
        <is>
          <t xml:space="preserve">R$ 41, 90 </t>
        </is>
      </c>
    </row>
    <row r="541" ht="15" customHeight="1" s="145">
      <c r="B541" s="63" t="inlineStr">
        <is>
          <t>Natura</t>
        </is>
      </c>
      <c r="C541" s="76" t="inlineStr">
        <is>
          <t>Kaiak</t>
        </is>
      </c>
      <c r="D541" s="65" t="inlineStr">
        <is>
          <t>Desodorante Hidratante Corporal</t>
        </is>
      </c>
      <c r="E541" s="136">
        <f>TRIM(CONCATENATE(D541, " ", C541, " ", F541, " ", IF(G541&gt;0, G541 &amp; "x" &amp; H541, H541), " ", I541))</f>
        <v/>
      </c>
      <c r="F541" s="2" t="inlineStr">
        <is>
          <t xml:space="preserve"> Masculino</t>
        </is>
      </c>
      <c r="G541" s="131" t="n"/>
      <c r="H541" s="2" t="inlineStr">
        <is>
          <t xml:space="preserve">150ml </t>
        </is>
      </c>
      <c r="I541" s="31" t="inlineStr">
        <is>
          <t xml:space="preserve">Frasco </t>
        </is>
      </c>
      <c r="J541" s="11" t="inlineStr">
        <is>
          <t>O Jeito Mais Fácil / Rápido / Prático de Hidratar o Corpo Inteiro /  Recompoe os Mineirais do Corpo  / Em Spray</t>
        </is>
      </c>
      <c r="K541" s="11" t="n"/>
      <c r="L541" s="11" t="inlineStr">
        <is>
          <t>R$ 62, 90</t>
        </is>
      </c>
    </row>
    <row r="542" ht="15" customHeight="1" s="145">
      <c r="B542" s="63" t="inlineStr">
        <is>
          <t>Natura</t>
        </is>
      </c>
      <c r="C542" s="76" t="inlineStr">
        <is>
          <t>Kaiak</t>
        </is>
      </c>
      <c r="D542" s="65" t="inlineStr">
        <is>
          <t>Desodorante Hidratante Corporal</t>
        </is>
      </c>
      <c r="E542" s="136">
        <f>TRIM(CONCATENATE(D542, " ", C542, " ", F542, " ", IF(G542&gt;0, G542 &amp; "x" &amp; H542, H542), " ", I542))</f>
        <v/>
      </c>
      <c r="F542" s="2" t="inlineStr">
        <is>
          <t xml:space="preserve"> Feminino</t>
        </is>
      </c>
      <c r="G542" s="131" t="n"/>
      <c r="H542" s="2" t="inlineStr">
        <is>
          <t xml:space="preserve">150ml </t>
        </is>
      </c>
      <c r="I542" s="31" t="inlineStr">
        <is>
          <t xml:space="preserve">Refil </t>
        </is>
      </c>
      <c r="J542" s="11" t="inlineStr">
        <is>
          <t>O Jeito Mais Fácil / Rápido / Prático de Hidratar o Corpo Inteiro /  Recompoe os Mineirais do Corpo  / Em Spray</t>
        </is>
      </c>
      <c r="K542" s="11" t="n"/>
      <c r="L542" s="11" t="inlineStr">
        <is>
          <t xml:space="preserve">R$ 50, 90 </t>
        </is>
      </c>
    </row>
    <row r="543" ht="15" customHeight="1" s="145">
      <c r="B543" s="63" t="inlineStr">
        <is>
          <t>Natura</t>
        </is>
      </c>
      <c r="C543" s="76" t="inlineStr">
        <is>
          <t>Kaiak</t>
        </is>
      </c>
      <c r="D543" s="65" t="inlineStr">
        <is>
          <t>Desodorante Hidratante Corporal</t>
        </is>
      </c>
      <c r="E543" s="136">
        <f>TRIM(CONCATENATE(D543, " ", C543, " ", F543, " ", IF(G543&gt;0, G543 &amp; "x" &amp; H543, H543), " ", I543))</f>
        <v/>
      </c>
      <c r="F543" s="2" t="inlineStr">
        <is>
          <t xml:space="preserve"> Masculino</t>
        </is>
      </c>
      <c r="G543" s="131" t="n"/>
      <c r="H543" s="2" t="inlineStr">
        <is>
          <t xml:space="preserve">150ml </t>
        </is>
      </c>
      <c r="I543" s="31" t="inlineStr">
        <is>
          <t xml:space="preserve">Frasco </t>
        </is>
      </c>
      <c r="J543" s="11" t="inlineStr">
        <is>
          <t>O Jeito Mais Fácil / Rápido / Prático de Hidratar o Corpo Inteiro /  Recompoe os Mineirais do Corpo  / Em Spray</t>
        </is>
      </c>
      <c r="K543" s="11" t="n"/>
      <c r="L543" s="11" t="inlineStr">
        <is>
          <t>R$ 62, 90</t>
        </is>
      </c>
    </row>
    <row r="544" ht="15" customHeight="1" s="145">
      <c r="B544" s="63" t="inlineStr">
        <is>
          <t>Natura</t>
        </is>
      </c>
      <c r="C544" s="76" t="inlineStr">
        <is>
          <t>Kaiak</t>
        </is>
      </c>
      <c r="D544" s="65" t="inlineStr">
        <is>
          <t>Desodorante Hidratante Corporal</t>
        </is>
      </c>
      <c r="E544" s="136">
        <f>TRIM(CONCATENATE(D544, " ", C544, " ", F544, " ", IF(G544&gt;0, G544 &amp; "x" &amp; H544, H544), " ", I544))</f>
        <v/>
      </c>
      <c r="F544" s="2" t="inlineStr">
        <is>
          <t xml:space="preserve"> Feminino</t>
        </is>
      </c>
      <c r="G544" s="131" t="n"/>
      <c r="H544" s="2" t="inlineStr">
        <is>
          <t xml:space="preserve">150ml </t>
        </is>
      </c>
      <c r="I544" s="31" t="inlineStr">
        <is>
          <t xml:space="preserve">Refil </t>
        </is>
      </c>
      <c r="J544" s="11" t="inlineStr">
        <is>
          <t>O Jeito Mais Fácil / Rápido / Prático de Hidratar o Corpo Inteiro /  Recompoe os Mineirais do Corpo  / Em Spray</t>
        </is>
      </c>
      <c r="K544" s="11" t="n"/>
      <c r="L544" s="11" t="inlineStr">
        <is>
          <t xml:space="preserve">R$ 50, 90 </t>
        </is>
      </c>
    </row>
    <row r="545" ht="15" customHeight="1" s="145">
      <c r="B545" s="63" t="inlineStr">
        <is>
          <t>Natura</t>
        </is>
      </c>
      <c r="C545" s="76" t="inlineStr">
        <is>
          <t>Kaiak</t>
        </is>
      </c>
      <c r="D545" s="98" t="inlineStr">
        <is>
          <t xml:space="preserve">Spray Pos Barba </t>
        </is>
      </c>
      <c r="E545" s="136">
        <f>TRIM(CONCATENATE(D545, " ", C545, " ", F545, " ", IF(G545&gt;0, G545 &amp; "x" &amp; H545, H545), " ", I545))</f>
        <v/>
      </c>
      <c r="F545" s="2" t="inlineStr">
        <is>
          <t xml:space="preserve"> Masculino</t>
        </is>
      </c>
      <c r="G545" s="131" t="n"/>
      <c r="H545" s="2" t="inlineStr">
        <is>
          <t xml:space="preserve">150ml </t>
        </is>
      </c>
      <c r="I545" s="31" t="inlineStr">
        <is>
          <t xml:space="preserve">Frasco </t>
        </is>
      </c>
      <c r="J545" s="149" t="inlineStr">
        <is>
          <t xml:space="preserve"> recuperar a pele após as agressões do barbear e refrescá-la a qualquer momento do dia. Não provoca a oleosidade da pele.</t>
        </is>
      </c>
      <c r="K545" s="11" t="n"/>
      <c r="L545" s="11" t="inlineStr">
        <is>
          <t xml:space="preserve">R$ 74, 90 </t>
        </is>
      </c>
    </row>
    <row r="546" ht="15" customHeight="1" s="145">
      <c r="B546" s="63" t="inlineStr">
        <is>
          <t>Natura</t>
        </is>
      </c>
      <c r="C546" s="76" t="inlineStr">
        <is>
          <t>Kaiak</t>
        </is>
      </c>
      <c r="D546" s="65" t="inlineStr">
        <is>
          <t xml:space="preserve">Sabonete em Barra </t>
        </is>
      </c>
      <c r="E546" s="136">
        <f>TRIM(CONCATENATE(D546, " ", C546, " ", F546, " ", IF(G546&gt;0, G546 &amp; "x" &amp; H546, H546), " ", I546))</f>
        <v/>
      </c>
      <c r="F546" s="2" t="inlineStr">
        <is>
          <t xml:space="preserve"> Masculino</t>
        </is>
      </c>
      <c r="G546" s="131" t="n">
        <v>1</v>
      </c>
      <c r="H546" s="2" t="inlineStr">
        <is>
          <t xml:space="preserve">90g </t>
        </is>
      </c>
      <c r="I546" s="31" t="inlineStr">
        <is>
          <t xml:space="preserve">Caixa </t>
        </is>
      </c>
      <c r="J546" s="11" t="inlineStr">
        <is>
          <t>Espuma cremosa / limpa sem ressecar / Embalagem 70% reciclável / Fórmula 97% de origem natural / Produto vegano</t>
        </is>
      </c>
      <c r="K546" s="11" t="n"/>
      <c r="L546" s="11" t="inlineStr">
        <is>
          <t xml:space="preserve">R$ 13, 90 </t>
        </is>
      </c>
    </row>
    <row r="547" ht="15" customHeight="1" s="145">
      <c r="B547" s="63" t="inlineStr">
        <is>
          <t>Natura</t>
        </is>
      </c>
      <c r="C547" s="76" t="inlineStr">
        <is>
          <t>Kaiak</t>
        </is>
      </c>
      <c r="D547" s="65" t="inlineStr">
        <is>
          <t xml:space="preserve">Sabonete em Barra </t>
        </is>
      </c>
      <c r="E547" s="136">
        <f>TRIM(CONCATENATE(D547, " ", C547, " ", F547, " ", IF(G547&gt;0, G547 &amp; "x" &amp; H547, H547), " ", I547))</f>
        <v/>
      </c>
      <c r="F547" s="2" t="inlineStr">
        <is>
          <t xml:space="preserve"> Vital </t>
        </is>
      </c>
      <c r="G547" s="131" t="n">
        <v>1</v>
      </c>
      <c r="H547" s="2" t="inlineStr">
        <is>
          <t xml:space="preserve">90g </t>
        </is>
      </c>
      <c r="I547" s="31" t="inlineStr">
        <is>
          <t xml:space="preserve">Caixa </t>
        </is>
      </c>
      <c r="J547" s="11" t="inlineStr">
        <is>
          <t>Espuma cremosa / limpa sem ressecar / Embalagem 70% reciclável / Fórmula 97% de origem natural / Produto vegano</t>
        </is>
      </c>
      <c r="K547" s="11" t="n"/>
      <c r="L547" s="11" t="inlineStr">
        <is>
          <t xml:space="preserve">R$ 13, 90 </t>
        </is>
      </c>
    </row>
    <row r="548" ht="15" customHeight="1" s="145">
      <c r="B548" s="63" t="inlineStr">
        <is>
          <t>Natura</t>
        </is>
      </c>
      <c r="C548" s="76" t="inlineStr">
        <is>
          <t>Kaiak</t>
        </is>
      </c>
      <c r="D548" s="65" t="inlineStr">
        <is>
          <t xml:space="preserve">Sabonete em Barra </t>
        </is>
      </c>
      <c r="E548" s="136">
        <f>TRIM(CONCATENATE(D548, " ", C548, " ", F548, " ", IF(G548&gt;0, G548 &amp; "x" &amp; H548, H548), " ", I548))</f>
        <v/>
      </c>
      <c r="F548" s="2" t="inlineStr">
        <is>
          <t xml:space="preserve"> Pulso </t>
        </is>
      </c>
      <c r="G548" s="131" t="n">
        <v>1</v>
      </c>
      <c r="H548" s="2" t="inlineStr">
        <is>
          <t xml:space="preserve">90g </t>
        </is>
      </c>
      <c r="I548" s="31" t="inlineStr">
        <is>
          <t xml:space="preserve">Caixa </t>
        </is>
      </c>
      <c r="J548" s="11" t="inlineStr">
        <is>
          <t>Espuma cremosa / limpa sem ressecar / Embalagem 70% reciclável / Fórmula 97% de origem natural / Produto vegano</t>
        </is>
      </c>
      <c r="K548" s="11" t="n"/>
      <c r="L548" s="11" t="inlineStr">
        <is>
          <t xml:space="preserve">R$ 13, 90 </t>
        </is>
      </c>
    </row>
    <row r="549" ht="15" customHeight="1" s="145">
      <c r="B549" s="63" t="inlineStr">
        <is>
          <t>Natura</t>
        </is>
      </c>
      <c r="C549" s="76" t="inlineStr">
        <is>
          <t>Kaiak</t>
        </is>
      </c>
      <c r="D549" s="65" t="inlineStr">
        <is>
          <t xml:space="preserve">Sabonete em Barra </t>
        </is>
      </c>
      <c r="E549" s="136">
        <f>TRIM(CONCATENATE(D549, " ", C549, " ", F549, " ", IF(G549&gt;0, G549 &amp; "x" &amp; H549, H549), " ", I549))</f>
        <v/>
      </c>
      <c r="F549" s="2" t="inlineStr">
        <is>
          <t xml:space="preserve"> Uber </t>
        </is>
      </c>
      <c r="G549" s="131" t="n">
        <v>1</v>
      </c>
      <c r="H549" s="2" t="inlineStr">
        <is>
          <t xml:space="preserve">90g </t>
        </is>
      </c>
      <c r="I549" s="31" t="inlineStr">
        <is>
          <t xml:space="preserve">Caixa </t>
        </is>
      </c>
      <c r="J549" s="11" t="inlineStr">
        <is>
          <t>Espuma cremosa / limpa sem ressecar / Embalagem 70% reciclável / Fórmula 97% de origem natural / Produto vegano</t>
        </is>
      </c>
      <c r="K549" s="11" t="n"/>
      <c r="L549" s="11" t="inlineStr">
        <is>
          <t xml:space="preserve">R$ 13, 90 </t>
        </is>
      </c>
    </row>
    <row r="550" ht="15" customHeight="1" s="145">
      <c r="B550" s="63" t="inlineStr">
        <is>
          <t>Natura</t>
        </is>
      </c>
      <c r="C550" s="76" t="inlineStr">
        <is>
          <t>Kaiak</t>
        </is>
      </c>
      <c r="D550" s="65" t="inlineStr">
        <is>
          <t xml:space="preserve">Sabonete em Barra </t>
        </is>
      </c>
      <c r="E550" s="136">
        <f>TRIM(CONCATENATE(D550, " ", C550, " ", F550, " ", IF(G550&gt;0, G550 &amp; "x" &amp; H550, H550), " ", I550))</f>
        <v/>
      </c>
      <c r="F550" s="2" t="inlineStr">
        <is>
          <t xml:space="preserve"> Oceano</t>
        </is>
      </c>
      <c r="G550" s="131" t="n">
        <v>1</v>
      </c>
      <c r="H550" s="2" t="inlineStr">
        <is>
          <t xml:space="preserve">90g </t>
        </is>
      </c>
      <c r="I550" s="31" t="inlineStr">
        <is>
          <t xml:space="preserve">Caixa </t>
        </is>
      </c>
      <c r="J550" s="11" t="inlineStr">
        <is>
          <t>Espuma cremosa / limpa sem ressecar / Embalagem 70% reciclável / Fórmula 97% de origem natural / Produto vegano</t>
        </is>
      </c>
      <c r="K550" s="11" t="n"/>
      <c r="L550" s="11" t="inlineStr">
        <is>
          <t xml:space="preserve">R$ 13, 90 </t>
        </is>
      </c>
    </row>
    <row r="551" ht="15" customHeight="1" s="145">
      <c r="A551" t="inlineStr">
        <is>
          <t>NATBRA-15811</t>
        </is>
      </c>
      <c r="B551" s="63" t="inlineStr">
        <is>
          <t>Natura</t>
        </is>
      </c>
      <c r="C551" s="76" t="inlineStr">
        <is>
          <t>Kaiak</t>
        </is>
      </c>
      <c r="D551" s="65" t="inlineStr">
        <is>
          <t>Sabonete em Barra</t>
        </is>
      </c>
      <c r="E551" s="136">
        <f>TRIM(CONCATENATE(D551, " ", C551, " ", F551, " ", IF(G551&gt;0, G551 &amp; "x" &amp; H551, H551), " ", I551))</f>
        <v/>
      </c>
      <c r="F551" s="2" t="inlineStr">
        <is>
          <t xml:space="preserve"> Corpo e Barba</t>
        </is>
      </c>
      <c r="G551" s="131" t="n">
        <v>1</v>
      </c>
      <c r="H551" s="2" t="inlineStr">
        <is>
          <t xml:space="preserve">90g </t>
        </is>
      </c>
      <c r="I551" s="31" t="inlineStr">
        <is>
          <t xml:space="preserve">Caixa </t>
        </is>
      </c>
      <c r="J551" s="11" t="inlineStr">
        <is>
          <t xml:space="preserve">Produto Vegano / Refrescante / Ideal para barbear / Praticidade no dia a dia / Limpa sem Ressecar / Barba </t>
        </is>
      </c>
      <c r="K551" s="11" t="n"/>
      <c r="L551" s="11" t="inlineStr">
        <is>
          <t xml:space="preserve">R$ 27, 90 </t>
        </is>
      </c>
    </row>
    <row r="552" ht="15" customHeight="1" s="145">
      <c r="B552" s="63" t="inlineStr">
        <is>
          <t>Natura</t>
        </is>
      </c>
      <c r="C552" s="76" t="inlineStr">
        <is>
          <t>Kaiak</t>
        </is>
      </c>
      <c r="D552" s="64" t="inlineStr">
        <is>
          <t>Água gel</t>
        </is>
      </c>
      <c r="E552" s="136">
        <f>TRIM(CONCATENATE(D552, " ", C552, " ", F552, " ", IF(G552&gt;0, G552 &amp; "x" &amp; H552, H552), " ", I552))</f>
        <v/>
      </c>
      <c r="F552" s="2" t="inlineStr">
        <is>
          <t xml:space="preserve"> Feminino</t>
        </is>
      </c>
      <c r="G552" s="131" t="n"/>
      <c r="H552" s="2" t="n"/>
      <c r="I552" s="31" t="n"/>
      <c r="J552" s="2" t="n"/>
      <c r="K552" s="11" t="n"/>
      <c r="L552" s="11" t="n"/>
    </row>
    <row r="553" ht="15" customHeight="1" s="145">
      <c r="B553" s="63" t="inlineStr">
        <is>
          <t>Natura</t>
        </is>
      </c>
      <c r="C553" s="76" t="inlineStr">
        <is>
          <t>Kaiak</t>
        </is>
      </c>
      <c r="D553" s="65" t="inlineStr">
        <is>
          <t xml:space="preserve">Hidratante Corporal </t>
        </is>
      </c>
      <c r="E553" s="136">
        <f>TRIM(CONCATENATE(D553, " ", C553, " ", F553, " ", IF(G553&gt;0, G553 &amp; "x" &amp; H553, H553), " ", I553))</f>
        <v/>
      </c>
      <c r="F553" s="2" t="inlineStr">
        <is>
          <t xml:space="preserve"> Aventura </t>
        </is>
      </c>
      <c r="G553" s="131" t="n"/>
      <c r="H553" s="2" t="inlineStr">
        <is>
          <t xml:space="preserve">300ml </t>
        </is>
      </c>
      <c r="I553" s="31" t="inlineStr">
        <is>
          <t xml:space="preserve">Frasco </t>
        </is>
      </c>
      <c r="J553" s="11" t="inlineStr">
        <is>
          <t>O jeito mais fácil / Rápido / Prático de hidratar corpo inteiro / Combater o Ressecamento / Prevenir a perda de água / Repor os minerais da pele</t>
        </is>
      </c>
      <c r="K553" s="11" t="n"/>
      <c r="L553" s="11" t="inlineStr">
        <is>
          <t xml:space="preserve">R$ 64, 90 </t>
        </is>
      </c>
    </row>
    <row r="554" ht="15" customHeight="1" s="145">
      <c r="B554" s="63" t="inlineStr">
        <is>
          <t>Natura</t>
        </is>
      </c>
      <c r="C554" s="76" t="inlineStr">
        <is>
          <t>Kaiak</t>
        </is>
      </c>
      <c r="D554" s="65" t="inlineStr">
        <is>
          <t xml:space="preserve">Hidratante Corporal </t>
        </is>
      </c>
      <c r="E554" s="136">
        <f>TRIM(CONCATENATE(D554, " ", C554, " ", F554, " ", IF(G554&gt;0, G554 &amp; "x" &amp; H554, H554), " ", I554))</f>
        <v/>
      </c>
      <c r="F554" s="2" t="inlineStr">
        <is>
          <t xml:space="preserve"> Masculino</t>
        </is>
      </c>
      <c r="G554" s="131" t="n"/>
      <c r="H554" s="2" t="inlineStr">
        <is>
          <t xml:space="preserve">300ml </t>
        </is>
      </c>
      <c r="I554" s="31" t="inlineStr">
        <is>
          <t xml:space="preserve">Frasco </t>
        </is>
      </c>
      <c r="J554" s="11" t="inlineStr">
        <is>
          <t>O jeito mais fácil / Rápido / Prático de hidratar corpo inteiro / Combater o Ressecamento / Prevenir a perda de água / Repor os minerais da pele</t>
        </is>
      </c>
      <c r="K554" s="11" t="n"/>
      <c r="L554" s="11" t="inlineStr">
        <is>
          <t xml:space="preserve">R$ 64, 90 </t>
        </is>
      </c>
    </row>
    <row r="555" ht="15" customHeight="1" s="145">
      <c r="B555" s="63" t="inlineStr">
        <is>
          <t>Natura</t>
        </is>
      </c>
      <c r="C555" s="76" t="inlineStr">
        <is>
          <t>Kaiak</t>
        </is>
      </c>
      <c r="D555" s="65" t="inlineStr">
        <is>
          <t xml:space="preserve">Hidratante Corporal </t>
        </is>
      </c>
      <c r="E555" s="136">
        <f>TRIM(CONCATENATE(D555, " ", C555, " ", F555, " ", IF(G555&gt;0, G555 &amp; "x" &amp; H555, H555), " ", I555))</f>
        <v/>
      </c>
      <c r="F555" s="2" t="inlineStr">
        <is>
          <t xml:space="preserve"> Vital </t>
        </is>
      </c>
      <c r="G555" s="131" t="n"/>
      <c r="H555" s="2" t="inlineStr">
        <is>
          <t xml:space="preserve">300ml </t>
        </is>
      </c>
      <c r="I555" s="31" t="inlineStr">
        <is>
          <t xml:space="preserve">Frasco </t>
        </is>
      </c>
      <c r="J555" s="11" t="inlineStr">
        <is>
          <t>O jeito mais fácil / Rápido / Prático de hidratar corpo inteiro / Combater o Ressecamento / Prevenir a perda de água / Repor os minerais da pele</t>
        </is>
      </c>
      <c r="K555" s="11" t="n"/>
      <c r="L555" s="11" t="inlineStr">
        <is>
          <t xml:space="preserve">R$ 64, 90 </t>
        </is>
      </c>
    </row>
    <row r="556" ht="15.75" customHeight="1" s="145">
      <c r="B556" s="63" t="inlineStr">
        <is>
          <t>Natura</t>
        </is>
      </c>
      <c r="C556" s="77" t="inlineStr">
        <is>
          <t xml:space="preserve">Ilia </t>
        </is>
      </c>
      <c r="D556" s="64" t="inlineStr">
        <is>
          <t>Colonia</t>
        </is>
      </c>
      <c r="E556" s="136">
        <f>TRIM(CONCATENATE(D556, " ", C556, " ", F556, " ", IF(G556&gt;0, G556 &amp; "x" &amp; H556, H556), " ", I556))</f>
        <v/>
      </c>
      <c r="F556" s="124" t="inlineStr">
        <is>
          <t xml:space="preserve"> Dual Feminino</t>
        </is>
      </c>
      <c r="G556" s="131" t="n"/>
      <c r="H556" s="2" t="inlineStr">
        <is>
          <t>50ml</t>
        </is>
      </c>
      <c r="I556" s="31" t="inlineStr">
        <is>
          <t xml:space="preserve">Frasco </t>
        </is>
      </c>
      <c r="J556" s="153" t="inlineStr">
        <is>
          <t>Muitos o considera uma criação única e afiada / mistura o masculino e o feminino de forma intensa e moderna.</t>
        </is>
      </c>
      <c r="K556" s="11" t="n"/>
      <c r="L556" s="11" t="inlineStr">
        <is>
          <t xml:space="preserve">R$ 194, 90 </t>
        </is>
      </c>
    </row>
    <row r="557">
      <c r="B557" s="63" t="inlineStr">
        <is>
          <t>Natura</t>
        </is>
      </c>
      <c r="C557" s="77" t="inlineStr">
        <is>
          <t xml:space="preserve">Ilia </t>
        </is>
      </c>
      <c r="D557" s="64" t="inlineStr">
        <is>
          <t>Colonia</t>
        </is>
      </c>
      <c r="E557" s="136">
        <f>TRIM(CONCATENATE(D557, " ", C557, " ", F557, " ", IF(G557&gt;0, G557 &amp; "x" &amp; H557, H557), " ", I557))</f>
        <v/>
      </c>
      <c r="F557" s="124" t="inlineStr">
        <is>
          <t xml:space="preserve"> Completa Feminino</t>
        </is>
      </c>
      <c r="G557" s="131" t="n"/>
      <c r="H557" s="2" t="inlineStr">
        <is>
          <t>50ml</t>
        </is>
      </c>
      <c r="I557" s="31" t="inlineStr">
        <is>
          <t xml:space="preserve">Frasco </t>
        </is>
      </c>
      <c r="J557" s="11" t="inlineStr">
        <is>
          <t>Floral fresco com base almiscarada e um acorde cítrico na saída que o deixa extremamente aberto e confortável, nada doce / Rica / Poderosa</t>
        </is>
      </c>
      <c r="K557" s="11" t="n"/>
      <c r="L557" s="11" t="inlineStr">
        <is>
          <t xml:space="preserve">R$ 194, 90 </t>
        </is>
      </c>
    </row>
    <row r="558">
      <c r="B558" s="63" t="inlineStr">
        <is>
          <t>Natura</t>
        </is>
      </c>
      <c r="C558" s="77" t="inlineStr">
        <is>
          <t xml:space="preserve">Ilia </t>
        </is>
      </c>
      <c r="D558" s="64" t="inlineStr">
        <is>
          <t>Colonia</t>
        </is>
      </c>
      <c r="E558" s="136">
        <f>TRIM(CONCATENATE(D558, " ", C558, " ", F558, " ", IF(G558&gt;0, G558 &amp; "x" &amp; H558, H558), " ", I558))</f>
        <v/>
      </c>
      <c r="F558" s="2" t="inlineStr">
        <is>
          <t xml:space="preserve"> Florescer Feminino</t>
        </is>
      </c>
      <c r="G558" s="131" t="n"/>
      <c r="H558" s="2" t="inlineStr">
        <is>
          <t>50ml</t>
        </is>
      </c>
      <c r="I558" s="31" t="inlineStr">
        <is>
          <t xml:space="preserve">Frasco </t>
        </is>
      </c>
      <c r="J558" s="11" t="inlineStr">
        <is>
          <t>Floral fresco com base almiscarada e um acorde cítrico na saída que o deixa extremamente aberto e confortável, nada doce.</t>
        </is>
      </c>
      <c r="K558" s="11" t="n"/>
      <c r="L558" s="11" t="inlineStr">
        <is>
          <t xml:space="preserve">R$ 194, 90 </t>
        </is>
      </c>
    </row>
    <row r="559">
      <c r="B559" s="63" t="inlineStr">
        <is>
          <t>Natura</t>
        </is>
      </c>
      <c r="C559" s="77" t="inlineStr">
        <is>
          <t xml:space="preserve">Ilia </t>
        </is>
      </c>
      <c r="D559" s="64" t="inlineStr">
        <is>
          <t>Colonia</t>
        </is>
      </c>
      <c r="E559" s="136">
        <f>TRIM(CONCATENATE(D559, " ", C559, " ", F559, " ", IF(G559&gt;0, G559 &amp; "x" &amp; H559, H559), " ", I559))</f>
        <v/>
      </c>
      <c r="F559" s="2" t="inlineStr">
        <is>
          <t xml:space="preserve"> Flor de Laranjeira Feminino</t>
        </is>
      </c>
      <c r="G559" s="131" t="n"/>
      <c r="H559" s="2" t="inlineStr">
        <is>
          <t>50ml</t>
        </is>
      </c>
      <c r="I559" s="31" t="inlineStr">
        <is>
          <t xml:space="preserve">Frasco </t>
        </is>
      </c>
      <c r="J559" s="11" t="inlineStr">
        <is>
          <t>Delicado / Fresco / levemente adocicado / com notas florais brancas  / nuances cítricas / remetendo à primavera e ao frescor</t>
        </is>
      </c>
      <c r="K559" s="11" t="n"/>
      <c r="L559" s="11" t="inlineStr">
        <is>
          <t xml:space="preserve">R$ 194, 90 </t>
        </is>
      </c>
    </row>
    <row r="560">
      <c r="B560" s="63" t="inlineStr">
        <is>
          <t>Natura</t>
        </is>
      </c>
      <c r="C560" s="77" t="inlineStr">
        <is>
          <t xml:space="preserve">Ilia </t>
        </is>
      </c>
      <c r="D560" s="64" t="inlineStr">
        <is>
          <t>Colonia</t>
        </is>
      </c>
      <c r="E560" s="136">
        <f>TRIM(CONCATENATE(D560, " ", C560, " ", F560, " ", IF(G560&gt;0, G560 &amp; "x" &amp; H560, H560), " ", I560))</f>
        <v/>
      </c>
      <c r="F560" s="2" t="inlineStr">
        <is>
          <t xml:space="preserve"> Feminino</t>
        </is>
      </c>
      <c r="G560" s="131" t="n"/>
      <c r="H560" s="2" t="inlineStr">
        <is>
          <t>50ml</t>
        </is>
      </c>
      <c r="I560" s="31" t="inlineStr">
        <is>
          <t xml:space="preserve">Frasco </t>
        </is>
      </c>
      <c r="J560" s="2" t="inlineStr">
        <is>
          <t>Floral / Delicado / Muito bem construído / Sinto a suculência da framboesa / cremosidade da flor de laranjeira / um leve cítrico</t>
        </is>
      </c>
      <c r="K560" s="11" t="n"/>
      <c r="L560" s="11" t="inlineStr">
        <is>
          <t xml:space="preserve">R$ 194, 90 </t>
        </is>
      </c>
    </row>
    <row r="561">
      <c r="B561" s="63" t="inlineStr">
        <is>
          <t>Natura</t>
        </is>
      </c>
      <c r="C561" s="77" t="inlineStr">
        <is>
          <t xml:space="preserve">Ilia </t>
        </is>
      </c>
      <c r="D561" s="64" t="inlineStr">
        <is>
          <t>Colonia</t>
        </is>
      </c>
      <c r="E561" s="136">
        <f>TRIM(CONCATENATE(D561, " ", C561, " ", F561, " ", IF(G561&gt;0, G561 &amp; "x" &amp; H561, H561), " ", I561))</f>
        <v/>
      </c>
      <c r="F561" s="124" t="inlineStr">
        <is>
          <t xml:space="preserve"> Laços Feminino</t>
        </is>
      </c>
      <c r="G561" s="131" t="n"/>
      <c r="H561" s="2" t="inlineStr">
        <is>
          <t>50ml</t>
        </is>
      </c>
      <c r="I561" s="31" t="inlineStr">
        <is>
          <t xml:space="preserve">Frasco </t>
        </is>
      </c>
      <c r="J561" s="11" t="inlineStr">
        <is>
          <t>Docinho / Abaunilhado / Frutadinho meio achicletado / Floral Gostoso / Confortável com um leve atalcado super jovial.</t>
        </is>
      </c>
      <c r="K561" s="11" t="n"/>
      <c r="L561" s="11" t="inlineStr">
        <is>
          <t xml:space="preserve">R$ 194, 90 </t>
        </is>
      </c>
    </row>
    <row r="562">
      <c r="B562" s="63" t="inlineStr">
        <is>
          <t>Natura</t>
        </is>
      </c>
      <c r="C562" s="77" t="inlineStr">
        <is>
          <t xml:space="preserve">Ilia </t>
        </is>
      </c>
      <c r="D562" s="64" t="inlineStr">
        <is>
          <t>Colonia</t>
        </is>
      </c>
      <c r="E562" s="136">
        <f>TRIM(CONCATENATE(D562, " ", C562, " ", F562, " ", IF(G562&gt;0, G562 &amp; "x" &amp; H562, H562), " ", I562))</f>
        <v/>
      </c>
      <c r="F562" s="2" t="inlineStr">
        <is>
          <t xml:space="preserve"> Plena Feminino</t>
        </is>
      </c>
      <c r="G562" s="131" t="n"/>
      <c r="H562" s="2" t="inlineStr">
        <is>
          <t>50ml</t>
        </is>
      </c>
      <c r="I562" s="31" t="inlineStr">
        <is>
          <t xml:space="preserve">Frasco </t>
        </is>
      </c>
      <c r="J562" s="11" t="inlineStr">
        <is>
          <t>Docinho / Abaunilhado / Frutadinho meio achicletado / Ele tem um floral muito gostoso / confortável com um leve super jovial.</t>
        </is>
      </c>
      <c r="K562" s="11" t="n"/>
      <c r="L562" s="11" t="inlineStr">
        <is>
          <t xml:space="preserve">R$ 194, 90 </t>
        </is>
      </c>
    </row>
    <row r="563">
      <c r="B563" s="63" t="inlineStr">
        <is>
          <t>Natura</t>
        </is>
      </c>
      <c r="C563" s="77" t="inlineStr">
        <is>
          <t xml:space="preserve">Ilia </t>
        </is>
      </c>
      <c r="D563" s="64" t="inlineStr">
        <is>
          <t>Colonia</t>
        </is>
      </c>
      <c r="E563" s="136">
        <f>TRIM(CONCATENATE(D563, " ", C563, " ", F563, " ", IF(G563&gt;0, G563 &amp; "x" &amp; H563, H563), " ", I563))</f>
        <v/>
      </c>
      <c r="F563" s="2" t="inlineStr">
        <is>
          <t xml:space="preserve"> Ser Feminino</t>
        </is>
      </c>
      <c r="G563" s="131" t="n"/>
      <c r="H563" s="2" t="inlineStr">
        <is>
          <t>50ml</t>
        </is>
      </c>
      <c r="I563" s="31" t="inlineStr">
        <is>
          <t xml:space="preserve">Frasco </t>
        </is>
      </c>
      <c r="J563" s="147" t="inlineStr">
        <is>
          <t>sofisticada que harmoniza as flores brancas com notas ambaradas e um toque da exclusiva vanilla bahiana</t>
        </is>
      </c>
      <c r="K563" s="11" t="n"/>
      <c r="L563" s="11" t="inlineStr">
        <is>
          <t xml:space="preserve">R$ 194, 90 </t>
        </is>
      </c>
    </row>
    <row r="564">
      <c r="B564" s="63" t="inlineStr">
        <is>
          <t>Natura</t>
        </is>
      </c>
      <c r="C564" s="77" t="inlineStr">
        <is>
          <t xml:space="preserve">Ilia </t>
        </is>
      </c>
      <c r="D564" s="64" t="inlineStr">
        <is>
          <t>Colonia</t>
        </is>
      </c>
      <c r="E564" s="136">
        <f>TRIM(CONCATENATE(D564, " ", C564, " ", F564, " ", IF(G564&gt;0, G564 &amp; "x" &amp; H564, H564), " ", I564))</f>
        <v/>
      </c>
      <c r="F564" s="2" t="inlineStr">
        <is>
          <t xml:space="preserve"> Secreto Feminino</t>
        </is>
      </c>
      <c r="G564" s="131" t="n"/>
      <c r="H564" s="2" t="inlineStr">
        <is>
          <t>50ml</t>
        </is>
      </c>
      <c r="I564" s="31" t="inlineStr">
        <is>
          <t xml:space="preserve">Frasco </t>
        </is>
      </c>
      <c r="J564" s="11" t="inlineStr">
        <is>
          <t>Sofisticada que harmoniza as flores brancas com notas ambaradas e um toque da exclusiva vanilla bahiana / Dualidade entre força e delicadeza</t>
        </is>
      </c>
      <c r="K564" s="11" t="n"/>
      <c r="L564" s="11" t="inlineStr">
        <is>
          <t xml:space="preserve">R$ 194, 90 </t>
        </is>
      </c>
    </row>
    <row r="565">
      <c r="B565" s="63" t="inlineStr">
        <is>
          <t>Natura</t>
        </is>
      </c>
      <c r="C565" s="77" t="inlineStr">
        <is>
          <t xml:space="preserve">Ilia </t>
        </is>
      </c>
      <c r="D565" s="64" t="inlineStr">
        <is>
          <t>Colonia</t>
        </is>
      </c>
      <c r="E565" s="136">
        <f>TRIM(CONCATENATE(D565, " ", C565, " ", F565, " ", IF(G565&gt;0, G565 &amp; "x" &amp; H565, H565), " ", I565))</f>
        <v/>
      </c>
      <c r="F565" s="2" t="inlineStr">
        <is>
          <t xml:space="preserve"> Viver Feminino</t>
        </is>
      </c>
      <c r="G565" s="131" t="n"/>
      <c r="H565" s="2" t="inlineStr">
        <is>
          <t>50ml</t>
        </is>
      </c>
      <c r="I565" s="31" t="inlineStr">
        <is>
          <t xml:space="preserve">Frasco </t>
        </is>
      </c>
      <c r="J565" s="11" t="inlineStr">
        <is>
          <t>toranja / frutas vermelhas no topo / freesia e magnólia no coração / notas amadeiradas e baunilha na base</t>
        </is>
      </c>
      <c r="K565" s="11" t="n"/>
      <c r="L565" s="11" t="inlineStr">
        <is>
          <t xml:space="preserve">R$ 194, 90 </t>
        </is>
      </c>
    </row>
    <row r="566">
      <c r="B566" s="63" t="inlineStr">
        <is>
          <t>Natura</t>
        </is>
      </c>
      <c r="C566" s="77" t="inlineStr">
        <is>
          <t xml:space="preserve">Ilia </t>
        </is>
      </c>
      <c r="D566" s="65" t="inlineStr">
        <is>
          <t>Creme Hidrante Desodorante Perfumado</t>
        </is>
      </c>
      <c r="E566" s="136">
        <f>TRIM(CONCATENATE(D566, " ", C566, " ", F566, " ", IF(G566&gt;0, G566 &amp; "x" &amp; H566, H566), " ", I566))</f>
        <v/>
      </c>
      <c r="F566" s="124" t="inlineStr">
        <is>
          <t xml:space="preserve"> Completa </t>
        </is>
      </c>
      <c r="G566" s="131" t="n"/>
      <c r="H566" s="2" t="inlineStr">
        <is>
          <t xml:space="preserve">80ml </t>
        </is>
      </c>
      <c r="I566" s="31" t="inlineStr">
        <is>
          <t xml:space="preserve">Frasco </t>
        </is>
      </c>
      <c r="J566" s="11" t="inlineStr">
        <is>
          <t xml:space="preserve">Hidrata a pele Naturalmente / Aveludado / prolonga a fragância ainda mais / Praticidade de caber na Bolsa </t>
        </is>
      </c>
      <c r="K566" s="11" t="n"/>
      <c r="L566" s="11" t="n"/>
    </row>
    <row r="567">
      <c r="B567" s="63" t="inlineStr">
        <is>
          <t>Natura</t>
        </is>
      </c>
      <c r="C567" s="77" t="inlineStr">
        <is>
          <t xml:space="preserve">Ilia </t>
        </is>
      </c>
      <c r="D567" s="65" t="inlineStr">
        <is>
          <t>Creme Hidrante Desodorante Perfumado</t>
        </is>
      </c>
      <c r="E567" s="136">
        <f>TRIM(CONCATENATE(D567, " ", C567, " ", F567, " ", IF(G567&gt;0, G567 &amp; "x" &amp; H567, H567), " ", I567))</f>
        <v/>
      </c>
      <c r="F567" s="2" t="inlineStr">
        <is>
          <t xml:space="preserve"> Feminino</t>
        </is>
      </c>
      <c r="G567" s="131" t="n"/>
      <c r="H567" s="2" t="inlineStr">
        <is>
          <t xml:space="preserve">80ml </t>
        </is>
      </c>
      <c r="I567" s="31" t="inlineStr">
        <is>
          <t xml:space="preserve">Frasco </t>
        </is>
      </c>
      <c r="J567" s="11" t="inlineStr">
        <is>
          <t xml:space="preserve">Hidrata a pele Naturalmente / Aveludado / prolonga a fragância ainda mais / Praticidade de caber na Bolsa </t>
        </is>
      </c>
      <c r="K567" s="11" t="n"/>
      <c r="L567" s="11" t="n"/>
    </row>
    <row r="568">
      <c r="B568" s="63" t="inlineStr">
        <is>
          <t>Natura</t>
        </is>
      </c>
      <c r="C568" s="77" t="inlineStr">
        <is>
          <t xml:space="preserve">Ilia </t>
        </is>
      </c>
      <c r="D568" s="65" t="inlineStr">
        <is>
          <t>Creme Hidrante Desodorante Perfumado</t>
        </is>
      </c>
      <c r="E568" s="136">
        <f>TRIM(CONCATENATE(D568, " ", C568, " ", F568, " ", IF(G568&gt;0, G568 &amp; "x" &amp; H568, H568), " ", I568))</f>
        <v/>
      </c>
      <c r="F568" s="2" t="inlineStr">
        <is>
          <t xml:space="preserve"> Secreto </t>
        </is>
      </c>
      <c r="G568" s="131" t="n"/>
      <c r="H568" s="2" t="inlineStr">
        <is>
          <t xml:space="preserve">80ml </t>
        </is>
      </c>
      <c r="I568" s="31" t="inlineStr">
        <is>
          <t xml:space="preserve">Frasco </t>
        </is>
      </c>
      <c r="J568" s="11" t="inlineStr">
        <is>
          <t xml:space="preserve">Hidrata a pele Naturalmente / Aveludado / prolonga a fragância ainda mais / Praticidade de caber na Bolsa </t>
        </is>
      </c>
      <c r="K568" s="11" t="n"/>
      <c r="L568" s="11" t="n"/>
    </row>
    <row r="569">
      <c r="B569" s="63" t="inlineStr">
        <is>
          <t>Natura</t>
        </is>
      </c>
      <c r="C569" s="77" t="inlineStr">
        <is>
          <t xml:space="preserve">Ilia </t>
        </is>
      </c>
      <c r="D569" s="65" t="inlineStr">
        <is>
          <t>Creme Hidrante Desodorante Perfumado</t>
        </is>
      </c>
      <c r="E569" s="136">
        <f>TRIM(CONCATENATE(D569, " ", C569, " ", F569, " ", IF(G569&gt;0, G569 &amp; "x" &amp; H569, H569), " ", I569))</f>
        <v/>
      </c>
      <c r="F569" s="2" t="inlineStr">
        <is>
          <t xml:space="preserve"> Ser </t>
        </is>
      </c>
      <c r="G569" s="131" t="n"/>
      <c r="H569" s="2" t="inlineStr">
        <is>
          <t xml:space="preserve">80ml </t>
        </is>
      </c>
      <c r="I569" s="31" t="inlineStr">
        <is>
          <t xml:space="preserve">Frasco </t>
        </is>
      </c>
      <c r="J569" s="11" t="inlineStr">
        <is>
          <t xml:space="preserve">Hidrata a pele Naturalmente / Aveludado / prolonga a fragância ainda mais / Praticidade de caber na Bolsa </t>
        </is>
      </c>
      <c r="K569" s="11" t="n"/>
      <c r="L569" s="11" t="n"/>
    </row>
    <row r="570">
      <c r="B570" s="63" t="inlineStr">
        <is>
          <t>Natura</t>
        </is>
      </c>
      <c r="C570" s="77" t="inlineStr">
        <is>
          <t xml:space="preserve">Ilia </t>
        </is>
      </c>
      <c r="D570" s="64" t="inlineStr">
        <is>
          <t xml:space="preserve">Sabonete em Barra </t>
        </is>
      </c>
      <c r="E570" s="136">
        <f>TRIM(CONCATENATE(D570, " ", C570, " ", F570, " ", IF(G570&gt;0, G570 &amp; "x" &amp; H570, H570), " ", I570))</f>
        <v/>
      </c>
      <c r="F570" s="2" t="inlineStr">
        <is>
          <t xml:space="preserve"> Feminino</t>
        </is>
      </c>
      <c r="G570" s="131" t="n">
        <v>2</v>
      </c>
      <c r="H570" s="2" t="inlineStr">
        <is>
          <t xml:space="preserve">90g </t>
        </is>
      </c>
      <c r="I570" s="31" t="inlineStr">
        <is>
          <t xml:space="preserve">Caixa </t>
        </is>
      </c>
      <c r="J570" s="2" t="inlineStr">
        <is>
          <t xml:space="preserve">Agradável sensação / limpa e deixa a pele macia / receber a hidratação exclusiva </t>
        </is>
      </c>
      <c r="K570" s="11" t="n"/>
      <c r="L570" s="11" t="n"/>
    </row>
    <row r="571">
      <c r="B571" s="63" t="inlineStr">
        <is>
          <t>Natura</t>
        </is>
      </c>
      <c r="C571" s="77" t="inlineStr">
        <is>
          <t xml:space="preserve">Ilia </t>
        </is>
      </c>
      <c r="D571" s="64" t="inlineStr">
        <is>
          <t xml:space="preserve">Sabonete em Barra </t>
        </is>
      </c>
      <c r="E571" s="136">
        <f>TRIM(CONCATENATE(D571, " ", C571, " ", F571, " ", IF(G571&gt;0, G571 &amp; "x" &amp; H571, H571), " ", I571))</f>
        <v/>
      </c>
      <c r="F571" s="2" t="inlineStr">
        <is>
          <t xml:space="preserve"> Secreto </t>
        </is>
      </c>
      <c r="G571" s="131" t="n">
        <v>2</v>
      </c>
      <c r="H571" s="2" t="inlineStr">
        <is>
          <t xml:space="preserve">90g </t>
        </is>
      </c>
      <c r="I571" s="31" t="inlineStr">
        <is>
          <t xml:space="preserve">Caixa </t>
        </is>
      </c>
      <c r="J571" s="2" t="inlineStr">
        <is>
          <t xml:space="preserve">Agradável sensação / limpa e deixa a pele macia / receber a hidratação exclusiva </t>
        </is>
      </c>
      <c r="K571" s="11" t="n"/>
      <c r="L571" s="11" t="n"/>
    </row>
    <row r="572">
      <c r="A572" t="inlineStr">
        <is>
          <t>NATBRA-164382</t>
        </is>
      </c>
      <c r="B572" s="63" t="inlineStr">
        <is>
          <t>Natura</t>
        </is>
      </c>
      <c r="C572" s="77" t="inlineStr">
        <is>
          <t xml:space="preserve">Ilia </t>
        </is>
      </c>
      <c r="D572" s="64" t="inlineStr">
        <is>
          <t xml:space="preserve">Sabonete em Barra </t>
        </is>
      </c>
      <c r="E572" s="136">
        <f>TRIM(CONCATENATE(D572, " ", C572, " ", F572, " ", IF(G572&gt;0, G572 &amp; "x" &amp; H572, H572), " ", I572))</f>
        <v/>
      </c>
      <c r="F572" s="2" t="inlineStr">
        <is>
          <t xml:space="preserve"> Sortido </t>
        </is>
      </c>
      <c r="G572" s="131" t="n">
        <v>3</v>
      </c>
      <c r="H572" s="2" t="inlineStr">
        <is>
          <t xml:space="preserve">90g </t>
        </is>
      </c>
      <c r="I572" s="31" t="inlineStr">
        <is>
          <t xml:space="preserve">Caixa </t>
        </is>
      </c>
      <c r="J572" s="2" t="inlineStr">
        <is>
          <t xml:space="preserve">Agradável sensação / limpa e deixa a pele macia / receber a hidratação exclusiva </t>
        </is>
      </c>
      <c r="K572" s="11" t="n"/>
      <c r="L572" s="11" t="n"/>
    </row>
    <row r="573" ht="15" customHeight="1" s="145">
      <c r="B573" s="63" t="inlineStr">
        <is>
          <t>Natura</t>
        </is>
      </c>
      <c r="C573" s="78" t="inlineStr">
        <is>
          <t>Kriska</t>
        </is>
      </c>
      <c r="D573" s="64" t="inlineStr">
        <is>
          <t>Colonia Feminina</t>
        </is>
      </c>
      <c r="E573" s="136">
        <f>TRIM(CONCATENATE(D573, " ", C573, " ", F573, " ", IF(G573&gt;0, G573 &amp; "x" &amp; H573, H573), " ", I573))</f>
        <v/>
      </c>
      <c r="F573" s="124" t="inlineStr">
        <is>
          <t xml:space="preserve"> Drama </t>
        </is>
      </c>
      <c r="G573" s="131" t="n"/>
      <c r="H573" s="2" t="inlineStr">
        <is>
          <t>100ml</t>
        </is>
      </c>
      <c r="I573" s="31" t="inlineStr">
        <is>
          <t xml:space="preserve">Frasco </t>
        </is>
      </c>
      <c r="J573" s="11" t="inlineStr">
        <is>
          <t>adocicada / produto Vegano /  até 8h na pele / ocasiões especiais / intensa / envolvente / Marcar presença / Florais / Adocicadas</t>
        </is>
      </c>
      <c r="K573" s="11" t="n"/>
      <c r="L573" s="11" t="inlineStr">
        <is>
          <t>R$ 159, 90</t>
        </is>
      </c>
    </row>
    <row r="574" ht="15" customHeight="1" s="145">
      <c r="B574" s="63" t="inlineStr">
        <is>
          <t>Natura</t>
        </is>
      </c>
      <c r="C574" s="78" t="inlineStr">
        <is>
          <t>Kriska</t>
        </is>
      </c>
      <c r="D574" s="64" t="inlineStr">
        <is>
          <t>Colonia Feminina</t>
        </is>
      </c>
      <c r="E574" s="136">
        <f>TRIM(CONCATENATE(D574, " ", C574, " ", F574, " ", IF(G574&gt;0, G574 &amp; "x" &amp; H574, H574), " ", I574))</f>
        <v/>
      </c>
      <c r="F574" s="124" t="inlineStr">
        <is>
          <t xml:space="preserve"> Jeans </t>
        </is>
      </c>
      <c r="G574" s="131" t="n"/>
      <c r="H574" s="2" t="inlineStr">
        <is>
          <t>100ml</t>
        </is>
      </c>
      <c r="I574" s="31" t="inlineStr">
        <is>
          <t xml:space="preserve">Frasco </t>
        </is>
      </c>
      <c r="J574" s="11" t="inlineStr">
        <is>
          <t xml:space="preserve"> Adocicada / confortável inspirada na versatilidade do jeans / Combinação feminina de notas doces /  Se misturam ao frescor dos cítricos</t>
        </is>
      </c>
      <c r="K574" s="11" t="n"/>
      <c r="L574" s="11" t="inlineStr">
        <is>
          <t>R$ 159, 90</t>
        </is>
      </c>
    </row>
    <row r="575" ht="15" customHeight="1" s="145">
      <c r="B575" s="63" t="inlineStr">
        <is>
          <t>Natura</t>
        </is>
      </c>
      <c r="C575" s="78" t="inlineStr">
        <is>
          <t>Kriska</t>
        </is>
      </c>
      <c r="D575" s="64" t="inlineStr">
        <is>
          <t>Colonia Feminina</t>
        </is>
      </c>
      <c r="E575" s="136">
        <f>TRIM(CONCATENATE(D575, " ", C575, " ", F575, " ", IF(G575&gt;0, G575 &amp; "x" &amp; H575, H575), " ", I575))</f>
        <v/>
      </c>
      <c r="F575" s="121" t="inlineStr">
        <is>
          <t xml:space="preserve"> Feminino</t>
        </is>
      </c>
      <c r="G575" s="131" t="n"/>
      <c r="H575" s="2" t="inlineStr">
        <is>
          <t>100ml</t>
        </is>
      </c>
      <c r="I575" s="31" t="inlineStr">
        <is>
          <t xml:space="preserve">Frasco </t>
        </is>
      </c>
      <c r="J575" s="11" t="inlineStr">
        <is>
          <t xml:space="preserve">Doçura das notas de baunilha com o marcante das madeiras / Equilibram delicadeza e confiança / Equilibram delicadeza e confiança </t>
        </is>
      </c>
      <c r="K575" s="11" t="n"/>
      <c r="L575" s="11" t="inlineStr">
        <is>
          <t>R$ 159, 90</t>
        </is>
      </c>
    </row>
    <row r="576" ht="15" customHeight="1" s="145">
      <c r="B576" s="63" t="inlineStr">
        <is>
          <t>Natura</t>
        </is>
      </c>
      <c r="C576" s="78" t="inlineStr">
        <is>
          <t>Kriska</t>
        </is>
      </c>
      <c r="D576" s="64" t="inlineStr">
        <is>
          <t>Colonia Feminina</t>
        </is>
      </c>
      <c r="E576" s="136">
        <f>TRIM(CONCATENATE(D576, " ", C576, " ", F576, " ", IF(G576&gt;0, G576 &amp; "x" &amp; H576, H576), " ", I576))</f>
        <v/>
      </c>
      <c r="F576" s="121" t="inlineStr">
        <is>
          <t xml:space="preserve"> Romance </t>
        </is>
      </c>
      <c r="G576" s="131" t="n"/>
      <c r="H576" s="2" t="inlineStr">
        <is>
          <t>100ml</t>
        </is>
      </c>
      <c r="I576" s="31" t="inlineStr">
        <is>
          <t xml:space="preserve">Frasco </t>
        </is>
      </c>
      <c r="J576" s="11" t="inlineStr">
        <is>
          <t>Adocicado/ Romance / Dia a dia Para Sair / Adocicadas inspiradas nas nuances do chocolate rosa / Criação autêntica / Moderna</t>
        </is>
      </c>
      <c r="K576" s="11" t="n"/>
      <c r="L576" s="11" t="inlineStr">
        <is>
          <t>R$ 159, 90</t>
        </is>
      </c>
    </row>
    <row r="577" ht="15" customHeight="1" s="145">
      <c r="B577" s="63" t="inlineStr">
        <is>
          <t>Natura</t>
        </is>
      </c>
      <c r="C577" s="78" t="inlineStr">
        <is>
          <t>Kriska</t>
        </is>
      </c>
      <c r="D577" s="64" t="inlineStr">
        <is>
          <t>Colonia Feminina</t>
        </is>
      </c>
      <c r="E577" s="136">
        <f>TRIM(CONCATENATE(D577, " ", C577, " ", F577, " ", IF(G577&gt;0, G577 &amp; "x" &amp; H577, H577), " ", I577))</f>
        <v/>
      </c>
      <c r="F577" s="2" t="inlineStr">
        <is>
          <t xml:space="preserve"> Shock</t>
        </is>
      </c>
      <c r="G577" s="131" t="n"/>
      <c r="H577" s="2" t="inlineStr">
        <is>
          <t>100ml</t>
        </is>
      </c>
      <c r="I577" s="31" t="inlineStr">
        <is>
          <t xml:space="preserve">Frasco </t>
        </is>
      </c>
      <c r="J577" s="11" t="inlineStr">
        <is>
          <t>Vibrante / Envolvente / Mistura a doçura do caramelo / Baunilha / Algodão-doce com os toques frutados de pimenta-rosa / frutas vermelhas</t>
        </is>
      </c>
      <c r="K577" s="11" t="n"/>
      <c r="L577" s="11" t="inlineStr">
        <is>
          <t>R$ 159, 90</t>
        </is>
      </c>
    </row>
    <row r="578" ht="15" customHeight="1" s="145">
      <c r="B578" s="63" t="inlineStr">
        <is>
          <t>Natura</t>
        </is>
      </c>
      <c r="C578" s="78" t="inlineStr">
        <is>
          <t>Kriska</t>
        </is>
      </c>
      <c r="D578" s="64" t="inlineStr">
        <is>
          <t xml:space="preserve">Sabonete em Barra </t>
        </is>
      </c>
      <c r="E578" s="136">
        <f>TRIM(CONCATENATE(D578, " ", C578, " ", F578, " ", IF(G578&gt;0, G578 &amp; "x" &amp; H578, H578), " ", I578))</f>
        <v/>
      </c>
      <c r="F578" s="124" t="inlineStr">
        <is>
          <t xml:space="preserve"> Jeans </t>
        </is>
      </c>
      <c r="G578" s="131" t="n">
        <v>2</v>
      </c>
      <c r="H578" s="131" t="inlineStr">
        <is>
          <t xml:space="preserve">90g </t>
        </is>
      </c>
      <c r="I578" s="31" t="inlineStr">
        <is>
          <t xml:space="preserve">Caixa </t>
        </is>
      </c>
      <c r="J578" s="2" t="inlineStr">
        <is>
          <t xml:space="preserve">Agradável sensação / limpa e deixa a pele macia / receber a hidratação exclusiva </t>
        </is>
      </c>
      <c r="K578" s="11" t="n"/>
      <c r="L578" s="11" t="n"/>
    </row>
    <row r="579" ht="15" customHeight="1" s="145">
      <c r="B579" s="63" t="inlineStr">
        <is>
          <t>Natura</t>
        </is>
      </c>
      <c r="C579" s="78" t="inlineStr">
        <is>
          <t>Kriska</t>
        </is>
      </c>
      <c r="D579" s="64" t="inlineStr">
        <is>
          <t xml:space="preserve">Sabonete em Barra </t>
        </is>
      </c>
      <c r="E579" s="136">
        <f>TRIM(CONCATENATE(D579, " ", C579, " ", F579, " ", IF(G579&gt;0, G579 &amp; "x" &amp; H579, H579), " ", I579))</f>
        <v/>
      </c>
      <c r="F579" s="121" t="inlineStr">
        <is>
          <t xml:space="preserve"> Feminino</t>
        </is>
      </c>
      <c r="G579" s="131" t="n">
        <v>1</v>
      </c>
      <c r="H579" s="131" t="inlineStr">
        <is>
          <t xml:space="preserve">90g </t>
        </is>
      </c>
      <c r="I579" s="31" t="inlineStr">
        <is>
          <t xml:space="preserve">Caixa </t>
        </is>
      </c>
      <c r="J579" s="2" t="inlineStr">
        <is>
          <t xml:space="preserve">Agradável sensação / limpa e deixa a pele macia / receber a hidratação exclusiva </t>
        </is>
      </c>
      <c r="K579" s="11" t="n"/>
      <c r="L579" s="11" t="n"/>
    </row>
    <row r="580" ht="15" customFormat="1" customHeight="1" s="10">
      <c r="B580" s="63" t="inlineStr">
        <is>
          <t>Natura</t>
        </is>
      </c>
      <c r="C580" s="78" t="inlineStr">
        <is>
          <t>Kriska</t>
        </is>
      </c>
      <c r="D580" s="100" t="inlineStr">
        <is>
          <t xml:space="preserve">Sabonete Liquido </t>
        </is>
      </c>
      <c r="E580" s="136">
        <f>TRIM(CONCATENATE(D580, " ", C580, " ", F580, " ", IF(G580&gt;0, G580 &amp; "x" &amp; H580, H580), " ", I580))</f>
        <v/>
      </c>
      <c r="F580" s="124" t="inlineStr">
        <is>
          <t xml:space="preserve"> Drama </t>
        </is>
      </c>
      <c r="G580" s="131" t="n"/>
      <c r="H580" s="54" t="inlineStr">
        <is>
          <t xml:space="preserve">125ml </t>
        </is>
      </c>
      <c r="I580" s="36" t="inlineStr">
        <is>
          <t xml:space="preserve">Frasco </t>
        </is>
      </c>
      <c r="J580" s="9" t="inlineStr">
        <is>
          <t>notas de baunilha se mistura a uma combinação / marcante de madeiras / Partículas iluminadoras que deixam a pele iluminada</t>
        </is>
      </c>
      <c r="K580" s="191" t="n"/>
      <c r="L580" s="191" t="n">
        <v>40</v>
      </c>
    </row>
    <row r="581" ht="15" customFormat="1" customHeight="1" s="10">
      <c r="B581" s="63" t="inlineStr">
        <is>
          <t>Natura</t>
        </is>
      </c>
      <c r="C581" s="78" t="inlineStr">
        <is>
          <t>Kriska</t>
        </is>
      </c>
      <c r="D581" s="100" t="inlineStr">
        <is>
          <t xml:space="preserve">Sabonete Liquido </t>
        </is>
      </c>
      <c r="E581" s="136">
        <f>TRIM(CONCATENATE(D581, " ", C581, " ", F581, " ", IF(G581&gt;0, G581 &amp; "x" &amp; H581, H581), " ", I581))</f>
        <v/>
      </c>
      <c r="F581" s="121" t="inlineStr">
        <is>
          <t xml:space="preserve"> Feminino</t>
        </is>
      </c>
      <c r="G581" s="131" t="n"/>
      <c r="H581" s="54" t="inlineStr">
        <is>
          <t xml:space="preserve">125ml </t>
        </is>
      </c>
      <c r="I581" s="36" t="inlineStr">
        <is>
          <t xml:space="preserve">Frasco </t>
        </is>
      </c>
      <c r="J581" s="9" t="inlineStr">
        <is>
          <t>notas de baunilha se mistura a uma combinação / marcante de madeiras / Partículas iluminadoras que deixam a pele iluminada</t>
        </is>
      </c>
      <c r="K581" s="191" t="n"/>
      <c r="L581" s="191" t="n">
        <v>40</v>
      </c>
    </row>
    <row r="582" ht="15" customFormat="1" customHeight="1" s="10">
      <c r="B582" s="63" t="inlineStr">
        <is>
          <t>Natura</t>
        </is>
      </c>
      <c r="C582" s="78" t="inlineStr">
        <is>
          <t>Kriska</t>
        </is>
      </c>
      <c r="D582" s="68" t="inlineStr">
        <is>
          <t>Hidratante Corporal Perfumado</t>
        </is>
      </c>
      <c r="E582" s="136">
        <f>TRIM(CONCATENATE(D582, " ", C582, " ", F582, " ", IF(G582&gt;0, G582 &amp; "x" &amp; H582, H582), " ", I582))</f>
        <v/>
      </c>
      <c r="F582" s="124" t="inlineStr">
        <is>
          <t xml:space="preserve"> Drama </t>
        </is>
      </c>
      <c r="G582" s="131" t="n"/>
      <c r="H582" s="54" t="inlineStr">
        <is>
          <t xml:space="preserve">125ml </t>
        </is>
      </c>
      <c r="I582" s="36" t="inlineStr">
        <is>
          <t xml:space="preserve">Frasco </t>
        </is>
      </c>
      <c r="J582" s="11" t="inlineStr">
        <is>
          <t xml:space="preserve">Hidrata a pele Naturalmente / Aveludado / prolonga a fragância ainda mais / Praticidade de caber na Bolsa </t>
        </is>
      </c>
      <c r="K582" s="11" t="n"/>
      <c r="L582" s="11" t="n"/>
    </row>
    <row r="583" ht="15" customFormat="1" customHeight="1" s="10">
      <c r="B583" s="63" t="inlineStr">
        <is>
          <t>Natura</t>
        </is>
      </c>
      <c r="C583" s="78" t="inlineStr">
        <is>
          <t>Kriska</t>
        </is>
      </c>
      <c r="D583" s="68" t="inlineStr">
        <is>
          <t>Hidratante Corporal Perfumado</t>
        </is>
      </c>
      <c r="E583" s="136">
        <f>TRIM(CONCATENATE(D583, " ", C583, " ", F583, " ", IF(G583&gt;0, G583 &amp; "x" &amp; H583, H583), " ", I583))</f>
        <v/>
      </c>
      <c r="F583" s="124" t="inlineStr">
        <is>
          <t xml:space="preserve"> Jeans </t>
        </is>
      </c>
      <c r="G583" s="131" t="n"/>
      <c r="H583" s="54" t="inlineStr">
        <is>
          <t xml:space="preserve">125ml </t>
        </is>
      </c>
      <c r="I583" s="36" t="inlineStr">
        <is>
          <t xml:space="preserve">Frasco </t>
        </is>
      </c>
      <c r="J583" s="11" t="inlineStr">
        <is>
          <t xml:space="preserve">Hidrata a pele Naturalmente / Aveludado / prolonga a fragância ainda mais / Praticidade de caber na Bolsa </t>
        </is>
      </c>
      <c r="K583" s="11" t="n"/>
      <c r="L583" s="11" t="n"/>
    </row>
    <row r="584" ht="15" customFormat="1" customHeight="1" s="10">
      <c r="B584" s="63" t="inlineStr">
        <is>
          <t>Natura</t>
        </is>
      </c>
      <c r="C584" s="78" t="inlineStr">
        <is>
          <t>Kriska</t>
        </is>
      </c>
      <c r="D584" s="68" t="inlineStr">
        <is>
          <t>Hidratante Corporal Perfumado</t>
        </is>
      </c>
      <c r="E584" s="136">
        <f>TRIM(CONCATENATE(D584, " ", C584, " ", F584, " ", IF(G584&gt;0, G584 &amp; "x" &amp; H584, H584), " ", I584))</f>
        <v/>
      </c>
      <c r="F584" s="121" t="inlineStr">
        <is>
          <t xml:space="preserve"> Feminino</t>
        </is>
      </c>
      <c r="G584" s="131" t="n"/>
      <c r="H584" s="54" t="inlineStr">
        <is>
          <t xml:space="preserve">125ml </t>
        </is>
      </c>
      <c r="I584" s="36" t="inlineStr">
        <is>
          <t xml:space="preserve">Frasco </t>
        </is>
      </c>
      <c r="J584" s="11" t="inlineStr">
        <is>
          <t xml:space="preserve">Hidrata a pele Naturalmente / Aveludado / prolonga a fragância ainda mais / Praticidade de caber na Bolsa </t>
        </is>
      </c>
      <c r="K584" s="11" t="n"/>
      <c r="L584" s="11" t="n"/>
    </row>
    <row r="585" ht="15" customFormat="1" customHeight="1" s="10">
      <c r="B585" s="63" t="inlineStr">
        <is>
          <t>Natura</t>
        </is>
      </c>
      <c r="C585" s="78" t="inlineStr">
        <is>
          <t>Kriska</t>
        </is>
      </c>
      <c r="D585" s="68" t="inlineStr">
        <is>
          <t>Hidratante Corporal Perfumado</t>
        </is>
      </c>
      <c r="E585" s="136">
        <f>TRIM(CONCATENATE(D585, " ", C585, " ", F585, " ", IF(G585&gt;0, G585 &amp; "x" &amp; H585, H585), " ", I585))</f>
        <v/>
      </c>
      <c r="F585" s="2" t="inlineStr">
        <is>
          <t xml:space="preserve"> Shock</t>
        </is>
      </c>
      <c r="G585" s="131" t="n"/>
      <c r="H585" s="54" t="inlineStr">
        <is>
          <t xml:space="preserve">125ml </t>
        </is>
      </c>
      <c r="I585" s="36" t="inlineStr">
        <is>
          <t xml:space="preserve">Frasco </t>
        </is>
      </c>
      <c r="J585" s="11" t="inlineStr">
        <is>
          <t xml:space="preserve">Hidrata a pele Naturalmente / Aveludado / prolonga a fragância ainda mais / Praticidade de caber na Bolsa </t>
        </is>
      </c>
      <c r="K585" s="11" t="n"/>
      <c r="L585" s="11" t="n"/>
    </row>
    <row r="586" ht="15" customFormat="1" customHeight="1" s="10">
      <c r="B586" s="63" t="inlineStr">
        <is>
          <t>Natura</t>
        </is>
      </c>
      <c r="C586" s="78" t="inlineStr">
        <is>
          <t>Kriska</t>
        </is>
      </c>
      <c r="D586" s="68" t="inlineStr">
        <is>
          <t xml:space="preserve">Oleo Corporal </t>
        </is>
      </c>
      <c r="E586" s="136">
        <f>TRIM(CONCATENATE(D586, " ", C586, " ", F586, " ", IF(G586&gt;0, G586 &amp; "x" &amp; H586, H586), " ", I586))</f>
        <v/>
      </c>
      <c r="F586" s="2" t="inlineStr">
        <is>
          <t xml:space="preserve"> Shock</t>
        </is>
      </c>
      <c r="G586" s="131" t="n"/>
      <c r="H586" s="9" t="inlineStr">
        <is>
          <t xml:space="preserve">150ml </t>
        </is>
      </c>
      <c r="I586" s="36" t="inlineStr">
        <is>
          <t xml:space="preserve">Frasco </t>
        </is>
      </c>
      <c r="J586" s="9" t="inlineStr">
        <is>
          <t>Hidrata / Perfuma a pele com o adocicado marcante de Kriska /  surpreendente / autêntica / Pele hidratada / macia / intensifica</t>
        </is>
      </c>
      <c r="K586" s="20" t="n"/>
      <c r="L586" s="20" t="inlineStr">
        <is>
          <t xml:space="preserve">R$ 51, 90 </t>
        </is>
      </c>
    </row>
    <row r="587" ht="15" customHeight="1" s="145">
      <c r="B587" s="63" t="inlineStr">
        <is>
          <t>Natura</t>
        </is>
      </c>
      <c r="C587" s="78" t="inlineStr">
        <is>
          <t>Kriska</t>
        </is>
      </c>
      <c r="D587" s="64" t="inlineStr">
        <is>
          <t>Desodorante Corporal Perfumado</t>
        </is>
      </c>
      <c r="E587" s="136">
        <f>TRIM(CONCATENATE(D587, " ", C587, " ", F587, " ", IF(G587&gt;0, G587 &amp; "x" &amp; H587, H587), " ", I587))</f>
        <v/>
      </c>
      <c r="F587" s="124" t="inlineStr">
        <is>
          <t xml:space="preserve"> Drama </t>
        </is>
      </c>
      <c r="G587" s="131" t="n"/>
      <c r="H587" s="2" t="inlineStr">
        <is>
          <t xml:space="preserve">100ml </t>
        </is>
      </c>
      <c r="I587" s="31" t="inlineStr">
        <is>
          <t xml:space="preserve">Frasco </t>
        </is>
      </c>
      <c r="J587" s="11" t="inlineStr">
        <is>
          <t>Fragrância com alta proteção até 24h / Cuida da pele com ativos naturais / Tem tecnologia invisível</t>
        </is>
      </c>
      <c r="K587" s="11" t="n"/>
      <c r="L587" s="11" t="inlineStr">
        <is>
          <t>R$ 62, 90</t>
        </is>
      </c>
    </row>
    <row r="588" ht="15" customHeight="1" s="145">
      <c r="B588" s="63" t="inlineStr">
        <is>
          <t>Natura</t>
        </is>
      </c>
      <c r="C588" s="78" t="inlineStr">
        <is>
          <t>Kriska</t>
        </is>
      </c>
      <c r="D588" s="64" t="inlineStr">
        <is>
          <t>Desodorante Corporal Perfumado</t>
        </is>
      </c>
      <c r="E588" s="136">
        <f>TRIM(CONCATENATE(D588, " ", C588, " ", F588, " ", IF(G588&gt;0, G588 &amp; "x" &amp; H588, H588), " ", I588))</f>
        <v/>
      </c>
      <c r="F588" s="124" t="inlineStr">
        <is>
          <t xml:space="preserve"> Drama </t>
        </is>
      </c>
      <c r="G588" s="131" t="n"/>
      <c r="H588" s="2" t="inlineStr">
        <is>
          <t xml:space="preserve">100ml </t>
        </is>
      </c>
      <c r="I588" s="31" t="inlineStr">
        <is>
          <t xml:space="preserve">Frasco </t>
        </is>
      </c>
      <c r="J588" s="11" t="inlineStr">
        <is>
          <t>Fragrância com alta proteção até 24h / Cuida da pele com ativos naturais / Tem tecnologia invisível</t>
        </is>
      </c>
      <c r="K588" s="11" t="n"/>
      <c r="L588" s="11" t="inlineStr">
        <is>
          <t>R$ 62, 90</t>
        </is>
      </c>
    </row>
    <row r="589" ht="15" customHeight="1" s="145">
      <c r="B589" s="63" t="inlineStr">
        <is>
          <t>Natura</t>
        </is>
      </c>
      <c r="C589" s="78" t="inlineStr">
        <is>
          <t>Kriska</t>
        </is>
      </c>
      <c r="D589" s="64" t="inlineStr">
        <is>
          <t>Desodorante Corporal Perfumado</t>
        </is>
      </c>
      <c r="E589" s="136">
        <f>TRIM(CONCATENATE(D589, " ", C589, " ", F589, " ", IF(G589&gt;0, G589 &amp; "x" &amp; H589, H589), " ", I589))</f>
        <v/>
      </c>
      <c r="F589" s="121" t="inlineStr">
        <is>
          <t xml:space="preserve"> Feminino</t>
        </is>
      </c>
      <c r="G589" s="131" t="n"/>
      <c r="H589" s="2" t="inlineStr">
        <is>
          <t xml:space="preserve">100ml </t>
        </is>
      </c>
      <c r="I589" s="31" t="inlineStr">
        <is>
          <t xml:space="preserve">Frasco </t>
        </is>
      </c>
      <c r="J589" s="11" t="inlineStr">
        <is>
          <t>Fragrância com alta proteção até 24h / Cuida da pele com ativos naturais / Tem tecnologia invisível</t>
        </is>
      </c>
      <c r="K589" s="11" t="n"/>
      <c r="L589" s="11" t="inlineStr">
        <is>
          <t>R$ 62, 90</t>
        </is>
      </c>
    </row>
    <row r="590" ht="15" customHeight="1" s="145">
      <c r="B590" s="63" t="inlineStr">
        <is>
          <t>Natura</t>
        </is>
      </c>
      <c r="C590" s="78" t="inlineStr">
        <is>
          <t>Kriska</t>
        </is>
      </c>
      <c r="D590" s="64" t="inlineStr">
        <is>
          <t>Desodorante Corporal Perfumado</t>
        </is>
      </c>
      <c r="E590" s="136">
        <f>TRIM(CONCATENATE(D590, " ", C590, " ", F590, " ", IF(G590&gt;0, G590 &amp; "x" &amp; H590, H590), " ", I590))</f>
        <v/>
      </c>
      <c r="F590" s="2" t="inlineStr">
        <is>
          <t>Shock</t>
        </is>
      </c>
      <c r="G590" s="131" t="n"/>
      <c r="H590" s="2" t="inlineStr">
        <is>
          <t xml:space="preserve">100ml </t>
        </is>
      </c>
      <c r="I590" s="31" t="inlineStr">
        <is>
          <t xml:space="preserve">Frasco </t>
        </is>
      </c>
      <c r="J590" s="11" t="inlineStr">
        <is>
          <t>Fragrância com alta proteção até 24h / Cuida da pele com ativos naturais / Tem tecnologia invisível</t>
        </is>
      </c>
      <c r="K590" s="11" t="n"/>
      <c r="L590" s="11" t="inlineStr">
        <is>
          <t>R$ 62, 90</t>
        </is>
      </c>
    </row>
    <row r="591" ht="15" customHeight="1" s="145">
      <c r="A591" t="inlineStr">
        <is>
          <t>NATBRA-116779</t>
        </is>
      </c>
      <c r="B591" s="63" t="inlineStr">
        <is>
          <t>Natura</t>
        </is>
      </c>
      <c r="C591" s="79" t="inlineStr">
        <is>
          <t>Homem</t>
        </is>
      </c>
      <c r="D591" s="65" t="inlineStr">
        <is>
          <t>Deo Parfum</t>
        </is>
      </c>
      <c r="E591" s="136">
        <f>TRIM(CONCATENATE(D591, " ", C591, " ", F591, " ", IF(G591&gt;0, G591 &amp; "x" &amp; H591, H591), " ", I591))</f>
        <v/>
      </c>
      <c r="F591" s="2" t="inlineStr">
        <is>
          <t xml:space="preserve"> Essence </t>
        </is>
      </c>
      <c r="G591" s="131" t="n"/>
      <c r="H591" s="2" t="inlineStr">
        <is>
          <t xml:space="preserve">25ml </t>
        </is>
      </c>
      <c r="I591" s="31" t="inlineStr">
        <is>
          <t>Miniatura</t>
        </is>
      </c>
      <c r="J591" s="124" t="inlineStr">
        <is>
          <t>únicas / elegantes / refletem a personalidade /  especiais para todas as ocasiões</t>
        </is>
      </c>
      <c r="K591" s="2" t="n"/>
      <c r="L591" s="2" t="inlineStr">
        <is>
          <t>R$ 80, 30</t>
        </is>
      </c>
    </row>
    <row r="592" ht="15" customHeight="1" s="145">
      <c r="B592" s="63" t="inlineStr">
        <is>
          <t>Natura</t>
        </is>
      </c>
      <c r="C592" s="79" t="inlineStr">
        <is>
          <t>Homem</t>
        </is>
      </c>
      <c r="D592" s="65" t="inlineStr">
        <is>
          <t>Deo Parfum</t>
        </is>
      </c>
      <c r="E592" s="136">
        <f>TRIM(CONCATENATE(D592, " ", C592, " ", F592, " ", IF(G592&gt;0, G592 &amp; "x" &amp; H592, H592), " ", I592))</f>
        <v/>
      </c>
      <c r="F592" s="2" t="inlineStr">
        <is>
          <t xml:space="preserve"> Meninos Infantil</t>
        </is>
      </c>
      <c r="G592" s="131" t="n"/>
      <c r="H592" s="94" t="inlineStr">
        <is>
          <t xml:space="preserve">25ml </t>
        </is>
      </c>
      <c r="I592" s="31" t="inlineStr">
        <is>
          <t>Miniatura</t>
        </is>
      </c>
      <c r="J592" s="2" t="inlineStr">
        <is>
          <t>Amadeirada que celebra o encontro de geraçõe/  Agrada aos mais diversos meninos e faz uma homenagem à conexão entre pais e filhos / Aromático do poejo</t>
        </is>
      </c>
      <c r="K592" s="2" t="n"/>
      <c r="L592" s="2" t="inlineStr">
        <is>
          <t>R$ 80, 30</t>
        </is>
      </c>
    </row>
    <row r="593" ht="15" customHeight="1" s="145">
      <c r="B593" s="63" t="inlineStr">
        <is>
          <t>Natura</t>
        </is>
      </c>
      <c r="C593" s="79" t="inlineStr">
        <is>
          <t>Homem</t>
        </is>
      </c>
      <c r="D593" s="65" t="inlineStr">
        <is>
          <t>Deo Parfum</t>
        </is>
      </c>
      <c r="E593" s="136">
        <f>TRIM(CONCATENATE(D593, " ", C593, " ", F593, " ", IF(G593&gt;0, G593 &amp; "x" &amp; H593, H593), " ", I593))</f>
        <v/>
      </c>
      <c r="F593" s="2" t="inlineStr">
        <is>
          <t xml:space="preserve"> Aromaticos </t>
        </is>
      </c>
      <c r="G593" s="131" t="n"/>
      <c r="H593" s="2" t="inlineStr">
        <is>
          <t xml:space="preserve">100ml </t>
        </is>
      </c>
      <c r="I593" s="31" t="inlineStr">
        <is>
          <t xml:space="preserve">Frasco </t>
        </is>
      </c>
      <c r="J593" s="2" t="inlineStr">
        <is>
          <t xml:space="preserve">Vive uma rotina intensa / refrescância com um fundo amadeirado / edição limitada </t>
        </is>
      </c>
      <c r="K593" s="2" t="n"/>
      <c r="L593" s="2" t="inlineStr">
        <is>
          <t>R$ 229, 90</t>
        </is>
      </c>
    </row>
    <row r="594" ht="15" customHeight="1" s="145">
      <c r="B594" s="63" t="inlineStr">
        <is>
          <t>Natura</t>
        </is>
      </c>
      <c r="C594" s="79" t="inlineStr">
        <is>
          <t>Homem</t>
        </is>
      </c>
      <c r="D594" s="65" t="inlineStr">
        <is>
          <t>Deo Parfum</t>
        </is>
      </c>
      <c r="E594" s="136">
        <f>TRIM(CONCATENATE(D594, " ", C594, " ", F594, " ", IF(G594&gt;0, G594 &amp; "x" &amp; H594, H594), " ", I594))</f>
        <v/>
      </c>
      <c r="F594" s="2" t="inlineStr">
        <is>
          <t xml:space="preserve">  Dom </t>
        </is>
      </c>
      <c r="G594" s="131" t="n"/>
      <c r="H594" s="2" t="inlineStr">
        <is>
          <t xml:space="preserve">100ml </t>
        </is>
      </c>
      <c r="I594" s="31" t="inlineStr">
        <is>
          <t xml:space="preserve">Frasco </t>
        </is>
      </c>
      <c r="J594" s="2" t="inlineStr">
        <is>
          <t xml:space="preserve">Sofisticada e marcante / inspirada no poder da liderança / amadeiradas e especiadas / expressar sua força e elegância todo momento </t>
        </is>
      </c>
      <c r="K594" s="2" t="n"/>
      <c r="L594" s="2" t="inlineStr">
        <is>
          <t>R$ 229, 90</t>
        </is>
      </c>
    </row>
    <row r="595" ht="15" customHeight="1" s="145">
      <c r="B595" s="63" t="inlineStr">
        <is>
          <t>Natura</t>
        </is>
      </c>
      <c r="C595" s="79" t="inlineStr">
        <is>
          <t>Homem</t>
        </is>
      </c>
      <c r="D595" s="65" t="inlineStr">
        <is>
          <t>Deo Parfum</t>
        </is>
      </c>
      <c r="E595" s="136">
        <f>TRIM(CONCATENATE(D595, " ", C595, " ", F595, " ", IF(G595&gt;0, G595 &amp; "x" &amp; H595, H595), " ", I595))</f>
        <v/>
      </c>
      <c r="F595" s="21" t="inlineStr">
        <is>
          <t xml:space="preserve"> Elo </t>
        </is>
      </c>
      <c r="G595" s="131" t="n"/>
      <c r="H595" s="2" t="inlineStr">
        <is>
          <t xml:space="preserve">100ml </t>
        </is>
      </c>
      <c r="I595" s="31" t="inlineStr">
        <is>
          <t xml:space="preserve">Frasco </t>
        </is>
      </c>
      <c r="J595" s="2" t="inlineStr">
        <is>
          <t xml:space="preserve"> Duradoura / intensa / homens autênticos / valorizam combinações surpreendentes / Frescas de lavanda branca / estoraque se unem à força amadeirada do vetiver / toque de pimenta-preta</t>
        </is>
      </c>
      <c r="K595" s="2" t="n"/>
      <c r="L595" s="2" t="inlineStr">
        <is>
          <t>R$ 229, 90</t>
        </is>
      </c>
    </row>
    <row r="596" ht="15" customHeight="1" s="145">
      <c r="B596" s="63" t="inlineStr">
        <is>
          <t>Natura</t>
        </is>
      </c>
      <c r="C596" s="79" t="inlineStr">
        <is>
          <t>Homem</t>
        </is>
      </c>
      <c r="D596" s="65" t="inlineStr">
        <is>
          <t>Deo Parfum</t>
        </is>
      </c>
      <c r="E596" s="136">
        <f>TRIM(CONCATENATE(D596, " ", C596, " ", F596, " ", IF(G596&gt;0, G596 &amp; "x" &amp; H596, H596), " ", I596))</f>
        <v/>
      </c>
      <c r="F596" s="2" t="inlineStr">
        <is>
          <t xml:space="preserve"> Essence </t>
        </is>
      </c>
      <c r="G596" s="131" t="n"/>
      <c r="H596" s="2" t="inlineStr">
        <is>
          <t xml:space="preserve">100ml </t>
        </is>
      </c>
      <c r="I596" s="31" t="inlineStr">
        <is>
          <t xml:space="preserve">Frasco </t>
        </is>
      </c>
      <c r="J596" s="2" t="inlineStr">
        <is>
          <t>Únicas / elegantes / refletem a personalidade /  especiais para todas as ocasiões</t>
        </is>
      </c>
      <c r="K596" s="2" t="n"/>
      <c r="L596" s="2" t="inlineStr">
        <is>
          <t>R$ 229, 90</t>
        </is>
      </c>
    </row>
    <row r="597" ht="15" customHeight="1" s="145">
      <c r="B597" s="63" t="inlineStr">
        <is>
          <t>Natura</t>
        </is>
      </c>
      <c r="C597" s="79" t="inlineStr">
        <is>
          <t>Homem</t>
        </is>
      </c>
      <c r="D597" s="65" t="inlineStr">
        <is>
          <t>Deo Parfum</t>
        </is>
      </c>
      <c r="E597" s="136">
        <f>TRIM(CONCATENATE(D597, " ", C597, " ", F597, " ", IF(G597&gt;0, G597 &amp; "x" &amp; H597, H597), " ", I597))</f>
        <v/>
      </c>
      <c r="F597" s="137" t="inlineStr">
        <is>
          <t>Masculino</t>
        </is>
      </c>
      <c r="G597" s="131" t="n"/>
      <c r="H597" s="2" t="inlineStr">
        <is>
          <t xml:space="preserve">100ml </t>
        </is>
      </c>
      <c r="I597" s="31" t="inlineStr">
        <is>
          <t xml:space="preserve">Frasco </t>
        </is>
      </c>
      <c r="J597" s="2" t="inlineStr">
        <is>
          <t>Únicas e elegantes que refletem a personalidade de cada homem / únicos e especiais para todas as ocasiões / prolongada / Madeiras quentes / desperta e renova</t>
        </is>
      </c>
      <c r="K597" s="2" t="n"/>
      <c r="L597" s="2" t="inlineStr">
        <is>
          <t>R$ 229, 90</t>
        </is>
      </c>
    </row>
    <row r="598" ht="15" customHeight="1" s="145">
      <c r="B598" s="63" t="inlineStr">
        <is>
          <t>Natura</t>
        </is>
      </c>
      <c r="C598" s="79" t="inlineStr">
        <is>
          <t>Homem</t>
        </is>
      </c>
      <c r="D598" s="65" t="inlineStr">
        <is>
          <t>Deo Parfum</t>
        </is>
      </c>
      <c r="E598" s="136">
        <f>TRIM(CONCATENATE(D598, " ", C598, " ", F598, " ", IF(G598&gt;0, G598 &amp; "x" &amp; H598, H598), " ", I598))</f>
        <v/>
      </c>
      <c r="F598" s="137" t="inlineStr">
        <is>
          <t xml:space="preserve"> Madeira </t>
        </is>
      </c>
      <c r="G598" s="131" t="n"/>
      <c r="H598" s="2" t="inlineStr">
        <is>
          <t xml:space="preserve">100ml </t>
        </is>
      </c>
      <c r="I598" s="31" t="inlineStr">
        <is>
          <t xml:space="preserve">Frasco </t>
        </is>
      </c>
      <c r="J598" s="2" t="inlineStr">
        <is>
          <t>Madeiras vetiver / cedro / cashmeran / com âmbar / especiarias frias / cardamomo / gengibre / toque de frescor à fragrância</t>
        </is>
      </c>
      <c r="K598" s="2" t="n"/>
      <c r="L598" s="2" t="inlineStr">
        <is>
          <t>R$ 229, 90</t>
        </is>
      </c>
    </row>
    <row r="599" ht="15" customHeight="1" s="145">
      <c r="B599" s="63" t="inlineStr">
        <is>
          <t>Natura</t>
        </is>
      </c>
      <c r="C599" s="79" t="inlineStr">
        <is>
          <t>Homem</t>
        </is>
      </c>
      <c r="D599" s="65" t="inlineStr">
        <is>
          <t>Deo Parfum</t>
        </is>
      </c>
      <c r="E599" s="136">
        <f>TRIM(CONCATENATE(D599, " ", C599, " ", F599, " ", IF(G599&gt;0, G599 &amp; "x" &amp; H599, H599), " ", I599))</f>
        <v/>
      </c>
      <c r="F599" s="2" t="inlineStr">
        <is>
          <t xml:space="preserve"> Nós </t>
        </is>
      </c>
      <c r="G599" s="131" t="n"/>
      <c r="H599" s="2" t="inlineStr">
        <is>
          <t xml:space="preserve">100ml </t>
        </is>
      </c>
      <c r="I599" s="31" t="inlineStr">
        <is>
          <t xml:space="preserve">Frasco </t>
        </is>
      </c>
      <c r="J599" s="2" t="inlineStr">
        <is>
          <t xml:space="preserve"> Vívida para ocasiões memoráveis / amadeiradas e contagiantes / a combinação de cumaru que se complementa com o toque inesperada da íris</t>
        </is>
      </c>
      <c r="K599" s="2" t="n"/>
      <c r="L599" s="2" t="inlineStr">
        <is>
          <t>R$ 229, 90</t>
        </is>
      </c>
    </row>
    <row r="600" ht="15" customHeight="1" s="145">
      <c r="B600" s="63" t="inlineStr">
        <is>
          <t>Natura</t>
        </is>
      </c>
      <c r="C600" s="79" t="inlineStr">
        <is>
          <t>Homem</t>
        </is>
      </c>
      <c r="D600" s="65" t="inlineStr">
        <is>
          <t>Deo Parfum</t>
        </is>
      </c>
      <c r="E600" s="136">
        <f>TRIM(CONCATENATE(D600, " ", C600, " ", F600, " ", IF(G600&gt;0, G600 &amp; "x" &amp; H600, H600), " ", I600))</f>
        <v/>
      </c>
      <c r="F600" s="2" t="inlineStr">
        <is>
          <t xml:space="preserve"> Neo </t>
        </is>
      </c>
      <c r="G600" s="131" t="n"/>
      <c r="H600" s="2" t="inlineStr">
        <is>
          <t xml:space="preserve">100ml </t>
        </is>
      </c>
      <c r="I600" s="31" t="inlineStr">
        <is>
          <t xml:space="preserve">Frasco </t>
        </is>
      </c>
      <c r="J600" s="2" t="inlineStr">
        <is>
          <t>Madeira / Equilibra intensidade / Conforto / Sensações plurais potencializadas pela força de um coletivo de madeiras nobres e pela Pataqueira</t>
        </is>
      </c>
      <c r="K600" s="2" t="n"/>
      <c r="L600" s="2" t="inlineStr">
        <is>
          <t>R$ 229, 90</t>
        </is>
      </c>
    </row>
    <row r="601" ht="15" customHeight="1" s="145">
      <c r="A601" t="inlineStr">
        <is>
          <t>NATBRA-81951</t>
        </is>
      </c>
      <c r="B601" s="63" t="inlineStr">
        <is>
          <t>Natura</t>
        </is>
      </c>
      <c r="C601" s="79" t="inlineStr">
        <is>
          <t>Homem</t>
        </is>
      </c>
      <c r="D601" s="65" t="inlineStr">
        <is>
          <t>Deo Parfum</t>
        </is>
      </c>
      <c r="E601" s="136">
        <f>TRIM(CONCATENATE(D601, " ", C601, " ", F601, " ", IF(G601&gt;0, G601 &amp; "x" &amp; H601, H601), " ", I601))</f>
        <v/>
      </c>
      <c r="F601" s="21" t="inlineStr">
        <is>
          <t xml:space="preserve"> Sagaz </t>
        </is>
      </c>
      <c r="G601" s="131" t="n"/>
      <c r="H601" s="2" t="inlineStr">
        <is>
          <t xml:space="preserve">100ml </t>
        </is>
      </c>
      <c r="I601" s="31" t="inlineStr">
        <is>
          <t xml:space="preserve">Frasco </t>
        </is>
      </c>
      <c r="J601" s="2" t="inlineStr">
        <is>
          <t>Amadeirada / marcante / envolvente / duradoura / intensa / sofisticados / confiantes / ousada</t>
        </is>
      </c>
      <c r="K601" s="2" t="n"/>
      <c r="L601" s="2" t="inlineStr">
        <is>
          <t>R$ 229, 90</t>
        </is>
      </c>
    </row>
    <row r="602" ht="15" customHeight="1" s="145">
      <c r="B602" s="63" t="inlineStr">
        <is>
          <t>Natura</t>
        </is>
      </c>
      <c r="C602" s="79" t="inlineStr">
        <is>
          <t>Homem</t>
        </is>
      </c>
      <c r="D602" s="65" t="inlineStr">
        <is>
          <t>Deo Parfum</t>
        </is>
      </c>
      <c r="E602" s="136">
        <f>TRIM(CONCATENATE(D602, " ", C602, " ", F602, " ", IF(G602&gt;0, G602 &amp; "x" &amp; H602, H602), " ", I602))</f>
        <v/>
      </c>
      <c r="F602" s="2" t="inlineStr">
        <is>
          <t xml:space="preserve"> Tato</t>
        </is>
      </c>
      <c r="G602" s="131" t="n"/>
      <c r="H602" s="2" t="inlineStr">
        <is>
          <t xml:space="preserve">100ml </t>
        </is>
      </c>
      <c r="I602" s="31" t="inlineStr">
        <is>
          <t xml:space="preserve">Frasco </t>
        </is>
      </c>
      <c r="J602" s="2" t="inlineStr">
        <is>
          <t>Aguçar os sentidos e revelar o poder e a sensibilidade do toque / sinta na pele o contraste irresistível de pimenta com cardamomo, combinado com o calor do cumaru, ingrediente da biodiversidade brasileira</t>
        </is>
      </c>
      <c r="K602" s="2" t="n"/>
      <c r="L602" s="2" t="inlineStr">
        <is>
          <t>R$ 229, 90</t>
        </is>
      </c>
    </row>
    <row r="603" ht="15" customHeight="1" s="145">
      <c r="B603" s="63" t="inlineStr">
        <is>
          <t>Natura</t>
        </is>
      </c>
      <c r="C603" s="79" t="inlineStr">
        <is>
          <t>Homem</t>
        </is>
      </c>
      <c r="D603" s="65" t="inlineStr">
        <is>
          <t>Deo Parfum</t>
        </is>
      </c>
      <c r="E603" s="136">
        <f>TRIM(CONCATENATE(D603, " ", C603, " ", F603, " ", IF(G603&gt;0, G603 &amp; "x" &amp; H603, H603), " ", I603))</f>
        <v/>
      </c>
      <c r="F603" s="121" t="inlineStr">
        <is>
          <t xml:space="preserve"> Verum</t>
        </is>
      </c>
      <c r="G603" s="131" t="n"/>
      <c r="H603" s="2" t="inlineStr">
        <is>
          <t xml:space="preserve">100ml </t>
        </is>
      </c>
      <c r="I603" s="31" t="inlineStr">
        <is>
          <t xml:space="preserve">Frasco </t>
        </is>
      </c>
      <c r="J603" s="2" t="inlineStr">
        <is>
          <t>Amadeirada contrasta notas verdes da folha de violeta e um toque especial da copaíba, ingrediente da natureza / para quem é confiante e vive o hoje</t>
        </is>
      </c>
      <c r="K603" s="2" t="n"/>
      <c r="L603" s="2" t="inlineStr">
        <is>
          <t>R$ 229, 90</t>
        </is>
      </c>
    </row>
    <row r="604" ht="15" customHeight="1" s="145">
      <c r="B604" s="63" t="inlineStr">
        <is>
          <t>Natura</t>
        </is>
      </c>
      <c r="C604" s="79" t="inlineStr">
        <is>
          <t>Homem</t>
        </is>
      </c>
      <c r="D604" s="65" t="inlineStr">
        <is>
          <t>Deo Parfum</t>
        </is>
      </c>
      <c r="E604" s="136">
        <f>TRIM(CONCATENATE(D604, " ", C604, " ", F604, " ", IF(G604&gt;0, G604 &amp; "x" &amp; H604, H604), " ", I604))</f>
        <v/>
      </c>
      <c r="F604" s="124" t="inlineStr">
        <is>
          <t xml:space="preserve"> Coragio </t>
        </is>
      </c>
      <c r="G604" s="131" t="n"/>
      <c r="H604" s="2" t="inlineStr">
        <is>
          <t xml:space="preserve">100ml </t>
        </is>
      </c>
      <c r="I604" s="31" t="inlineStr">
        <is>
          <t xml:space="preserve">Frasco </t>
        </is>
      </c>
      <c r="J604" s="149" t="inlineStr">
        <is>
          <t>coragem e autenticidade / intensa e duradoura / ideal para ocasiões especiais/ arrepio na pele das notas metálicas de especiarias frias e o calor da madeira copaíba e do cumaru</t>
        </is>
      </c>
      <c r="K604" s="11" t="n"/>
      <c r="L604" s="11" t="inlineStr">
        <is>
          <t>R$ 299, 90</t>
        </is>
      </c>
    </row>
    <row r="605" ht="15" customHeight="1" s="145">
      <c r="B605" s="63" t="inlineStr">
        <is>
          <t>Natura</t>
        </is>
      </c>
      <c r="C605" s="79" t="inlineStr">
        <is>
          <t>Homem</t>
        </is>
      </c>
      <c r="D605" s="65" t="inlineStr">
        <is>
          <t>Deo Parfum</t>
        </is>
      </c>
      <c r="E605" s="136">
        <f>TRIM(CONCATENATE(D605, " ", C605, " ", F605, " ", IF(G605&gt;0, G605 &amp; "x" &amp; H605, H605), " ", I605))</f>
        <v/>
      </c>
      <c r="F605" s="124" t="inlineStr">
        <is>
          <t xml:space="preserve"> Evolutin </t>
        </is>
      </c>
      <c r="G605" s="131" t="n"/>
      <c r="H605" s="2" t="inlineStr">
        <is>
          <t xml:space="preserve">100ml </t>
        </is>
      </c>
      <c r="I605" s="31" t="inlineStr">
        <is>
          <t xml:space="preserve">Frasco </t>
        </is>
      </c>
      <c r="J605" s="2" t="inlineStr">
        <is>
          <t>Alta concentração de óleos essenciais / envolvente / contemporânea / madeiras quentes de ambar / sândalo / grapefruit / bergamota</t>
        </is>
      </c>
      <c r="K605" s="11" t="n"/>
      <c r="L605" s="11" t="inlineStr">
        <is>
          <t>R$ 299, 90</t>
        </is>
      </c>
    </row>
    <row r="606" ht="15" customHeight="1" s="145">
      <c r="B606" s="63" t="inlineStr">
        <is>
          <t>Natura</t>
        </is>
      </c>
      <c r="C606" s="79" t="inlineStr">
        <is>
          <t>Homem</t>
        </is>
      </c>
      <c r="D606" s="65" t="inlineStr">
        <is>
          <t>Deo Parfum</t>
        </is>
      </c>
      <c r="E606" s="136">
        <f>TRIM(CONCATENATE(D606, " ", C606, " ", F606, " ", IF(G606&gt;0, G606 &amp; "x" &amp; H606, H606), " ", I606))</f>
        <v/>
      </c>
      <c r="F606" s="2" t="inlineStr">
        <is>
          <t xml:space="preserve"> Emocione </t>
        </is>
      </c>
      <c r="G606" s="131" t="n"/>
      <c r="H606" s="2" t="inlineStr">
        <is>
          <t xml:space="preserve">100ml </t>
        </is>
      </c>
      <c r="I606" s="31" t="inlineStr">
        <is>
          <t xml:space="preserve">Frasco </t>
        </is>
      </c>
      <c r="J606" s="2" t="inlineStr">
        <is>
          <t>óleo da biodiversidade brasileira / força das emoções masculinas / contraste de amadeirado do sândalo com a inesperada flor de cactus e pataqueira</t>
        </is>
      </c>
      <c r="K606" s="11" t="n"/>
      <c r="L606" s="11" t="inlineStr">
        <is>
          <t>R$ 299, 90</t>
        </is>
      </c>
    </row>
    <row r="607" ht="15" customHeight="1" s="145">
      <c r="A607" t="inlineStr">
        <is>
          <t>NATBRA-159951</t>
        </is>
      </c>
      <c r="B607" s="63" t="inlineStr">
        <is>
          <t>Natura</t>
        </is>
      </c>
      <c r="C607" s="79" t="inlineStr">
        <is>
          <t>Homem</t>
        </is>
      </c>
      <c r="D607" s="64" t="inlineStr">
        <is>
          <t>Desodorante Corporal</t>
        </is>
      </c>
      <c r="E607" s="136">
        <f>TRIM(CONCATENATE(D607, " ", C607, " ", F607, " ", IF(G607&gt;0, G607 &amp; "x" &amp; H607, H607), " ", I607))</f>
        <v/>
      </c>
      <c r="F607" s="2" t="inlineStr">
        <is>
          <t xml:space="preserve"> Especiarias</t>
        </is>
      </c>
      <c r="G607" s="131" t="n"/>
      <c r="H607" s="2" t="inlineStr">
        <is>
          <t xml:space="preserve">100ml </t>
        </is>
      </c>
      <c r="I607" s="31" t="inlineStr">
        <is>
          <t xml:space="preserve">Frasco </t>
        </is>
      </c>
      <c r="J607" s="2" t="n"/>
      <c r="K607" s="11" t="n"/>
      <c r="L607" s="11" t="n"/>
    </row>
    <row r="608" ht="15" customHeight="1" s="145">
      <c r="A608" t="inlineStr">
        <is>
          <t>NATBRA-959847</t>
        </is>
      </c>
      <c r="B608" s="63" t="inlineStr">
        <is>
          <t>Natura</t>
        </is>
      </c>
      <c r="C608" s="79" t="inlineStr">
        <is>
          <t>Homem</t>
        </is>
      </c>
      <c r="D608" s="64" t="inlineStr">
        <is>
          <t>Desodorante Corporal</t>
        </is>
      </c>
      <c r="E608" s="136">
        <f>TRIM(CONCATENATE(D608, " ", C608, " ", F608, " ", IF(G608&gt;0, G608 &amp; "x" &amp; H608, H608), " ", I608))</f>
        <v/>
      </c>
      <c r="F608" s="2" t="inlineStr">
        <is>
          <t xml:space="preserve"> Essence</t>
        </is>
      </c>
      <c r="G608" s="131" t="n"/>
      <c r="H608" s="2" t="inlineStr">
        <is>
          <t xml:space="preserve">100ml </t>
        </is>
      </c>
      <c r="I608" s="31" t="inlineStr">
        <is>
          <t xml:space="preserve">Frasco </t>
        </is>
      </c>
      <c r="J608" s="2" t="n"/>
      <c r="K608" s="11" t="n"/>
      <c r="L608" s="11" t="n"/>
    </row>
    <row r="609" ht="15" customFormat="1" customHeight="1" s="10">
      <c r="B609" s="63" t="inlineStr">
        <is>
          <t>Natura</t>
        </is>
      </c>
      <c r="C609" s="79" t="inlineStr">
        <is>
          <t>Homem</t>
        </is>
      </c>
      <c r="D609" s="64" t="inlineStr">
        <is>
          <t>Desodorante Corporal</t>
        </is>
      </c>
      <c r="E609" s="136">
        <f>TRIM(CONCATENATE(D609, " ", C609, " ", F609, " ", IF(G609&gt;0, G609 &amp; "x" &amp; H609, H609), " ", I609))</f>
        <v/>
      </c>
      <c r="F609" s="2" t="inlineStr">
        <is>
          <t xml:space="preserve"> Aromaticos </t>
        </is>
      </c>
      <c r="G609" s="131" t="n"/>
      <c r="H609" s="2" t="inlineStr">
        <is>
          <t xml:space="preserve">100ml </t>
        </is>
      </c>
      <c r="I609" s="36" t="inlineStr">
        <is>
          <t xml:space="preserve">Frasco </t>
        </is>
      </c>
      <c r="J609" s="11" t="inlineStr">
        <is>
          <t>Fragrância com alta proteção até 24h / Cuida da pele com ativos naturais / Tem tecnologia invisível</t>
        </is>
      </c>
      <c r="K609" s="20" t="n"/>
      <c r="L609" s="20" t="inlineStr">
        <is>
          <t xml:space="preserve">R$ 54, 90 </t>
        </is>
      </c>
    </row>
    <row r="610" ht="15" customHeight="1" s="145">
      <c r="B610" s="63" t="inlineStr">
        <is>
          <t>Natura</t>
        </is>
      </c>
      <c r="C610" s="79" t="inlineStr">
        <is>
          <t>Homem</t>
        </is>
      </c>
      <c r="D610" s="64" t="inlineStr">
        <is>
          <t>Desodorante Corporal</t>
        </is>
      </c>
      <c r="E610" s="136">
        <f>TRIM(CONCATENATE(D610, " ", C610, " ", F610, " ", IF(G610&gt;0, G610 &amp; "x" &amp; H610, H610), " ", I610))</f>
        <v/>
      </c>
      <c r="F610" s="124" t="inlineStr">
        <is>
          <t xml:space="preserve"> Coragio </t>
        </is>
      </c>
      <c r="G610" s="131" t="n"/>
      <c r="H610" s="2" t="inlineStr">
        <is>
          <t xml:space="preserve">100ml </t>
        </is>
      </c>
      <c r="I610" s="36" t="inlineStr">
        <is>
          <t xml:space="preserve">Frasco </t>
        </is>
      </c>
      <c r="J610" s="11" t="inlineStr">
        <is>
          <t>Fragrância com alta proteção até 24h / Cuida da pele com ativos naturais / Tem tecnologia invisível</t>
        </is>
      </c>
      <c r="K610" s="20" t="n"/>
      <c r="L610" s="20" t="inlineStr">
        <is>
          <t xml:space="preserve">R$ 54, 90 </t>
        </is>
      </c>
    </row>
    <row r="611" ht="15" customHeight="1" s="145">
      <c r="B611" s="63" t="inlineStr">
        <is>
          <t>Natura</t>
        </is>
      </c>
      <c r="C611" s="79" t="inlineStr">
        <is>
          <t>Homem</t>
        </is>
      </c>
      <c r="D611" s="64" t="inlineStr">
        <is>
          <t>Desodorante Corporal</t>
        </is>
      </c>
      <c r="E611" s="136">
        <f>TRIM(CONCATENATE(D611, " ", C611, " ", F611, " ", IF(G611&gt;0, G611 &amp; "x" &amp; H611, H611), " ", I611))</f>
        <v/>
      </c>
      <c r="F611" s="2" t="inlineStr">
        <is>
          <t xml:space="preserve">  Dom </t>
        </is>
      </c>
      <c r="G611" s="131" t="n"/>
      <c r="H611" s="2" t="inlineStr">
        <is>
          <t xml:space="preserve">100ml </t>
        </is>
      </c>
      <c r="I611" s="36" t="inlineStr">
        <is>
          <t xml:space="preserve">Frasco </t>
        </is>
      </c>
      <c r="J611" s="11" t="inlineStr">
        <is>
          <t>Fragrância com alta proteção até 24h / Cuida da pele com ativos naturais / Tem tecnologia invisível</t>
        </is>
      </c>
      <c r="K611" s="20" t="n"/>
      <c r="L611" s="20" t="inlineStr">
        <is>
          <t xml:space="preserve">R$ 54, 90 </t>
        </is>
      </c>
    </row>
    <row r="612" ht="15" customHeight="1" s="145">
      <c r="B612" s="63" t="inlineStr">
        <is>
          <t>Natura</t>
        </is>
      </c>
      <c r="C612" s="79" t="inlineStr">
        <is>
          <t>Homem</t>
        </is>
      </c>
      <c r="D612" s="64" t="inlineStr">
        <is>
          <t>Desodorante Corporal</t>
        </is>
      </c>
      <c r="E612" s="136">
        <f>TRIM(CONCATENATE(D611, " ", C611, " ", F611, " ", IF(G611&gt;0, G611 &amp; "x" &amp; H611, H611), " ", I611))</f>
        <v/>
      </c>
      <c r="F612" s="21" t="inlineStr">
        <is>
          <t xml:space="preserve"> Elo </t>
        </is>
      </c>
      <c r="G612" s="131" t="n"/>
      <c r="H612" s="2" t="inlineStr">
        <is>
          <t xml:space="preserve">100ml </t>
        </is>
      </c>
      <c r="I612" s="36" t="inlineStr">
        <is>
          <t xml:space="preserve">Frasco </t>
        </is>
      </c>
      <c r="J612" s="11" t="inlineStr">
        <is>
          <t>Fragrância com alta proteção até 24h / Cuida da pele com ativos naturais / Tem tecnologia invisível</t>
        </is>
      </c>
      <c r="K612" s="20" t="n"/>
      <c r="L612" s="20" t="inlineStr">
        <is>
          <t xml:space="preserve">R$ 54, 90 </t>
        </is>
      </c>
    </row>
    <row r="613" ht="15" customHeight="1" s="145">
      <c r="B613" s="63" t="inlineStr">
        <is>
          <t>Natura</t>
        </is>
      </c>
      <c r="C613" s="79" t="inlineStr">
        <is>
          <t>Homem</t>
        </is>
      </c>
      <c r="D613" s="64" t="inlineStr">
        <is>
          <t>Desodorante Corporal</t>
        </is>
      </c>
      <c r="E613" s="136">
        <f>TRIM(CONCATENATE(D613, " ", C613, " ", F613, " ", IF(G613&gt;0, G613 &amp; "x" &amp; H613, H613), " ", I613))</f>
        <v/>
      </c>
      <c r="F613" s="137" t="inlineStr">
        <is>
          <t xml:space="preserve"> Masculino</t>
        </is>
      </c>
      <c r="G613" s="131" t="n"/>
      <c r="H613" s="2" t="inlineStr">
        <is>
          <t xml:space="preserve">100ml </t>
        </is>
      </c>
      <c r="I613" s="36" t="inlineStr">
        <is>
          <t xml:space="preserve">Frasco </t>
        </is>
      </c>
      <c r="J613" s="11" t="inlineStr">
        <is>
          <t>Fragrância com alta proteção até 24h / Cuida da pele com ativos naturais / Tem tecnologia invisível</t>
        </is>
      </c>
      <c r="K613" s="20" t="n"/>
      <c r="L613" s="20" t="inlineStr">
        <is>
          <t xml:space="preserve">R$ 54, 90 </t>
        </is>
      </c>
    </row>
    <row r="614" ht="15" customHeight="1" s="145">
      <c r="B614" s="63" t="inlineStr">
        <is>
          <t>Natura</t>
        </is>
      </c>
      <c r="C614" s="79" t="inlineStr">
        <is>
          <t>Homem</t>
        </is>
      </c>
      <c r="D614" s="64" t="inlineStr">
        <is>
          <t>Desodorante Corporal</t>
        </is>
      </c>
      <c r="E614" s="136">
        <f>TRIM(CONCATENATE(D614, " ", C614, " ", F614, " ", IF(G614&gt;0, G614 &amp; "x" &amp; H614, H614), " ", I614))</f>
        <v/>
      </c>
      <c r="F614" s="2" t="inlineStr">
        <is>
          <t xml:space="preserve"> Nós </t>
        </is>
      </c>
      <c r="G614" s="131" t="n"/>
      <c r="H614" s="2" t="inlineStr">
        <is>
          <t xml:space="preserve">100ml </t>
        </is>
      </c>
      <c r="I614" s="36" t="inlineStr">
        <is>
          <t xml:space="preserve">Frasco </t>
        </is>
      </c>
      <c r="J614" s="11" t="inlineStr">
        <is>
          <t>Fragrância com alta proteção até 24h / Cuida da pele com ativos naturais / Tem tecnologia invisível</t>
        </is>
      </c>
      <c r="K614" s="20" t="n"/>
      <c r="L614" s="20" t="inlineStr">
        <is>
          <t xml:space="preserve">R$ 54, 90 </t>
        </is>
      </c>
    </row>
    <row r="615" ht="15" customHeight="1" s="145">
      <c r="A615" t="inlineStr">
        <is>
          <t>NATBRA-173493</t>
        </is>
      </c>
      <c r="B615" s="63" t="inlineStr">
        <is>
          <t>Natura</t>
        </is>
      </c>
      <c r="C615" s="79" t="inlineStr">
        <is>
          <t>Homem</t>
        </is>
      </c>
      <c r="D615" s="64" t="inlineStr">
        <is>
          <t>Desodorante Corporal</t>
        </is>
      </c>
      <c r="E615" s="136">
        <f>TRIM(CONCATENATE(D615, " ", C615, " ", F615, " ", IF(G615&gt;0, G615 &amp; "x" &amp; H615, H615), " ", I615))</f>
        <v/>
      </c>
      <c r="F615" s="21" t="inlineStr">
        <is>
          <t xml:space="preserve"> Sagaz </t>
        </is>
      </c>
      <c r="G615" s="131" t="n"/>
      <c r="H615" s="2" t="inlineStr">
        <is>
          <t xml:space="preserve">100ml </t>
        </is>
      </c>
      <c r="I615" s="36" t="inlineStr">
        <is>
          <t xml:space="preserve">Frasco </t>
        </is>
      </c>
      <c r="J615" s="11" t="inlineStr">
        <is>
          <t>Fragrância com alta proteção até 24h / Cuida da pele com ativos naturais / Tem tecnologia invisível</t>
        </is>
      </c>
      <c r="K615" s="20" t="n"/>
      <c r="L615" s="20" t="inlineStr">
        <is>
          <t xml:space="preserve">R$ 54, 90 </t>
        </is>
      </c>
    </row>
    <row r="616" ht="15" customHeight="1" s="145">
      <c r="B616" s="63" t="inlineStr">
        <is>
          <t>Natura</t>
        </is>
      </c>
      <c r="C616" s="79" t="inlineStr">
        <is>
          <t>Homem</t>
        </is>
      </c>
      <c r="D616" s="64" t="inlineStr">
        <is>
          <t>Desodorante Corporal</t>
        </is>
      </c>
      <c r="E616" s="136">
        <f>TRIM(CONCATENATE(D616, " ", C616, " ", F616, " ", IF(G616&gt;0, G616 &amp; "x" &amp; H616, H616), " ", I616))</f>
        <v/>
      </c>
      <c r="F616" s="2" t="inlineStr">
        <is>
          <t xml:space="preserve"> Tato</t>
        </is>
      </c>
      <c r="G616" s="131" t="n"/>
      <c r="H616" s="2" t="inlineStr">
        <is>
          <t xml:space="preserve">100ml </t>
        </is>
      </c>
      <c r="I616" s="36" t="inlineStr">
        <is>
          <t xml:space="preserve">Frasco </t>
        </is>
      </c>
      <c r="J616" s="11" t="inlineStr">
        <is>
          <t>Fragrância com alta proteção até 24h / Cuida da pele com ativos naturais / Tem tecnologia invisível</t>
        </is>
      </c>
      <c r="K616" s="20" t="n"/>
      <c r="L616" s="20" t="inlineStr">
        <is>
          <t xml:space="preserve">R$ 54, 90 </t>
        </is>
      </c>
    </row>
    <row r="617" ht="15" customHeight="1" s="145">
      <c r="B617" s="63" t="inlineStr">
        <is>
          <t>Natura</t>
        </is>
      </c>
      <c r="C617" s="79" t="inlineStr">
        <is>
          <t>Homem</t>
        </is>
      </c>
      <c r="D617" s="64" t="inlineStr">
        <is>
          <t>Sabonete em Barra</t>
        </is>
      </c>
      <c r="E617" s="136">
        <f>TRIM(CONCATENATE(D617, " ", C617, " ", F617, " ", IF(G617&gt;0, G617 &amp; "x" &amp; H617, H617), " ", I617))</f>
        <v/>
      </c>
      <c r="F617" s="2" t="inlineStr">
        <is>
          <t xml:space="preserve"> Cacau </t>
        </is>
      </c>
      <c r="G617" s="131" t="n">
        <v>3</v>
      </c>
      <c r="H617" s="55" t="inlineStr">
        <is>
          <t xml:space="preserve">90g </t>
        </is>
      </c>
      <c r="I617" s="124" t="inlineStr">
        <is>
          <t xml:space="preserve">Caixa </t>
        </is>
      </c>
      <c r="J617" s="2" t="inlineStr">
        <is>
          <t>limpa profundamente / pele fresca e suave / sensação de revitalização / fragrância amadeirada intensa inspirada</t>
        </is>
      </c>
      <c r="K617" s="11" t="n"/>
      <c r="L617" s="11" t="n"/>
    </row>
    <row r="618" ht="15" customHeight="1" s="145">
      <c r="B618" s="63" t="inlineStr">
        <is>
          <t>Natura</t>
        </is>
      </c>
      <c r="C618" s="79" t="inlineStr">
        <is>
          <t>Homem</t>
        </is>
      </c>
      <c r="D618" s="64" t="inlineStr">
        <is>
          <t>Sabonete em Barra</t>
        </is>
      </c>
      <c r="E618" s="136">
        <f>TRIM(CONCATENATE(D618, " ", C618, " ", F618, " ", IF(G618&gt;0, G618 &amp; "x" &amp; H618, H618), " ", I618))</f>
        <v/>
      </c>
      <c r="F618" s="2" t="inlineStr">
        <is>
          <t xml:space="preserve"> Corajoso </t>
        </is>
      </c>
      <c r="G618" s="131" t="n">
        <v>3</v>
      </c>
      <c r="H618" s="55" t="inlineStr">
        <is>
          <t xml:space="preserve">90g </t>
        </is>
      </c>
      <c r="I618" s="124" t="inlineStr">
        <is>
          <t xml:space="preserve">Caixa </t>
        </is>
      </c>
      <c r="J618" s="2" t="inlineStr">
        <is>
          <t>limpa profundamente / pele fresca e suave / sensação de revitalização / fragrância amadeirada intensa inspirada</t>
        </is>
      </c>
      <c r="K618" s="11" t="n"/>
      <c r="L618" s="11" t="n"/>
    </row>
    <row r="619" ht="15" customHeight="1" s="145">
      <c r="B619" s="63" t="inlineStr">
        <is>
          <t>Natura</t>
        </is>
      </c>
      <c r="C619" s="79" t="inlineStr">
        <is>
          <t>Homem</t>
        </is>
      </c>
      <c r="D619" s="64" t="inlineStr">
        <is>
          <t>Sabonete em Barra</t>
        </is>
      </c>
      <c r="E619" s="136">
        <f>TRIM(CONCATENATE(D619, " ", C619, " ", F619, " ", IF(G619&gt;0, G619 &amp; "x" &amp; H619, H619), " ", I619))</f>
        <v/>
      </c>
      <c r="F619" s="21" t="inlineStr">
        <is>
          <t xml:space="preserve"> Elo </t>
        </is>
      </c>
      <c r="G619" s="131" t="n">
        <v>3</v>
      </c>
      <c r="H619" s="55" t="inlineStr">
        <is>
          <t xml:space="preserve">90g </t>
        </is>
      </c>
      <c r="I619" s="124" t="inlineStr">
        <is>
          <t xml:space="preserve">Caixa </t>
        </is>
      </c>
      <c r="J619" s="2" t="inlineStr">
        <is>
          <t>limpa profundamente / pele fresca e suave / sensação de revitalização / fragrância amadeirada intensa inspirada</t>
        </is>
      </c>
      <c r="K619" s="11" t="n"/>
      <c r="L619" s="11" t="n"/>
    </row>
    <row r="620" ht="15" customHeight="1" s="145">
      <c r="B620" s="63" t="inlineStr">
        <is>
          <t>Natura</t>
        </is>
      </c>
      <c r="C620" s="79" t="inlineStr">
        <is>
          <t>Homem</t>
        </is>
      </c>
      <c r="D620" s="64" t="inlineStr">
        <is>
          <t>Sabonete em Barra</t>
        </is>
      </c>
      <c r="E620" s="136">
        <f>TRIM(CONCATENATE(D620, " ", C620, " ", F620, " ", IF(G620&gt;0, G620 &amp; "x" &amp; H620, H620), " ", I620))</f>
        <v/>
      </c>
      <c r="F620" s="2" t="inlineStr">
        <is>
          <t xml:space="preserve"> Essence </t>
        </is>
      </c>
      <c r="G620" s="131" t="n">
        <v>3</v>
      </c>
      <c r="H620" s="55" t="inlineStr">
        <is>
          <t xml:space="preserve">90g </t>
        </is>
      </c>
      <c r="I620" s="124" t="inlineStr">
        <is>
          <t xml:space="preserve">Caixa </t>
        </is>
      </c>
      <c r="J620" s="2" t="inlineStr">
        <is>
          <t>limpa profundamente / pele fresca e suave / sensação de revitalização / fragrância amadeirada intensa inspirada</t>
        </is>
      </c>
      <c r="K620" s="11" t="n"/>
      <c r="L620" s="11" t="n"/>
    </row>
    <row r="621" ht="15" customHeight="1" s="145">
      <c r="B621" s="63" t="inlineStr">
        <is>
          <t>Natura</t>
        </is>
      </c>
      <c r="C621" s="79" t="inlineStr">
        <is>
          <t>Homem</t>
        </is>
      </c>
      <c r="D621" s="64" t="inlineStr">
        <is>
          <t>Sabonete em Barra</t>
        </is>
      </c>
      <c r="E621" s="136">
        <f>TRIM(CONCATENATE(D621, " ", C621, " ", F621, " ", IF(G621&gt;0, G621 &amp; "x" &amp; H621, H621), " ", I621))</f>
        <v/>
      </c>
      <c r="F621" s="2" t="inlineStr">
        <is>
          <t xml:space="preserve"> Emocione </t>
        </is>
      </c>
      <c r="G621" s="131" t="n">
        <v>3</v>
      </c>
      <c r="H621" s="55" t="inlineStr">
        <is>
          <t xml:space="preserve">90g </t>
        </is>
      </c>
      <c r="I621" s="124" t="inlineStr">
        <is>
          <t xml:space="preserve">Caixa </t>
        </is>
      </c>
      <c r="J621" s="2" t="inlineStr">
        <is>
          <t>limpa profundamente / pele fresca e suave / sensação de revitalização / fragrância amadeirada intensa inspirada</t>
        </is>
      </c>
      <c r="K621" s="11" t="n"/>
      <c r="L621" s="11" t="n"/>
    </row>
    <row r="622" ht="15" customHeight="1" s="145">
      <c r="B622" s="63" t="inlineStr">
        <is>
          <t>Natura</t>
        </is>
      </c>
      <c r="C622" s="79" t="inlineStr">
        <is>
          <t>Homem</t>
        </is>
      </c>
      <c r="D622" s="64" t="inlineStr">
        <is>
          <t>Sabonete em Barra</t>
        </is>
      </c>
      <c r="E622" s="136">
        <f>TRIM(CONCATENATE(D622, " ", C622, " ", F622, " ", IF(G622&gt;0, G622 &amp; "x" &amp; H622, H622), " ", I622))</f>
        <v/>
      </c>
      <c r="F622" s="137" t="inlineStr">
        <is>
          <t xml:space="preserve"> Masculino</t>
        </is>
      </c>
      <c r="G622" s="131" t="n">
        <v>3</v>
      </c>
      <c r="H622" s="55" t="inlineStr">
        <is>
          <t xml:space="preserve">110g </t>
        </is>
      </c>
      <c r="I622" s="124" t="inlineStr">
        <is>
          <t xml:space="preserve">Caixa </t>
        </is>
      </c>
      <c r="J622" s="2" t="inlineStr">
        <is>
          <t>limpa profundamente / pele fresca e suave / sensação de revitalização / fragrância amadeirada intensa inspirada</t>
        </is>
      </c>
      <c r="K622" s="2" t="n"/>
      <c r="L622" s="2" t="n"/>
    </row>
    <row r="623" ht="15" customHeight="1" s="145">
      <c r="B623" s="63" t="inlineStr">
        <is>
          <t>Natura</t>
        </is>
      </c>
      <c r="C623" s="79" t="inlineStr">
        <is>
          <t>Homem</t>
        </is>
      </c>
      <c r="D623" s="64" t="inlineStr">
        <is>
          <t>Sabonete em Barra</t>
        </is>
      </c>
      <c r="E623" s="136">
        <f>TRIM(CONCATENATE(D623, " ", C623, " ", F623, " ", IF(G623&gt;0, G623 &amp; "x" &amp; H623, H623), " ", I623))</f>
        <v/>
      </c>
      <c r="F623" s="2" t="inlineStr">
        <is>
          <t xml:space="preserve"> Neo </t>
        </is>
      </c>
      <c r="G623" s="131" t="n">
        <v>3</v>
      </c>
      <c r="H623" s="55" t="inlineStr">
        <is>
          <t xml:space="preserve">90g </t>
        </is>
      </c>
      <c r="I623" s="124" t="inlineStr">
        <is>
          <t xml:space="preserve">Caixa </t>
        </is>
      </c>
      <c r="J623" s="2" t="inlineStr">
        <is>
          <t>limpa profundamente / pele fresca e suave / sensação de revitalização / fragrância amadeirada intensa inspirada</t>
        </is>
      </c>
      <c r="K623" s="2" t="n"/>
      <c r="L623" s="2" t="n"/>
    </row>
    <row r="624" ht="15" customHeight="1" s="145">
      <c r="B624" s="63" t="inlineStr">
        <is>
          <t>Natura</t>
        </is>
      </c>
      <c r="C624" s="79" t="inlineStr">
        <is>
          <t>Homem</t>
        </is>
      </c>
      <c r="D624" s="64" t="inlineStr">
        <is>
          <t>Sabonete em Barra</t>
        </is>
      </c>
      <c r="E624" s="136">
        <f>TRIM(CONCATENATE(D624, " ", C624, " ", F624, " ", IF(G624&gt;0, G624 &amp; "x" &amp; H624, H624), " ", I624))</f>
        <v/>
      </c>
      <c r="F624" s="21" t="inlineStr">
        <is>
          <t xml:space="preserve"> Sagaz </t>
        </is>
      </c>
      <c r="G624" s="131" t="n">
        <v>3</v>
      </c>
      <c r="H624" s="55" t="inlineStr">
        <is>
          <t xml:space="preserve">90g </t>
        </is>
      </c>
      <c r="I624" s="124" t="inlineStr">
        <is>
          <t xml:space="preserve">Caixa </t>
        </is>
      </c>
      <c r="J624" s="2" t="inlineStr">
        <is>
          <t>limpa profundamente / pele fresca e suave / sensação de revitalização / fragrância amadeirada intensa inspirada</t>
        </is>
      </c>
      <c r="K624" s="2" t="n"/>
      <c r="L624" s="2" t="n"/>
    </row>
    <row r="625" ht="15" customHeight="1" s="145">
      <c r="B625" s="63" t="inlineStr">
        <is>
          <t>Natura</t>
        </is>
      </c>
      <c r="C625" s="79" t="inlineStr">
        <is>
          <t>Homem</t>
        </is>
      </c>
      <c r="D625" s="64" t="inlineStr">
        <is>
          <t>Sabonete em Barra</t>
        </is>
      </c>
      <c r="E625" s="136">
        <f>TRIM(CONCATENATE(D625, " ", C625, " ", F625, " ", IF(G625&gt;0, G625 &amp; "x" &amp; H625, H625), " ", I625))</f>
        <v/>
      </c>
      <c r="F625" s="2" t="inlineStr">
        <is>
          <t xml:space="preserve"> Tato</t>
        </is>
      </c>
      <c r="G625" s="131" t="n">
        <v>3</v>
      </c>
      <c r="H625" s="55" t="inlineStr">
        <is>
          <t xml:space="preserve">90g </t>
        </is>
      </c>
      <c r="I625" s="124" t="inlineStr">
        <is>
          <t xml:space="preserve">Caixa </t>
        </is>
      </c>
      <c r="J625" s="2" t="inlineStr">
        <is>
          <t>limpa profundamente / pele fresca e suave / sensação de revitalização / fragrância amadeirada intensa inspirada</t>
        </is>
      </c>
      <c r="K625" s="2" t="n"/>
      <c r="L625" s="2" t="n"/>
    </row>
    <row r="626" ht="15" customHeight="1" s="145">
      <c r="B626" s="63" t="inlineStr">
        <is>
          <t>Natura</t>
        </is>
      </c>
      <c r="C626" s="79" t="inlineStr">
        <is>
          <t>Homem</t>
        </is>
      </c>
      <c r="D626" s="64" t="inlineStr">
        <is>
          <t xml:space="preserve">Sabonete Liquido em Gel </t>
        </is>
      </c>
      <c r="E626" s="136">
        <f>TRIM(CONCATENATE(D626, " ", C626, " ", F626, " ", IF(G626&gt;0, G626 &amp; "x" &amp; H626, H626), " ", I626))</f>
        <v/>
      </c>
      <c r="F626" s="2" t="inlineStr">
        <is>
          <t xml:space="preserve"> Corajoso </t>
        </is>
      </c>
      <c r="G626" s="131" t="n"/>
      <c r="H626" s="43" t="inlineStr">
        <is>
          <t xml:space="preserve">100ml </t>
        </is>
      </c>
      <c r="I626" s="42" t="inlineStr">
        <is>
          <t xml:space="preserve">Frasco </t>
        </is>
      </c>
      <c r="J626" s="2" t="inlineStr">
        <is>
          <t>limpa profundamente / pele fresca e suave / sensação de revitalização / fragrância amadeirada intensa inspirada</t>
        </is>
      </c>
      <c r="K626" s="11" t="n"/>
      <c r="L626" s="11" t="n"/>
    </row>
    <row r="627" ht="15" customHeight="1" s="145">
      <c r="B627" s="63" t="inlineStr">
        <is>
          <t>Natura</t>
        </is>
      </c>
      <c r="C627" s="79" t="inlineStr">
        <is>
          <t>Homem</t>
        </is>
      </c>
      <c r="D627" s="64" t="inlineStr">
        <is>
          <t xml:space="preserve">Sabonete Liquido em Gel </t>
        </is>
      </c>
      <c r="E627" s="136">
        <f>TRIM(CONCATENATE(D627, " ", C627, " ", F627, " ", IF(G627&gt;0, G627 &amp; "x" &amp; H627, H627), " ", I627))</f>
        <v/>
      </c>
      <c r="F627" s="21" t="inlineStr">
        <is>
          <t xml:space="preserve"> Elo </t>
        </is>
      </c>
      <c r="G627" s="131" t="n"/>
      <c r="H627" s="43" t="inlineStr">
        <is>
          <t xml:space="preserve">100ml </t>
        </is>
      </c>
      <c r="I627" s="42" t="inlineStr">
        <is>
          <t xml:space="preserve">Frasco </t>
        </is>
      </c>
      <c r="J627" s="2" t="inlineStr">
        <is>
          <t>limpa profundamente / pele fresca e suave / sensação de revitalização / fragrância amadeirada intensa inspirada</t>
        </is>
      </c>
      <c r="K627" s="11" t="n"/>
      <c r="L627" s="11" t="n"/>
    </row>
    <row r="628" ht="15" customHeight="1" s="145">
      <c r="B628" s="63" t="inlineStr">
        <is>
          <t>Natura</t>
        </is>
      </c>
      <c r="C628" s="79" t="inlineStr">
        <is>
          <t>Homem</t>
        </is>
      </c>
      <c r="D628" s="64" t="inlineStr">
        <is>
          <t xml:space="preserve">Sabonete Liquido em Gel </t>
        </is>
      </c>
      <c r="E628" s="136">
        <f>TRIM(CONCATENATE(D628, " ", C628, " ", F628, " ", IF(G628&gt;0, G628 &amp; "x" &amp; H628, H628), " ", I628))</f>
        <v/>
      </c>
      <c r="F628" s="2" t="inlineStr">
        <is>
          <t xml:space="preserve"> Essence </t>
        </is>
      </c>
      <c r="G628" s="131" t="n"/>
      <c r="H628" s="43" t="inlineStr">
        <is>
          <t xml:space="preserve">100ml </t>
        </is>
      </c>
      <c r="I628" s="42" t="inlineStr">
        <is>
          <t xml:space="preserve">Frasco </t>
        </is>
      </c>
      <c r="J628" s="2" t="inlineStr">
        <is>
          <t>limpa profundamente / pele fresca e suave / sensação de revitalização / fragrância amadeirada intensa inspirada</t>
        </is>
      </c>
      <c r="K628" s="11" t="n"/>
      <c r="L628" s="11" t="n"/>
    </row>
    <row r="629" ht="15" customHeight="1" s="145">
      <c r="B629" s="63" t="inlineStr">
        <is>
          <t>Natura</t>
        </is>
      </c>
      <c r="C629" s="79" t="inlineStr">
        <is>
          <t>Homem</t>
        </is>
      </c>
      <c r="D629" s="64" t="inlineStr">
        <is>
          <t xml:space="preserve">Sabonete Liquido em Gel </t>
        </is>
      </c>
      <c r="E629" s="136">
        <f>TRIM(CONCATENATE(D629, " ", C629, " ", F629, " ", IF(G629&gt;0, G629 &amp; "x" &amp; H629, H629), " ", I629))</f>
        <v/>
      </c>
      <c r="F629" s="137" t="inlineStr">
        <is>
          <t xml:space="preserve"> Masculino</t>
        </is>
      </c>
      <c r="G629" s="131" t="n"/>
      <c r="H629" s="43" t="inlineStr">
        <is>
          <t xml:space="preserve">100ml </t>
        </is>
      </c>
      <c r="I629" s="42" t="inlineStr">
        <is>
          <t xml:space="preserve">Frasco </t>
        </is>
      </c>
      <c r="J629" s="2" t="inlineStr">
        <is>
          <t>limpa profundamente / pele fresca e suave / sensação de revitalização / fragrância amadeirada intensa inspirada</t>
        </is>
      </c>
      <c r="K629" s="11" t="n"/>
      <c r="L629" s="11" t="n"/>
    </row>
    <row r="630" ht="15" customHeight="1" s="145">
      <c r="B630" s="63" t="inlineStr">
        <is>
          <t>Natura</t>
        </is>
      </c>
      <c r="C630" s="79" t="inlineStr">
        <is>
          <t>Homem</t>
        </is>
      </c>
      <c r="D630" s="64" t="inlineStr">
        <is>
          <t xml:space="preserve">Sabonete Liquido em Gel </t>
        </is>
      </c>
      <c r="E630" s="136">
        <f>TRIM(CONCATENATE(D630, " ", C630, " ", F630, " ", IF(G630&gt;0, G630 &amp; "x" &amp; H630, H630), " ", I630))</f>
        <v/>
      </c>
      <c r="F630" s="21" t="inlineStr">
        <is>
          <t xml:space="preserve"> Sagaz </t>
        </is>
      </c>
      <c r="G630" s="131" t="n"/>
      <c r="H630" s="43" t="inlineStr">
        <is>
          <t xml:space="preserve">100ml </t>
        </is>
      </c>
      <c r="I630" s="42" t="inlineStr">
        <is>
          <t xml:space="preserve">Frasco </t>
        </is>
      </c>
      <c r="J630" s="2" t="inlineStr">
        <is>
          <t>limpa profundamente / pele fresca e suave / sensação de revitalização / fragrância amadeirada intensa inspirada</t>
        </is>
      </c>
      <c r="K630" s="11" t="n"/>
      <c r="L630" s="11" t="n"/>
    </row>
    <row r="631" ht="15" customHeight="1" s="145">
      <c r="B631" s="63" t="inlineStr">
        <is>
          <t>Natura</t>
        </is>
      </c>
      <c r="C631" s="79" t="inlineStr">
        <is>
          <t>Homem</t>
        </is>
      </c>
      <c r="D631" s="64" t="inlineStr">
        <is>
          <t xml:space="preserve">Sabonete Liquido em Gel </t>
        </is>
      </c>
      <c r="E631" s="136">
        <f>TRIM(CONCATENATE(D631, " ", C631, " ", F631, " ", IF(G631&gt;0, G631 &amp; "x" &amp; H631, H631), " ", I631))</f>
        <v/>
      </c>
      <c r="F631" s="2" t="inlineStr">
        <is>
          <t xml:space="preserve"> Tato</t>
        </is>
      </c>
      <c r="G631" s="131" t="n"/>
      <c r="H631" s="43" t="inlineStr">
        <is>
          <t xml:space="preserve">100ml </t>
        </is>
      </c>
      <c r="I631" s="42" t="inlineStr">
        <is>
          <t xml:space="preserve">Frasco </t>
        </is>
      </c>
      <c r="J631" s="2" t="inlineStr">
        <is>
          <t>limpa profundamente / pele fresca e suave / sensação de revitalização / fragrância amadeirada intensa inspirada</t>
        </is>
      </c>
      <c r="K631" s="11" t="n"/>
      <c r="L631" s="11" t="n"/>
    </row>
    <row r="632" ht="15" customHeight="1" s="145">
      <c r="B632" s="63" t="inlineStr">
        <is>
          <t>Natura</t>
        </is>
      </c>
      <c r="C632" s="79" t="inlineStr">
        <is>
          <t>Homem</t>
        </is>
      </c>
      <c r="D632" s="64" t="inlineStr">
        <is>
          <t>Desodorante Hidratante Corporal</t>
        </is>
      </c>
      <c r="E632" s="136">
        <f>TRIM(CONCATENATE(D632, " ", C632, " ", F632, " ", IF(G632&gt;0, G632 &amp; "x" &amp; H632, H632), " ", I632))</f>
        <v/>
      </c>
      <c r="F632" s="2" t="inlineStr">
        <is>
          <t>Masculino</t>
        </is>
      </c>
      <c r="G632" s="131" t="n"/>
      <c r="H632" s="22" t="inlineStr">
        <is>
          <t xml:space="preserve">300ml </t>
        </is>
      </c>
      <c r="I632" s="31" t="inlineStr">
        <is>
          <t xml:space="preserve">Frasco </t>
        </is>
      </c>
      <c r="J632" s="11" t="inlineStr">
        <is>
          <t xml:space="preserve">Hidratação Imediata /  Hidratação até 48 Hrs   </t>
        </is>
      </c>
      <c r="K632" s="11" t="n"/>
      <c r="L632" s="11" t="n"/>
    </row>
    <row r="633" ht="15" customHeight="1" s="145">
      <c r="B633" s="63" t="inlineStr">
        <is>
          <t>Natura</t>
        </is>
      </c>
      <c r="C633" s="79" t="inlineStr">
        <is>
          <t>Homem</t>
        </is>
      </c>
      <c r="D633" s="64" t="inlineStr">
        <is>
          <t>Desodorante Hidratante Corporal</t>
        </is>
      </c>
      <c r="E633" s="136">
        <f>TRIM(CONCATENATE(D633, " ", C633, " ", F633, " ", IF(G633&gt;0, G633 &amp; "x" &amp; H633, H633), " ", I633))</f>
        <v/>
      </c>
      <c r="F633" s="2" t="inlineStr">
        <is>
          <t xml:space="preserve"> Tato</t>
        </is>
      </c>
      <c r="G633" s="131" t="n"/>
      <c r="H633" s="22" t="inlineStr">
        <is>
          <t xml:space="preserve">300ml </t>
        </is>
      </c>
      <c r="I633" s="31" t="inlineStr">
        <is>
          <t xml:space="preserve">Frasco </t>
        </is>
      </c>
      <c r="J633" s="11" t="inlineStr">
        <is>
          <t xml:space="preserve">Hidratação Imediata /  Hidratação até 48 Hrs   </t>
        </is>
      </c>
      <c r="K633" s="11" t="n"/>
      <c r="L633" s="11" t="n"/>
    </row>
    <row r="634" ht="15" customHeight="1" s="145">
      <c r="A634" t="inlineStr">
        <is>
          <t>NATBRA-149374</t>
        </is>
      </c>
      <c r="B634" s="63" t="inlineStr">
        <is>
          <t>Natura</t>
        </is>
      </c>
      <c r="C634" s="79" t="inlineStr">
        <is>
          <t>Homem</t>
        </is>
      </c>
      <c r="D634" s="64" t="inlineStr">
        <is>
          <t>Desodorante Antitranspirante Roll-on</t>
        </is>
      </c>
      <c r="E634" s="136">
        <f>TRIM(CONCATENATE(D634, " ", C634, " ", F634, " ", IF(G634&gt;0, G634 &amp; "x" &amp; H634, H634), " ", I634))</f>
        <v/>
      </c>
      <c r="F634" s="2" t="inlineStr">
        <is>
          <t xml:space="preserve"> Dom </t>
        </is>
      </c>
      <c r="G634" s="131" t="n"/>
      <c r="H634" s="2" t="inlineStr">
        <is>
          <t xml:space="preserve">75ml </t>
        </is>
      </c>
      <c r="I634" s="31" t="inlineStr">
        <is>
          <t xml:space="preserve">Frasco </t>
        </is>
      </c>
      <c r="J634" s="11" t="inlineStr">
        <is>
          <t>Fragrância com alta proteção até 72h / Cuida da pele com ativos naturais / Tem tecnologia invisível</t>
        </is>
      </c>
      <c r="K634" s="11" t="n"/>
      <c r="L634" s="11" t="inlineStr">
        <is>
          <t xml:space="preserve">R$ 29, 90 </t>
        </is>
      </c>
    </row>
    <row r="635" ht="15" customHeight="1" s="145">
      <c r="B635" s="63" t="inlineStr">
        <is>
          <t>Natura</t>
        </is>
      </c>
      <c r="C635" s="79" t="inlineStr">
        <is>
          <t>Homem</t>
        </is>
      </c>
      <c r="D635" s="64" t="inlineStr">
        <is>
          <t>Desodorante Antitranspirante Roll-on</t>
        </is>
      </c>
      <c r="E635" s="136">
        <f>TRIM(CONCATENATE(D635, " ", C635, " ", F635, " ", IF(G635&gt;0, G635 &amp; "x" &amp; H635, H635), " ", I635))</f>
        <v/>
      </c>
      <c r="F635" s="2" t="inlineStr">
        <is>
          <t xml:space="preserve"> Essence </t>
        </is>
      </c>
      <c r="G635" s="131" t="n"/>
      <c r="H635" s="2" t="inlineStr">
        <is>
          <t xml:space="preserve">75ml </t>
        </is>
      </c>
      <c r="I635" s="31" t="inlineStr">
        <is>
          <t xml:space="preserve">Frasco </t>
        </is>
      </c>
      <c r="J635" s="11" t="inlineStr">
        <is>
          <t>Fragrância com alta proteção até 72h / Cuida da pele com ativos naturais / Tem tecnologia invisível</t>
        </is>
      </c>
      <c r="K635" s="11" t="n"/>
      <c r="L635" s="11" t="inlineStr">
        <is>
          <t xml:space="preserve">R$ 29, 90 </t>
        </is>
      </c>
    </row>
    <row r="636" ht="15" customHeight="1" s="145">
      <c r="B636" s="63" t="inlineStr">
        <is>
          <t>Natura</t>
        </is>
      </c>
      <c r="C636" s="79" t="inlineStr">
        <is>
          <t>Homem</t>
        </is>
      </c>
      <c r="D636" s="64" t="inlineStr">
        <is>
          <t>Desodorante Antitranspirante Roll-on</t>
        </is>
      </c>
      <c r="E636" s="136">
        <f>TRIM(CONCATENATE(D636, " ", C636, " ", F636, " ", IF(G636&gt;0, G636 &amp; "x" &amp; H636, H636), " ", I636))</f>
        <v/>
      </c>
      <c r="F636" s="2" t="inlineStr">
        <is>
          <t xml:space="preserve"> Elo </t>
        </is>
      </c>
      <c r="G636" s="131" t="n"/>
      <c r="H636" s="2" t="inlineStr">
        <is>
          <t xml:space="preserve">75ml </t>
        </is>
      </c>
      <c r="I636" s="31" t="inlineStr">
        <is>
          <t xml:space="preserve">Frasco </t>
        </is>
      </c>
      <c r="J636" s="11" t="inlineStr">
        <is>
          <t>Fragrância com alta proteção até 72h / Cuida da pele com ativos naturais / Tem tecnologia invisível</t>
        </is>
      </c>
      <c r="K636" s="11" t="n"/>
      <c r="L636" s="11" t="inlineStr">
        <is>
          <t xml:space="preserve">R$ 29, 90 </t>
        </is>
      </c>
    </row>
    <row r="637" ht="15" customHeight="1" s="145">
      <c r="B637" s="63" t="inlineStr">
        <is>
          <t>Natura</t>
        </is>
      </c>
      <c r="C637" s="79" t="inlineStr">
        <is>
          <t>Homem</t>
        </is>
      </c>
      <c r="D637" s="64" t="inlineStr">
        <is>
          <t>Desodorante Antitranspirante Roll-on</t>
        </is>
      </c>
      <c r="E637" s="136">
        <f>TRIM(CONCATENATE(D637, " ", C637, " ", F637, " ", IF(G637&gt;0, G637 &amp; "x" &amp; H637, H637), " ", I637))</f>
        <v/>
      </c>
      <c r="F637" s="2" t="inlineStr">
        <is>
          <t xml:space="preserve"> Masculino</t>
        </is>
      </c>
      <c r="G637" s="131" t="n"/>
      <c r="H637" s="2" t="inlineStr">
        <is>
          <t xml:space="preserve">75 ml </t>
        </is>
      </c>
      <c r="I637" s="31" t="inlineStr">
        <is>
          <t xml:space="preserve">Frasco </t>
        </is>
      </c>
      <c r="J637" s="11" t="inlineStr">
        <is>
          <t>Fragrância com alta proteção até 72h / Cuida da pele com ativos naturais / Tem tecnologia invisível</t>
        </is>
      </c>
      <c r="K637" s="11" t="n"/>
      <c r="L637" s="11" t="inlineStr">
        <is>
          <t xml:space="preserve">R$ 29, 90 </t>
        </is>
      </c>
    </row>
    <row r="638" ht="15" customHeight="1" s="145">
      <c r="B638" s="63" t="inlineStr">
        <is>
          <t>Natura</t>
        </is>
      </c>
      <c r="C638" s="79" t="inlineStr">
        <is>
          <t>Homem</t>
        </is>
      </c>
      <c r="D638" s="64" t="inlineStr">
        <is>
          <t>Desodorante Antitranspirante Roll-on</t>
        </is>
      </c>
      <c r="E638" s="136">
        <f>TRIM(CONCATENATE(D638, " ", C638, " ", F638, " ", IF(G638&gt;0, G638 &amp; "x" &amp; H638, H638), " ", I638))</f>
        <v/>
      </c>
      <c r="F638" s="2" t="inlineStr">
        <is>
          <t xml:space="preserve"> Nós </t>
        </is>
      </c>
      <c r="G638" s="131" t="n"/>
      <c r="H638" s="2" t="inlineStr">
        <is>
          <t xml:space="preserve">75ml </t>
        </is>
      </c>
      <c r="I638" s="31" t="inlineStr">
        <is>
          <t xml:space="preserve">Frasco </t>
        </is>
      </c>
      <c r="J638" s="11" t="inlineStr">
        <is>
          <t>Fragrância com alta proteção até 72h / Cuida da pele com ativos naturais / Tem tecnologia invisível</t>
        </is>
      </c>
      <c r="K638" s="11" t="n"/>
      <c r="L638" s="11" t="inlineStr">
        <is>
          <t xml:space="preserve">R$ 29, 90 </t>
        </is>
      </c>
    </row>
    <row r="639" ht="15" customHeight="1" s="145">
      <c r="B639" s="63" t="inlineStr">
        <is>
          <t>Natura</t>
        </is>
      </c>
      <c r="C639" s="79" t="inlineStr">
        <is>
          <t>Homem</t>
        </is>
      </c>
      <c r="D639" s="64" t="inlineStr">
        <is>
          <t>Desodorante Antitranspirante Roll-on</t>
        </is>
      </c>
      <c r="E639" s="136">
        <f>TRIM(CONCATENATE(D639, " ", C639, " ", F639, " ", IF(G639&gt;0, G639 &amp; "x" &amp; H639, H639), " ", I639))</f>
        <v/>
      </c>
      <c r="F639" s="2" t="inlineStr">
        <is>
          <t xml:space="preserve"> Sagaz </t>
        </is>
      </c>
      <c r="G639" s="131" t="n"/>
      <c r="H639" s="2" t="inlineStr">
        <is>
          <t xml:space="preserve">75 ml </t>
        </is>
      </c>
      <c r="I639" s="31" t="inlineStr">
        <is>
          <t xml:space="preserve">Frasco </t>
        </is>
      </c>
      <c r="J639" s="11" t="inlineStr">
        <is>
          <t>Fragrância com alta proteção até 72h / Cuida da pele com ativos naturais / Tem tecnologia invisível</t>
        </is>
      </c>
      <c r="K639" s="11" t="n"/>
      <c r="L639" s="11" t="inlineStr">
        <is>
          <t xml:space="preserve">R$ 29, 90 </t>
        </is>
      </c>
    </row>
    <row r="640" ht="15" customHeight="1" s="145">
      <c r="B640" s="63" t="inlineStr">
        <is>
          <t>Natura</t>
        </is>
      </c>
      <c r="C640" s="79" t="inlineStr">
        <is>
          <t>Homem</t>
        </is>
      </c>
      <c r="D640" s="64" t="inlineStr">
        <is>
          <t>Desodorante Antitranspirante Roll-on</t>
        </is>
      </c>
      <c r="E640" s="136">
        <f>TRIM(CONCATENATE(D640, " ", C640, " ", F640, " ", IF(G640&gt;0, G640 &amp; "x" &amp; H640, H640), " ", I640))</f>
        <v/>
      </c>
      <c r="F640" s="2" t="inlineStr">
        <is>
          <t xml:space="preserve"> Sem Perfume </t>
        </is>
      </c>
      <c r="G640" s="131" t="n"/>
      <c r="H640" s="2" t="inlineStr">
        <is>
          <t xml:space="preserve">75ml </t>
        </is>
      </c>
      <c r="I640" s="31" t="inlineStr">
        <is>
          <t xml:space="preserve">Frasco </t>
        </is>
      </c>
      <c r="J640" s="11" t="inlineStr">
        <is>
          <t>Fragrância com alta proteção até 72h / Cuida da pele com ativos naturais / Tem tecnologia invisível</t>
        </is>
      </c>
      <c r="K640" s="11" t="n"/>
      <c r="L640" s="11" t="inlineStr">
        <is>
          <t xml:space="preserve">R$ 29, 90 </t>
        </is>
      </c>
    </row>
    <row r="641" ht="15" customHeight="1" s="145">
      <c r="B641" s="63" t="inlineStr">
        <is>
          <t>Natura</t>
        </is>
      </c>
      <c r="C641" s="79" t="inlineStr">
        <is>
          <t>Homem</t>
        </is>
      </c>
      <c r="D641" s="64" t="inlineStr">
        <is>
          <t>Desodorante Antitranspirante Roll-on</t>
        </is>
      </c>
      <c r="E641" s="136">
        <f>TRIM(CONCATENATE(D641, " ", C641, " ", F641, " ", IF(G641&gt;0, G641 &amp; "x" &amp; H641, H641), " ", I641))</f>
        <v/>
      </c>
      <c r="F641" s="2" t="inlineStr">
        <is>
          <t xml:space="preserve"> Tato </t>
        </is>
      </c>
      <c r="G641" s="131" t="n"/>
      <c r="H641" s="2" t="inlineStr">
        <is>
          <t xml:space="preserve">75ml </t>
        </is>
      </c>
      <c r="I641" s="31" t="inlineStr">
        <is>
          <t xml:space="preserve">Frasco </t>
        </is>
      </c>
      <c r="J641" s="11" t="inlineStr">
        <is>
          <t>Fragrância com alta proteção até 72h / Cuida da pele com ativos naturais / Tem tecnologia invisível</t>
        </is>
      </c>
      <c r="K641" s="11" t="n"/>
      <c r="L641" s="11" t="inlineStr">
        <is>
          <t xml:space="preserve">R$ 29, 90 </t>
        </is>
      </c>
    </row>
    <row r="642" ht="15" customHeight="1" s="145">
      <c r="B642" s="63" t="inlineStr">
        <is>
          <t>Natura</t>
        </is>
      </c>
      <c r="C642" s="79" t="inlineStr">
        <is>
          <t>Homem</t>
        </is>
      </c>
      <c r="D642" s="64" t="inlineStr">
        <is>
          <t xml:space="preserve">Shampoo 2 em 1 </t>
        </is>
      </c>
      <c r="E642" s="136">
        <f>TRIM(CONCATENATE(D642, " ", C642, " ", F642, " ", IF(G642&gt;0, G642 &amp; "x" &amp; H642, H642), " ", I642))</f>
        <v/>
      </c>
      <c r="F642" s="2" t="inlineStr">
        <is>
          <t xml:space="preserve">Masculino </t>
        </is>
      </c>
      <c r="G642" s="131" t="n"/>
      <c r="H642" s="2" t="inlineStr">
        <is>
          <t xml:space="preserve">300ml </t>
        </is>
      </c>
      <c r="I642" s="31" t="inlineStr">
        <is>
          <t xml:space="preserve">Frasco </t>
        </is>
      </c>
      <c r="J642" s="11" t="inlineStr">
        <is>
          <t>fórmula prática que limpa e condiciona sem pesar / saudável / refrescância e cuidado para os seus cabelos / óleo de babaçu, que contribui no reforço da barreira cutânea e do mecanismo de defesa da pele</t>
        </is>
      </c>
      <c r="K642" s="11" t="n"/>
      <c r="L642" s="11" t="inlineStr">
        <is>
          <t xml:space="preserve">R$ 49, 90 </t>
        </is>
      </c>
    </row>
    <row r="643" ht="15" customHeight="1" s="145">
      <c r="A643" t="inlineStr">
        <is>
          <t>NATBRA-147421</t>
        </is>
      </c>
      <c r="B643" s="63" t="inlineStr">
        <is>
          <t>Natura</t>
        </is>
      </c>
      <c r="C643" s="79" t="inlineStr">
        <is>
          <t>Homem</t>
        </is>
      </c>
      <c r="D643" s="64" t="inlineStr">
        <is>
          <t xml:space="preserve">Shampoo Antiqueda </t>
        </is>
      </c>
      <c r="E643" s="136">
        <f>TRIM(CONCATENATE(D643, " ", C643, " ", F643, " ", IF(G643&gt;0, G643 &amp; "x" &amp; H643, H643), " ", I643))</f>
        <v/>
      </c>
      <c r="F643" s="2" t="inlineStr">
        <is>
          <t xml:space="preserve">Masculino </t>
        </is>
      </c>
      <c r="G643" s="131" t="n"/>
      <c r="H643" s="2" t="inlineStr">
        <is>
          <t xml:space="preserve">300ml </t>
        </is>
      </c>
      <c r="I643" s="31" t="inlineStr">
        <is>
          <t xml:space="preserve">Frasco </t>
        </is>
      </c>
      <c r="J643" s="11" t="inlineStr">
        <is>
          <t xml:space="preserve">Antiqueda /  Fortifica os Fios com Redução Intensiva de queda </t>
        </is>
      </c>
      <c r="K643" s="11" t="n"/>
      <c r="L643" s="11" t="inlineStr">
        <is>
          <t xml:space="preserve">R$ 56, 90 </t>
        </is>
      </c>
    </row>
    <row r="644" ht="15" customHeight="1" s="145">
      <c r="B644" s="63" t="inlineStr">
        <is>
          <t>Natura</t>
        </is>
      </c>
      <c r="C644" s="79" t="inlineStr">
        <is>
          <t>Homem</t>
        </is>
      </c>
      <c r="D644" s="64" t="inlineStr">
        <is>
          <t xml:space="preserve">Shampoo Anticaspa </t>
        </is>
      </c>
      <c r="E644" s="136">
        <f>TRIM(CONCATENATE(D644, " ", C644, " ", F644, " ", IF(G644&gt;0, G644 &amp; "x" &amp; H644, H644), " ", I644))</f>
        <v/>
      </c>
      <c r="F644" s="2" t="inlineStr">
        <is>
          <t xml:space="preserve">Masculino </t>
        </is>
      </c>
      <c r="G644" s="131" t="n"/>
      <c r="H644" s="2" t="inlineStr">
        <is>
          <t xml:space="preserve">300ml </t>
        </is>
      </c>
      <c r="I644" s="31" t="inlineStr">
        <is>
          <t xml:space="preserve">Frasco </t>
        </is>
      </c>
      <c r="J644" s="11" t="inlineStr">
        <is>
          <t xml:space="preserve">Anticaspa / Elimina até 100% Da Caspa Visivel /  Sem Rescecar os Fios </t>
        </is>
      </c>
      <c r="K644" s="11" t="n"/>
      <c r="L644" s="11" t="inlineStr">
        <is>
          <t xml:space="preserve">R$ 56, 90 </t>
        </is>
      </c>
    </row>
    <row r="645" ht="15" customHeight="1" s="145">
      <c r="B645" s="63" t="inlineStr">
        <is>
          <t>Natura</t>
        </is>
      </c>
      <c r="C645" s="79" t="inlineStr">
        <is>
          <t>Homem</t>
        </is>
      </c>
      <c r="D645" s="64" t="inlineStr">
        <is>
          <t xml:space="preserve"> Shampoo Cabelo Corpo </t>
        </is>
      </c>
      <c r="E645" s="136">
        <f>TRIM(CONCATENATE(D645, " ", C645, " ", F645, " ", IF(G645&gt;0, G645 &amp; "x" &amp; H645, H645), " ", I645))</f>
        <v/>
      </c>
      <c r="F645" s="2" t="inlineStr">
        <is>
          <t xml:space="preserve"> Meninos infantil</t>
        </is>
      </c>
      <c r="G645" s="131" t="n"/>
      <c r="H645" s="2" t="inlineStr">
        <is>
          <t xml:space="preserve">100ml </t>
        </is>
      </c>
      <c r="I645" s="31" t="inlineStr">
        <is>
          <t xml:space="preserve">Frasco </t>
        </is>
      </c>
      <c r="J645" s="11" t="inlineStr">
        <is>
          <t xml:space="preserve">Limpa / Perfuma /  HIdrata </t>
        </is>
      </c>
      <c r="K645" s="11" t="n"/>
      <c r="L645" s="11" t="inlineStr">
        <is>
          <t xml:space="preserve">R$ 34, 90 </t>
        </is>
      </c>
    </row>
    <row r="646" ht="15" customHeight="1" s="145">
      <c r="B646" s="63" t="inlineStr">
        <is>
          <t>Natura</t>
        </is>
      </c>
      <c r="C646" s="79" t="inlineStr">
        <is>
          <t>Homem</t>
        </is>
      </c>
      <c r="D646" s="64" t="inlineStr">
        <is>
          <t xml:space="preserve">Shower Gel 4 em 1 </t>
        </is>
      </c>
      <c r="E646" s="136">
        <f>TRIM(CONCATENATE(D646, " ", C646, " ", F646, " ", IF(G646&gt;0, G646 &amp; "x" &amp; H646, H646), " ", I646))</f>
        <v/>
      </c>
      <c r="F646" s="2" t="inlineStr">
        <is>
          <t xml:space="preserve">Masculino </t>
        </is>
      </c>
      <c r="G646" s="131" t="n"/>
      <c r="H646" s="2" t="inlineStr">
        <is>
          <t xml:space="preserve">200g </t>
        </is>
      </c>
      <c r="I646" s="31" t="inlineStr">
        <is>
          <t xml:space="preserve">Frasco </t>
        </is>
      </c>
      <c r="J646" s="11" t="inlineStr">
        <is>
          <t xml:space="preserve">Shower Gel 4 em 1 / Cabelo / Barba / Rosto / Corpo / Limpa / Protege a pele e os fios </t>
        </is>
      </c>
      <c r="K646" s="11" t="n"/>
      <c r="L646" s="11" t="inlineStr">
        <is>
          <t xml:space="preserve">R$ 56, 90 </t>
        </is>
      </c>
    </row>
    <row r="647" ht="15" customHeight="1" s="145">
      <c r="B647" s="63" t="inlineStr">
        <is>
          <t>Natura</t>
        </is>
      </c>
      <c r="C647" s="79" t="inlineStr">
        <is>
          <t>Homem</t>
        </is>
      </c>
      <c r="D647" s="64" t="inlineStr">
        <is>
          <t xml:space="preserve">Sabonete Faciel Esfolianete </t>
        </is>
      </c>
      <c r="E647" s="136">
        <f>TRIM(CONCATENATE(D647, " ", C647, " ", F647, " ", IF(G647&gt;0, G647 &amp; "x" &amp; H647, H647), " ", I647))</f>
        <v/>
      </c>
      <c r="F647" s="2" t="inlineStr">
        <is>
          <t xml:space="preserve">Masculino </t>
        </is>
      </c>
      <c r="G647" s="131" t="n"/>
      <c r="H647" s="2" t="inlineStr">
        <is>
          <t xml:space="preserve">75ml </t>
        </is>
      </c>
      <c r="I647" s="31" t="inlineStr">
        <is>
          <t xml:space="preserve">Frasco </t>
        </is>
      </c>
      <c r="J647" s="11" t="inlineStr">
        <is>
          <t xml:space="preserve">Limoa / Esfolia / Estimulando a renovação da pele </t>
        </is>
      </c>
      <c r="K647" s="11" t="n"/>
      <c r="L647" s="11" t="inlineStr">
        <is>
          <t xml:space="preserve">R$ 59, 90 </t>
        </is>
      </c>
    </row>
    <row r="648" ht="15" customHeight="1" s="145">
      <c r="B648" s="63" t="inlineStr">
        <is>
          <t>Natura</t>
        </is>
      </c>
      <c r="C648" s="79" t="inlineStr">
        <is>
          <t>Homem</t>
        </is>
      </c>
      <c r="D648" s="64" t="inlineStr">
        <is>
          <t xml:space="preserve">Espuma de Barbear </t>
        </is>
      </c>
      <c r="E648" s="136">
        <f>TRIM(CONCATENATE(D648, " ", C648, " ", F648, " ", IF(G648&gt;0, G648 &amp; "x" &amp; H648, H648), " ", I648))</f>
        <v/>
      </c>
      <c r="F648" s="2" t="inlineStr">
        <is>
          <t xml:space="preserve">Masculino </t>
        </is>
      </c>
      <c r="G648" s="131" t="n"/>
      <c r="H648" s="2" t="inlineStr">
        <is>
          <t xml:space="preserve">200 ml </t>
        </is>
      </c>
      <c r="I648" s="31" t="inlineStr">
        <is>
          <t xml:space="preserve">Frasco </t>
        </is>
      </c>
      <c r="J648" s="11" t="inlineStr">
        <is>
          <t xml:space="preserve">Sensação de Frescor / Pele Limpa / Barbear Confortavel </t>
        </is>
      </c>
      <c r="K648" s="11" t="n"/>
      <c r="L648" s="11" t="inlineStr">
        <is>
          <t xml:space="preserve">R$ 69, 90 </t>
        </is>
      </c>
    </row>
    <row r="649" ht="15" customHeight="1" s="145">
      <c r="B649" s="63" t="inlineStr">
        <is>
          <t>Natura</t>
        </is>
      </c>
      <c r="C649" s="79" t="inlineStr">
        <is>
          <t>Homem</t>
        </is>
      </c>
      <c r="D649" s="64" t="inlineStr">
        <is>
          <t xml:space="preserve">Gel Para Barbear </t>
        </is>
      </c>
      <c r="E649" s="136">
        <f>TRIM(CONCATENATE(D649, " ", C649, " ", F649, " ", IF(G649&gt;0, G649 &amp; "x" &amp; H649, H649), " ", I649))</f>
        <v/>
      </c>
      <c r="F649" s="2" t="inlineStr">
        <is>
          <t xml:space="preserve">Masculino </t>
        </is>
      </c>
      <c r="G649" s="131" t="n"/>
      <c r="H649" s="2" t="inlineStr">
        <is>
          <t xml:space="preserve">75g </t>
        </is>
      </c>
      <c r="I649" s="31" t="inlineStr">
        <is>
          <t xml:space="preserve">Frsaco </t>
        </is>
      </c>
      <c r="J649" s="11" t="inlineStr">
        <is>
          <t xml:space="preserve">Gel Translucido / Facilita o Desenho da Barba </t>
        </is>
      </c>
      <c r="K649" s="11" t="n"/>
      <c r="L649" s="11" t="inlineStr">
        <is>
          <t xml:space="preserve">R$ 48, 90 </t>
        </is>
      </c>
    </row>
    <row r="650" ht="15" customHeight="1" s="145">
      <c r="B650" s="63" t="inlineStr">
        <is>
          <t>Natura</t>
        </is>
      </c>
      <c r="C650" s="79" t="inlineStr">
        <is>
          <t>Homem</t>
        </is>
      </c>
      <c r="D650" s="64" t="inlineStr">
        <is>
          <t xml:space="preserve">Creme Para Barbear Multifuncional </t>
        </is>
      </c>
      <c r="E650" s="136">
        <f>TRIM(CONCATENATE(D650, " ", C650, " ", F650, " ", IF(G650&gt;0, G650 &amp; "x" &amp; H650, H650), " ", I650))</f>
        <v/>
      </c>
      <c r="F650" s="2" t="inlineStr">
        <is>
          <t xml:space="preserve">Masculino </t>
        </is>
      </c>
      <c r="G650" s="131" t="n"/>
      <c r="H650" s="2" t="inlineStr">
        <is>
          <t xml:space="preserve">75ml </t>
        </is>
      </c>
      <c r="I650" s="31" t="inlineStr">
        <is>
          <t xml:space="preserve">Frsaco </t>
        </is>
      </c>
      <c r="J650" s="11" t="inlineStr">
        <is>
          <t xml:space="preserve">Reduz a Irritação no Barbear </t>
        </is>
      </c>
      <c r="K650" s="11" t="n"/>
      <c r="L650" s="11" t="inlineStr">
        <is>
          <t>R$  55, 90</t>
        </is>
      </c>
    </row>
    <row r="651" ht="15" customHeight="1" s="145">
      <c r="B651" s="63" t="inlineStr">
        <is>
          <t>Natura</t>
        </is>
      </c>
      <c r="C651" s="79" t="inlineStr">
        <is>
          <t>Homem</t>
        </is>
      </c>
      <c r="D651" s="64" t="inlineStr">
        <is>
          <t xml:space="preserve">Balm Pos Barba Multifuncinal </t>
        </is>
      </c>
      <c r="E651" s="136">
        <f>TRIM(CONCATENATE(D651, " ", C651, " ", F651, " ", IF(G651&gt;0, G651 &amp; "x" &amp; H651, H651), " ", I651))</f>
        <v/>
      </c>
      <c r="F651" s="2" t="inlineStr">
        <is>
          <t xml:space="preserve">Masculino </t>
        </is>
      </c>
      <c r="G651" s="131" t="n"/>
      <c r="H651" s="2" t="inlineStr">
        <is>
          <t xml:space="preserve">75ml </t>
        </is>
      </c>
      <c r="I651" s="31" t="inlineStr">
        <is>
          <t xml:space="preserve">Frasco </t>
        </is>
      </c>
      <c r="J651" s="2" t="inlineStr">
        <is>
          <t xml:space="preserve">Acalma / Revitaliza / Hidratação Profunda </t>
        </is>
      </c>
      <c r="K651" s="2" t="n"/>
      <c r="L651" s="2" t="inlineStr">
        <is>
          <t xml:space="preserve">R$ 72, 90 </t>
        </is>
      </c>
    </row>
    <row r="652" ht="15" customHeight="1" s="145">
      <c r="B652" s="63" t="inlineStr">
        <is>
          <t>Natura</t>
        </is>
      </c>
      <c r="C652" s="79" t="inlineStr">
        <is>
          <t>Homem</t>
        </is>
      </c>
      <c r="D652" s="64" t="inlineStr">
        <is>
          <t>Oleo para Barba</t>
        </is>
      </c>
      <c r="E652" s="136">
        <f>TRIM(CONCATENATE(D652, " ", C652, " ", F652, " ", IF(G652&gt;0, G652 &amp; "x" &amp; H652, H652), " ", I652))</f>
        <v/>
      </c>
      <c r="F652" s="2" t="inlineStr">
        <is>
          <t xml:space="preserve">Masculino </t>
        </is>
      </c>
      <c r="G652" s="131" t="n"/>
      <c r="H652" s="2" t="inlineStr">
        <is>
          <t xml:space="preserve">30ml </t>
        </is>
      </c>
      <c r="I652" s="31" t="inlineStr">
        <is>
          <t xml:space="preserve">Frasco </t>
        </is>
      </c>
      <c r="J652" s="2" t="inlineStr">
        <is>
          <t xml:space="preserve">Barba até 2 Vezes mais Macia / Hidratada 2 vezes mais </t>
        </is>
      </c>
      <c r="K652" s="11" t="n"/>
      <c r="L652" s="11" t="inlineStr">
        <is>
          <t xml:space="preserve">R$ 79, 90 </t>
        </is>
      </c>
    </row>
    <row r="653" ht="15" customHeight="1" s="145">
      <c r="B653" s="63" t="inlineStr">
        <is>
          <t>Natura</t>
        </is>
      </c>
      <c r="C653" s="79" t="inlineStr">
        <is>
          <t>Homem</t>
        </is>
      </c>
      <c r="D653" s="64" t="inlineStr">
        <is>
          <t>Hidratante para Maos Ressecadas</t>
        </is>
      </c>
      <c r="E653" s="136">
        <f>TRIM(CONCATENATE(D653, " ", C653, " ", F653, " ", IF(G653&gt;0, G653 &amp; "x" &amp; H653, H653), " ", I653))</f>
        <v/>
      </c>
      <c r="F653" s="2" t="inlineStr">
        <is>
          <t xml:space="preserve">Masculino </t>
        </is>
      </c>
      <c r="G653" s="131" t="n"/>
      <c r="H653" s="2" t="inlineStr">
        <is>
          <t xml:space="preserve">50ml </t>
        </is>
      </c>
      <c r="I653" s="31" t="inlineStr">
        <is>
          <t xml:space="preserve">Frasco </t>
        </is>
      </c>
      <c r="J653" s="11" t="inlineStr">
        <is>
          <t xml:space="preserve">Pele Profundamente Hidratanda </t>
        </is>
      </c>
      <c r="K653" s="11" t="n"/>
      <c r="L653" s="11" t="inlineStr">
        <is>
          <t xml:space="preserve">R$ 39, 90 </t>
        </is>
      </c>
    </row>
    <row r="654" ht="15" customHeight="1" s="145">
      <c r="B654" s="63" t="inlineStr">
        <is>
          <t>Natura</t>
        </is>
      </c>
      <c r="C654" s="80" t="inlineStr">
        <is>
          <t>Seve</t>
        </is>
      </c>
      <c r="D654" s="64" t="inlineStr">
        <is>
          <t xml:space="preserve">Oleo Corporal </t>
        </is>
      </c>
      <c r="E654" s="136">
        <f>TRIM(CONCATENATE(D654, " ", C654, " ", F654, " ", IF(G654&gt;0, G654 &amp; "x" &amp; H654, H654), " ", I654))</f>
        <v/>
      </c>
      <c r="F654" s="2" t="inlineStr">
        <is>
          <t xml:space="preserve">Amendoas e Cereja </t>
        </is>
      </c>
      <c r="G654" s="131" t="n"/>
      <c r="H654" s="2" t="inlineStr">
        <is>
          <t xml:space="preserve">200ml </t>
        </is>
      </c>
      <c r="I654" s="31" t="inlineStr">
        <is>
          <t xml:space="preserve">Frasco </t>
        </is>
      </c>
      <c r="J654" s="11" t="inlineStr">
        <is>
          <t xml:space="preserve">Pele Macia e Hidratada 24 hrs / Realça o seu Brilhoi Natural Da Pele / Fragrancia Envolvente / Sensualidade / Aflora a beleza </t>
        </is>
      </c>
      <c r="K654" s="11" t="n"/>
      <c r="L654" s="11" t="inlineStr">
        <is>
          <t xml:space="preserve">R$ 115, 90 </t>
        </is>
      </c>
    </row>
    <row r="655" ht="15" customHeight="1" s="145">
      <c r="B655" s="63" t="inlineStr">
        <is>
          <t>Natura</t>
        </is>
      </c>
      <c r="C655" s="80" t="inlineStr">
        <is>
          <t>Seve</t>
        </is>
      </c>
      <c r="D655" s="64" t="inlineStr">
        <is>
          <t xml:space="preserve">Oleo Corporal </t>
        </is>
      </c>
      <c r="E655" s="136">
        <f>TRIM(CONCATENATE(D655, " ", C655, " ", F655, " ", IF(G655&gt;0, G655 &amp; "x" &amp; H655, H655), " ", I655))</f>
        <v/>
      </c>
      <c r="F655" s="2" t="inlineStr">
        <is>
          <t>Amêndoas Doces</t>
        </is>
      </c>
      <c r="G655" s="131" t="n"/>
      <c r="H655" s="2" t="inlineStr">
        <is>
          <t xml:space="preserve">200ml </t>
        </is>
      </c>
      <c r="I655" s="31" t="inlineStr">
        <is>
          <t xml:space="preserve">Frasco </t>
        </is>
      </c>
      <c r="J655" s="11" t="inlineStr">
        <is>
          <t xml:space="preserve">Pele Macia e Hidratada 24 hrs / Realça o seu Brilhoi Natural Da Pele / Fragrancia Envolvente / Sensualidade / Aflora a beleza </t>
        </is>
      </c>
      <c r="K655" s="11" t="n"/>
      <c r="L655" s="11" t="inlineStr">
        <is>
          <t xml:space="preserve">R$ 115, 90 </t>
        </is>
      </c>
    </row>
    <row r="656" ht="15" customHeight="1" s="145">
      <c r="B656" s="63" t="inlineStr">
        <is>
          <t>Natura</t>
        </is>
      </c>
      <c r="C656" s="80" t="inlineStr">
        <is>
          <t>Seve</t>
        </is>
      </c>
      <c r="D656" s="64" t="inlineStr">
        <is>
          <t xml:space="preserve">Oleo Corporal </t>
        </is>
      </c>
      <c r="E656" s="136">
        <f>TRIM(CONCATENATE(D656, " ", C656, " ", F656, " ", IF(G656&gt;0, G656 &amp; "x" &amp; H656, H656), " ", I656))</f>
        <v/>
      </c>
      <c r="F656" s="2" t="inlineStr">
        <is>
          <t xml:space="preserve">Amendoas Doces Intensa </t>
        </is>
      </c>
      <c r="G656" s="131" t="n"/>
      <c r="H656" s="2" t="inlineStr">
        <is>
          <t xml:space="preserve">200ml </t>
        </is>
      </c>
      <c r="I656" s="31" t="inlineStr">
        <is>
          <t xml:space="preserve">Frasco </t>
        </is>
      </c>
      <c r="J656" s="11" t="inlineStr">
        <is>
          <t xml:space="preserve">Pele Macia e Hidratada 24 hrs / Realça o seu Brilhoi Natural Da Pele / Fragrancia Envolvente / Sensualidade / Aflora a beleza </t>
        </is>
      </c>
      <c r="K656" s="11" t="n"/>
      <c r="L656" s="11" t="inlineStr">
        <is>
          <t xml:space="preserve">R$ 115, 90 </t>
        </is>
      </c>
    </row>
    <row r="657" ht="15" customHeight="1" s="145">
      <c r="B657" s="63" t="inlineStr">
        <is>
          <t>Natura</t>
        </is>
      </c>
      <c r="C657" s="80" t="inlineStr">
        <is>
          <t>Seve</t>
        </is>
      </c>
      <c r="D657" s="64" t="inlineStr">
        <is>
          <t xml:space="preserve">Oleo Corporal </t>
        </is>
      </c>
      <c r="E657" s="136">
        <f>TRIM(CONCATENATE(D657, " ", C657, " ", F657, " ", IF(G657&gt;0, G657 &amp; "x" &amp; H657, H657), " ", I657))</f>
        <v/>
      </c>
      <c r="F657" s="2" t="inlineStr">
        <is>
          <t xml:space="preserve">Amêndoas e Flor de Ameixa </t>
        </is>
      </c>
      <c r="G657" s="131" t="n"/>
      <c r="H657" s="2" t="inlineStr">
        <is>
          <t xml:space="preserve">200ml </t>
        </is>
      </c>
      <c r="I657" s="31" t="inlineStr">
        <is>
          <t xml:space="preserve">Frasco </t>
        </is>
      </c>
      <c r="J657" s="11" t="inlineStr">
        <is>
          <t xml:space="preserve">Pele Macia e Hidratada 24 hrs / Realça o seu Brilhoi Natural Da Pele / Fragrancia Envolvente / Sensualidade / Aflora a beleza </t>
        </is>
      </c>
      <c r="K657" s="11" t="n"/>
      <c r="L657" s="11" t="inlineStr">
        <is>
          <t xml:space="preserve">R$ 115, 90 </t>
        </is>
      </c>
    </row>
    <row r="658" ht="15" customHeight="1" s="145">
      <c r="B658" s="63" t="inlineStr">
        <is>
          <t>Natura</t>
        </is>
      </c>
      <c r="C658" s="80" t="inlineStr">
        <is>
          <t>Seve</t>
        </is>
      </c>
      <c r="D658" s="64" t="inlineStr">
        <is>
          <t xml:space="preserve">Oleo Corporal </t>
        </is>
      </c>
      <c r="E658" s="136">
        <f>TRIM(CONCATENATE(D658, " ", C658, " ", F658, " ", IF(G658&gt;0, G658 &amp; "x" &amp; H658, H658), " ", I658))</f>
        <v/>
      </c>
      <c r="F658" s="2" t="inlineStr">
        <is>
          <t xml:space="preserve">Amêndoas e Orquidia Negra </t>
        </is>
      </c>
      <c r="G658" s="131" t="n"/>
      <c r="H658" s="2" t="inlineStr">
        <is>
          <t xml:space="preserve">200ml </t>
        </is>
      </c>
      <c r="I658" s="31" t="inlineStr">
        <is>
          <t xml:space="preserve">Frasco </t>
        </is>
      </c>
      <c r="J658" s="11" t="inlineStr">
        <is>
          <t xml:space="preserve">Pele Macia e Hidratada 24 hrs / Realça o seu Brilhoi Natural Da Pele / Fragrancia Envolvente / Sensualidade / Aflora a beleza </t>
        </is>
      </c>
      <c r="K658" s="11" t="n"/>
      <c r="L658" s="11" t="inlineStr">
        <is>
          <t xml:space="preserve">R$ 115, 90 </t>
        </is>
      </c>
    </row>
    <row r="659" ht="15" customHeight="1" s="145">
      <c r="B659" s="63" t="inlineStr">
        <is>
          <t>Natura</t>
        </is>
      </c>
      <c r="C659" s="80" t="inlineStr">
        <is>
          <t>Seve</t>
        </is>
      </c>
      <c r="D659" s="64" t="inlineStr">
        <is>
          <t xml:space="preserve">Oleo Corporal </t>
        </is>
      </c>
      <c r="E659" s="136">
        <f>TRIM(CONCATENATE(D659, " ", C659, " ", F659, " ", IF(G659&gt;0, G659 &amp; "x" &amp; H659, H659), " ", I659))</f>
        <v/>
      </c>
      <c r="F659" s="2" t="inlineStr">
        <is>
          <t xml:space="preserve">Rosas e Amendoas </t>
        </is>
      </c>
      <c r="G659" s="131" t="n"/>
      <c r="H659" s="2" t="inlineStr">
        <is>
          <t xml:space="preserve">200ml </t>
        </is>
      </c>
      <c r="I659" s="31" t="inlineStr">
        <is>
          <t xml:space="preserve">Frasco </t>
        </is>
      </c>
      <c r="J659" s="11" t="inlineStr">
        <is>
          <t xml:space="preserve">Pele Macia e Hidratada 24 hrs / Realça o seu Brilhoi Natural Da Pele / Fragrancia Envolvente / Sensualidade / Aflora a beleza </t>
        </is>
      </c>
      <c r="K659" s="11" t="n"/>
      <c r="L659" s="11" t="inlineStr">
        <is>
          <t xml:space="preserve">R$ 115, 90 </t>
        </is>
      </c>
    </row>
    <row r="660" ht="15" customHeight="1" s="145">
      <c r="B660" s="63" t="inlineStr">
        <is>
          <t>Natura</t>
        </is>
      </c>
      <c r="C660" s="80" t="inlineStr">
        <is>
          <t>Seve</t>
        </is>
      </c>
      <c r="D660" s="64" t="inlineStr">
        <is>
          <t xml:space="preserve">Oleo Corporal </t>
        </is>
      </c>
      <c r="E660" s="136">
        <f>TRIM(CONCATENATE(D660, " ", C660, " ", F660, " ", IF(G660&gt;0, G660 &amp; "x" &amp; H660, H660), " ", I660))</f>
        <v/>
      </c>
      <c r="F660" s="2" t="inlineStr">
        <is>
          <t xml:space="preserve">Pimenta Rosa </t>
        </is>
      </c>
      <c r="G660" s="131" t="n"/>
      <c r="H660" s="2" t="inlineStr">
        <is>
          <t xml:space="preserve">200ml </t>
        </is>
      </c>
      <c r="I660" s="31" t="inlineStr">
        <is>
          <t xml:space="preserve">Frasco </t>
        </is>
      </c>
      <c r="J660" s="11" t="inlineStr">
        <is>
          <t xml:space="preserve">Pele Macia e Hidratada 24 hrs / Realça o seu Brilhoi Natural Da Pele / Fragrancia Envolvente / Sensualidade / Aflora a beleza </t>
        </is>
      </c>
      <c r="K660" s="11" t="n"/>
      <c r="L660" s="11" t="inlineStr">
        <is>
          <t xml:space="preserve">R$ 115, 90 </t>
        </is>
      </c>
    </row>
    <row r="661" ht="15" customHeight="1" s="145">
      <c r="B661" s="63" t="inlineStr">
        <is>
          <t>Natura</t>
        </is>
      </c>
      <c r="C661" s="80" t="inlineStr">
        <is>
          <t>Seve</t>
        </is>
      </c>
      <c r="D661" s="64" t="inlineStr">
        <is>
          <t xml:space="preserve">Oleo Corporal </t>
        </is>
      </c>
      <c r="E661" s="136">
        <f>TRIM(CONCATENATE(D661, " ", C661, " ", F661, " ", IF(G661&gt;0, G661 &amp; "x" &amp; H661, H661), " ", I661))</f>
        <v/>
      </c>
      <c r="F661" s="2" t="inlineStr">
        <is>
          <t xml:space="preserve">Amendoas e Cereja </t>
        </is>
      </c>
      <c r="G661" s="131" t="n"/>
      <c r="H661" s="2" t="inlineStr">
        <is>
          <t xml:space="preserve">200ml </t>
        </is>
      </c>
      <c r="I661" s="31" t="inlineStr">
        <is>
          <t xml:space="preserve">Refil </t>
        </is>
      </c>
      <c r="J661" s="11" t="inlineStr">
        <is>
          <t xml:space="preserve">Pele Macia e Hidratada 24 hrs / Realça o seu Brilhoi Natural Da Pele / Fragrancia Envolvente / Sensualidade / Aflora a beleza </t>
        </is>
      </c>
      <c r="K661" s="11" t="n"/>
      <c r="L661" s="11" t="inlineStr">
        <is>
          <t xml:space="preserve">R$ 98, 90 </t>
        </is>
      </c>
    </row>
    <row r="662" ht="15" customHeight="1" s="145">
      <c r="B662" s="63" t="inlineStr">
        <is>
          <t>Natura</t>
        </is>
      </c>
      <c r="C662" s="80" t="inlineStr">
        <is>
          <t>Seve</t>
        </is>
      </c>
      <c r="D662" s="64" t="inlineStr">
        <is>
          <t xml:space="preserve">Oleo Corporal </t>
        </is>
      </c>
      <c r="E662" s="136">
        <f>TRIM(CONCATENATE(D662, " ", C662, " ", F662, " ", IF(G662&gt;0, G662 &amp; "x" &amp; H662, H662), " ", I662))</f>
        <v/>
      </c>
      <c r="F662" s="2" t="inlineStr">
        <is>
          <t>Amêndoas Doces</t>
        </is>
      </c>
      <c r="G662" s="131" t="n"/>
      <c r="H662" s="2" t="inlineStr">
        <is>
          <t xml:space="preserve">200ml </t>
        </is>
      </c>
      <c r="I662" s="31" t="inlineStr">
        <is>
          <t xml:space="preserve">Refil </t>
        </is>
      </c>
      <c r="J662" s="11" t="inlineStr">
        <is>
          <t xml:space="preserve">Pele Macia e Hidratada 24 hrs / Realça o seu Brilhoi Natural Da Pele / Fragrancia Envolvente / Sensualidade / Aflora a beleza </t>
        </is>
      </c>
      <c r="K662" s="11" t="n"/>
      <c r="L662" s="11" t="inlineStr">
        <is>
          <t xml:space="preserve">R$ 98, 90 </t>
        </is>
      </c>
    </row>
    <row r="663" ht="15" customHeight="1" s="145">
      <c r="B663" s="63" t="inlineStr">
        <is>
          <t>Natura</t>
        </is>
      </c>
      <c r="C663" s="80" t="inlineStr">
        <is>
          <t>Seve</t>
        </is>
      </c>
      <c r="D663" s="64" t="inlineStr">
        <is>
          <t xml:space="preserve">Oleo Corporal </t>
        </is>
      </c>
      <c r="E663" s="136">
        <f>TRIM(CONCATENATE(D663, " ", C663, " ", F663, " ", IF(G663&gt;0, G663 &amp; "x" &amp; H663, H663), " ", I663))</f>
        <v/>
      </c>
      <c r="F663" s="2" t="inlineStr">
        <is>
          <t xml:space="preserve">Amendoas Doces Intensa </t>
        </is>
      </c>
      <c r="G663" s="131" t="n"/>
      <c r="H663" s="2" t="inlineStr">
        <is>
          <t xml:space="preserve">200ml </t>
        </is>
      </c>
      <c r="I663" s="31" t="inlineStr">
        <is>
          <t xml:space="preserve">Refil </t>
        </is>
      </c>
      <c r="J663" s="11" t="inlineStr">
        <is>
          <t xml:space="preserve">Pele Macia e Hidratada 24 hrs / Realça o seu Brilhoi Natural Da Pele / Fragrancia Envolvente / Sensualidade / Aflora a beleza </t>
        </is>
      </c>
      <c r="K663" s="11" t="n"/>
      <c r="L663" s="11" t="inlineStr">
        <is>
          <t xml:space="preserve">R$ 98, 90 </t>
        </is>
      </c>
    </row>
    <row r="664" ht="15" customHeight="1" s="145">
      <c r="B664" s="63" t="inlineStr">
        <is>
          <t>Natura</t>
        </is>
      </c>
      <c r="C664" s="80" t="inlineStr">
        <is>
          <t>Seve</t>
        </is>
      </c>
      <c r="D664" s="64" t="inlineStr">
        <is>
          <t xml:space="preserve">Oleo Corporal </t>
        </is>
      </c>
      <c r="E664" s="136">
        <f>TRIM(CONCATENATE(D664, " ", C664, " ", F664, " ", IF(G664&gt;0, G664 &amp; "x" &amp; H664, H664), " ", I664))</f>
        <v/>
      </c>
      <c r="F664" s="2" t="inlineStr">
        <is>
          <t xml:space="preserve">Amêndoas e Flor de Ameixa </t>
        </is>
      </c>
      <c r="G664" s="131" t="n"/>
      <c r="H664" s="2" t="inlineStr">
        <is>
          <t xml:space="preserve">200ml </t>
        </is>
      </c>
      <c r="I664" s="31" t="inlineStr">
        <is>
          <t xml:space="preserve">Refil </t>
        </is>
      </c>
      <c r="J664" s="11" t="inlineStr">
        <is>
          <t xml:space="preserve">Pele Macia e Hidratada 24 hrs / Realça o seu Brilhoi Natural Da Pele / Fragrancia Envolvente / Sensualidade / Aflora a beleza </t>
        </is>
      </c>
      <c r="K664" s="11" t="n"/>
      <c r="L664" s="11" t="inlineStr">
        <is>
          <t xml:space="preserve">R$ 98, 90 </t>
        </is>
      </c>
    </row>
    <row r="665" ht="15" customHeight="1" s="145">
      <c r="B665" s="63" t="inlineStr">
        <is>
          <t>Natura</t>
        </is>
      </c>
      <c r="C665" s="80" t="inlineStr">
        <is>
          <t>Seve</t>
        </is>
      </c>
      <c r="D665" s="64" t="inlineStr">
        <is>
          <t xml:space="preserve">Oleo Corporal </t>
        </is>
      </c>
      <c r="E665" s="136">
        <f>TRIM(CONCATENATE(D665, " ", C665, " ", F665, " ", IF(G665&gt;0, G665 &amp; "x" &amp; H665, H665), " ", I665))</f>
        <v/>
      </c>
      <c r="F665" s="2" t="inlineStr">
        <is>
          <t xml:space="preserve">Amêndoas e Orquidia Negra </t>
        </is>
      </c>
      <c r="G665" s="131" t="n"/>
      <c r="H665" s="2" t="inlineStr">
        <is>
          <t xml:space="preserve">200ml </t>
        </is>
      </c>
      <c r="I665" s="31" t="inlineStr">
        <is>
          <t xml:space="preserve">Refil </t>
        </is>
      </c>
      <c r="J665" s="11" t="inlineStr">
        <is>
          <t xml:space="preserve">Pele Macia e Hidratada 24 hrs / Realça o seu Brilhoi Natural Da Pele / Fragrancia Envolvente / Sensualidade / Aflora a beleza </t>
        </is>
      </c>
      <c r="K665" s="11" t="n"/>
      <c r="L665" s="11" t="inlineStr">
        <is>
          <t xml:space="preserve">R$ 98, 90 </t>
        </is>
      </c>
    </row>
    <row r="666" ht="15" customHeight="1" s="145">
      <c r="B666" s="63" t="inlineStr">
        <is>
          <t>Natura</t>
        </is>
      </c>
      <c r="C666" s="80" t="inlineStr">
        <is>
          <t>Seve</t>
        </is>
      </c>
      <c r="D666" s="64" t="inlineStr">
        <is>
          <t xml:space="preserve">Oleo Corporal </t>
        </is>
      </c>
      <c r="E666" s="136">
        <f>TRIM(CONCATENATE(D666, " ", C666, " ", F666, " ", IF(G666&gt;0, G666 &amp; "x" &amp; H666, H666), " ", I666))</f>
        <v/>
      </c>
      <c r="F666" s="2" t="inlineStr">
        <is>
          <t xml:space="preserve">Rosas e Amendoas </t>
        </is>
      </c>
      <c r="G666" s="131" t="n"/>
      <c r="H666" s="2" t="inlineStr">
        <is>
          <t xml:space="preserve">200ml </t>
        </is>
      </c>
      <c r="I666" s="31" t="inlineStr">
        <is>
          <t xml:space="preserve">Refil </t>
        </is>
      </c>
      <c r="J666" s="11" t="inlineStr">
        <is>
          <t xml:space="preserve">Pele Macia e Hidratada 24 hrs / Realça o seu Brilhoi Natural Da Pele / Fragrancia Envolvente / Sensualidade / Aflora a beleza </t>
        </is>
      </c>
      <c r="K666" s="11" t="n"/>
      <c r="L666" s="11" t="inlineStr">
        <is>
          <t xml:space="preserve">R$ 98, 90 </t>
        </is>
      </c>
    </row>
    <row r="667" ht="15" customHeight="1" s="145">
      <c r="B667" s="63" t="inlineStr">
        <is>
          <t>Natura</t>
        </is>
      </c>
      <c r="C667" s="80" t="inlineStr">
        <is>
          <t>Seve</t>
        </is>
      </c>
      <c r="D667" s="64" t="inlineStr">
        <is>
          <t xml:space="preserve">Oleo Corporal </t>
        </is>
      </c>
      <c r="E667" s="136">
        <f>TRIM(CONCATENATE(D667, " ", C667, " ", F667, " ", IF(G667&gt;0, G667 &amp; "x" &amp; H667, H667), " ", I667))</f>
        <v/>
      </c>
      <c r="F667" s="2" t="inlineStr">
        <is>
          <t xml:space="preserve">Pimenta Rosa </t>
        </is>
      </c>
      <c r="G667" s="131" t="n"/>
      <c r="H667" s="2" t="inlineStr">
        <is>
          <t xml:space="preserve">200ml </t>
        </is>
      </c>
      <c r="I667" s="31" t="inlineStr">
        <is>
          <t xml:space="preserve">Refil </t>
        </is>
      </c>
      <c r="J667" s="11" t="inlineStr">
        <is>
          <t xml:space="preserve">Pele Macia e Hidratada 24 hrs / Realça o seu Brilhoi Natural Da Pele / Fragrancia Envolvente / Sensualidade / Aflora a beleza </t>
        </is>
      </c>
      <c r="K667" s="11" t="n"/>
      <c r="L667" s="11" t="inlineStr">
        <is>
          <t xml:space="preserve">R$ 98, 90 </t>
        </is>
      </c>
    </row>
    <row r="668" ht="15" customHeight="1" s="145">
      <c r="B668" s="63" t="inlineStr">
        <is>
          <t>Natura</t>
        </is>
      </c>
      <c r="C668" s="80" t="inlineStr">
        <is>
          <t>Seve</t>
        </is>
      </c>
      <c r="D668" s="120" t="inlineStr">
        <is>
          <t>Creme Corporal Desodorante Perfumado</t>
        </is>
      </c>
      <c r="E668" s="136">
        <f>TRIM(CONCATENATE(D668, " ", C668, " ", F668, " ", IF(G668&gt;0, G668 &amp; "x" &amp; H668, H668), " ", I668))</f>
        <v/>
      </c>
      <c r="F668" s="121" t="inlineStr">
        <is>
          <t>Amêndoas Doces</t>
        </is>
      </c>
      <c r="G668" s="131" t="n"/>
      <c r="H668" s="2" t="inlineStr">
        <is>
          <t xml:space="preserve">200g </t>
        </is>
      </c>
      <c r="I668" s="125" t="inlineStr">
        <is>
          <t xml:space="preserve">Pote </t>
        </is>
      </c>
      <c r="J668" s="124" t="inlineStr">
        <is>
          <t xml:space="preserve">Desodorante / Perfuma / Hidrata /  Corporal </t>
        </is>
      </c>
      <c r="L668" s="124" t="inlineStr">
        <is>
          <t xml:space="preserve">R$ 112, 90 </t>
        </is>
      </c>
    </row>
    <row r="669" ht="15" customHeight="1" s="145">
      <c r="B669" s="63" t="inlineStr">
        <is>
          <t>Natura</t>
        </is>
      </c>
      <c r="C669" s="80" t="inlineStr">
        <is>
          <t>Seve</t>
        </is>
      </c>
      <c r="D669" s="120" t="inlineStr">
        <is>
          <t>Creme Corporal Desodorante Perfumado</t>
        </is>
      </c>
      <c r="E669" s="136">
        <f>TRIM(CONCATENATE(D669, " ", C669, " ", F669, " ", IF(G669&gt;0, G669 &amp; "x" &amp; H669, H669), " ", I669))</f>
        <v/>
      </c>
      <c r="F669" s="2" t="inlineStr">
        <is>
          <t xml:space="preserve">Amêndoas e Orquidia Negra </t>
        </is>
      </c>
      <c r="G669" s="131" t="n"/>
      <c r="H669" s="2" t="inlineStr">
        <is>
          <t xml:space="preserve">200g </t>
        </is>
      </c>
      <c r="I669" s="125" t="inlineStr">
        <is>
          <t xml:space="preserve">Pote </t>
        </is>
      </c>
      <c r="J669" s="124" t="inlineStr">
        <is>
          <t xml:space="preserve">Desodorante / Perfuma / Hidrata /  Corporal </t>
        </is>
      </c>
      <c r="L669" s="124" t="inlineStr">
        <is>
          <t xml:space="preserve">R$ 112, 90 </t>
        </is>
      </c>
    </row>
    <row r="670" ht="15" customFormat="1" customHeight="1" s="10">
      <c r="B670" s="63" t="inlineStr">
        <is>
          <t>Natura</t>
        </is>
      </c>
      <c r="C670" s="81" t="inlineStr">
        <is>
          <t>Biografia</t>
        </is>
      </c>
      <c r="D670" s="96" t="inlineStr">
        <is>
          <t>Colonia</t>
        </is>
      </c>
      <c r="E670" s="136">
        <f>TRIM(CONCATENATE(D670, " ", C670, " ", F670, " ", IF(G670&gt;0, G670 &amp; "x" &amp; H670, H670), " ", I670))</f>
        <v/>
      </c>
      <c r="F670" s="2" t="inlineStr">
        <is>
          <t xml:space="preserve"> Assinatura </t>
        </is>
      </c>
      <c r="G670" s="131" t="n"/>
      <c r="H670" s="9" t="inlineStr">
        <is>
          <t xml:space="preserve">25ml </t>
        </is>
      </c>
      <c r="I670" s="95" t="inlineStr">
        <is>
          <t>Miniatura</t>
        </is>
      </c>
      <c r="J670" s="20" t="inlineStr">
        <is>
          <t>Floral Adocicado / Unico /  Um toque de doçura da baumilia /  Celebra as Datas e historias pessoais e individuais.</t>
        </is>
      </c>
      <c r="K670" s="191" t="n"/>
      <c r="L670" s="191" t="n">
        <v>67</v>
      </c>
    </row>
    <row r="671" ht="15" customHeight="1" s="145">
      <c r="B671" s="63" t="inlineStr">
        <is>
          <t>Natura</t>
        </is>
      </c>
      <c r="C671" s="81" t="inlineStr">
        <is>
          <t>Biografia</t>
        </is>
      </c>
      <c r="D671" s="96" t="inlineStr">
        <is>
          <t>Colonia</t>
        </is>
      </c>
      <c r="E671" s="136">
        <f>TRIM(CONCATENATE(D671, " ", C671, " ", F671, " ", IF(G671&gt;0, G671 &amp; "x" &amp; H671, H671), " ", I671))</f>
        <v/>
      </c>
      <c r="F671" s="2" t="inlineStr">
        <is>
          <t xml:space="preserve"> Feminino</t>
        </is>
      </c>
      <c r="G671" s="131" t="n"/>
      <c r="H671" s="9" t="inlineStr">
        <is>
          <t xml:space="preserve">25ml </t>
        </is>
      </c>
      <c r="I671" s="95" t="inlineStr">
        <is>
          <t>Miniatura</t>
        </is>
      </c>
      <c r="J671" s="11" t="inlineStr">
        <is>
          <t xml:space="preserve"> Oferece Diferentes Sensaçoes / Combinaçao Notas Frutais de pessego e cassis / Florais verde Refrescante  /  Amaderado </t>
        </is>
      </c>
      <c r="K671" s="191" t="n"/>
      <c r="L671" s="191" t="n">
        <v>67</v>
      </c>
    </row>
    <row r="672" ht="15" customHeight="1" s="145">
      <c r="B672" s="63" t="inlineStr">
        <is>
          <t>Natura</t>
        </is>
      </c>
      <c r="C672" s="81" t="inlineStr">
        <is>
          <t>Biografia</t>
        </is>
      </c>
      <c r="D672" s="96" t="inlineStr">
        <is>
          <t>Colonia</t>
        </is>
      </c>
      <c r="E672" s="136">
        <f>TRIM(CONCATENATE(D672, " ", C672, " ", F672, " ", IF(G672&gt;0, G672 &amp; "x" &amp; H672, H672), " ", I672))</f>
        <v/>
      </c>
      <c r="F672" s="2" t="inlineStr">
        <is>
          <t xml:space="preserve"> Encontros </t>
        </is>
      </c>
      <c r="G672" s="131" t="n"/>
      <c r="H672" s="9" t="inlineStr">
        <is>
          <t xml:space="preserve">25ml </t>
        </is>
      </c>
      <c r="I672" s="95" t="inlineStr">
        <is>
          <t>Miniatura</t>
        </is>
      </c>
      <c r="J672" s="11" t="inlineStr">
        <is>
          <t xml:space="preserve">Buque Floral  delicado  /  Notas de coraçao rosa / Jasmim / Lirio do Vale / Saida Vibrante de Bergamota e pimenta rosa </t>
        </is>
      </c>
      <c r="K672" s="191" t="n"/>
      <c r="L672" s="191" t="n">
        <v>67</v>
      </c>
    </row>
    <row r="673" ht="15" customHeight="1" s="145">
      <c r="B673" s="63" t="inlineStr">
        <is>
          <t>Natura</t>
        </is>
      </c>
      <c r="C673" s="81" t="inlineStr">
        <is>
          <t>Biografia</t>
        </is>
      </c>
      <c r="D673" s="96" t="inlineStr">
        <is>
          <t>Colonia</t>
        </is>
      </c>
      <c r="E673" s="136">
        <f>TRIM(CONCATENATE(D673, " ", C673, " ", F673, " ", IF(G673&gt;0, G673 &amp; "x" &amp; H673, H673), " ", I673))</f>
        <v/>
      </c>
      <c r="F673" s="2" t="inlineStr">
        <is>
          <t xml:space="preserve"> Assinatura </t>
        </is>
      </c>
      <c r="G673" s="131" t="n"/>
      <c r="H673" s="9" t="inlineStr">
        <is>
          <t xml:space="preserve">25ml </t>
        </is>
      </c>
      <c r="I673" s="95" t="inlineStr">
        <is>
          <t>Miniatura</t>
        </is>
      </c>
      <c r="J673" s="20" t="inlineStr">
        <is>
          <t xml:space="preserve">Frescor de Alecrim / Salvia / Sofisticação do Cashmeran / Fragransia  Inesquecivel </t>
        </is>
      </c>
      <c r="K673" s="191" t="n"/>
      <c r="L673" s="191" t="n">
        <v>67</v>
      </c>
    </row>
    <row r="674" ht="15" customHeight="1" s="145">
      <c r="B674" s="63" t="inlineStr">
        <is>
          <t>Natura</t>
        </is>
      </c>
      <c r="C674" s="81" t="inlineStr">
        <is>
          <t>Biografia</t>
        </is>
      </c>
      <c r="D674" s="96" t="inlineStr">
        <is>
          <t>Colonia</t>
        </is>
      </c>
      <c r="E674" s="136">
        <f>TRIM(CONCATENATE(D674, " ", C674, " ", F674, " ", IF(G674&gt;0, G674 &amp; "x" &amp; H674, H674), " ", I674))</f>
        <v/>
      </c>
      <c r="F674" s="2" t="inlineStr">
        <is>
          <t xml:space="preserve">  Feminino</t>
        </is>
      </c>
      <c r="G674" s="131" t="n"/>
      <c r="H674" s="9" t="inlineStr">
        <is>
          <t xml:space="preserve">25ml </t>
        </is>
      </c>
      <c r="I674" s="95" t="inlineStr">
        <is>
          <t>Miniatura</t>
        </is>
      </c>
      <c r="J674" s="31" t="inlineStr">
        <is>
          <t>Oferece diferentes sensaçoes / Notas frescas  / Herbais / Forte amadeirado do cedro / Sandalo / vetevir /  Finalizando com Sofisticaçao de ambar</t>
        </is>
      </c>
      <c r="K674" s="191" t="n"/>
      <c r="L674" s="191" t="n">
        <v>67</v>
      </c>
    </row>
    <row r="675" ht="15" customHeight="1" s="145">
      <c r="B675" s="63" t="inlineStr">
        <is>
          <t>Natura</t>
        </is>
      </c>
      <c r="C675" s="81" t="inlineStr">
        <is>
          <t>Biografia</t>
        </is>
      </c>
      <c r="D675" s="96" t="inlineStr">
        <is>
          <t>Colonia</t>
        </is>
      </c>
      <c r="E675" s="136">
        <f>TRIM(CONCATENATE(D675, " ", C675, " ", F675, " ", IF(G675&gt;0, G675 &amp; "x" &amp; H675, H675), " ", I675))</f>
        <v/>
      </c>
      <c r="F675" s="2" t="inlineStr">
        <is>
          <t xml:space="preserve"> Encontros </t>
        </is>
      </c>
      <c r="G675" s="131" t="n"/>
      <c r="H675" s="9" t="inlineStr">
        <is>
          <t xml:space="preserve">25ml </t>
        </is>
      </c>
      <c r="I675" s="95" t="inlineStr">
        <is>
          <t>Miniatura</t>
        </is>
      </c>
      <c r="J675" s="11" t="inlineStr">
        <is>
          <t xml:space="preserve">Notas Quentes / Envolventes / Perfeitos para momentos especiais / Para Encontro Marcantes </t>
        </is>
      </c>
      <c r="K675" s="191" t="n"/>
      <c r="L675" s="191" t="n">
        <v>67</v>
      </c>
    </row>
    <row r="676" ht="15" customHeight="1" s="145">
      <c r="B676" s="63" t="inlineStr">
        <is>
          <t>Natura</t>
        </is>
      </c>
      <c r="C676" s="81" t="inlineStr">
        <is>
          <t>Biografia</t>
        </is>
      </c>
      <c r="D676" s="96" t="inlineStr">
        <is>
          <t>Colonia</t>
        </is>
      </c>
      <c r="E676" s="136">
        <f>TRIM(CONCATENATE(D676, " ", C676, " ", F676, " ", IF(G676&gt;0, G676 &amp; "x" &amp; H676, H676), " ", I676))</f>
        <v/>
      </c>
      <c r="F676" s="2" t="inlineStr">
        <is>
          <t xml:space="preserve"> Inspire </t>
        </is>
      </c>
      <c r="G676" s="131" t="n"/>
      <c r="H676" s="9" t="inlineStr">
        <is>
          <t xml:space="preserve">25ml </t>
        </is>
      </c>
      <c r="I676" s="95" t="inlineStr">
        <is>
          <t>Miniatura</t>
        </is>
      </c>
      <c r="J676" s="11" t="inlineStr">
        <is>
          <t xml:space="preserve">Amadeirado moderado / Notas frutais / toque especiado frescor inusitado / especiado toque gelado / trazendo frescor inesperado </t>
        </is>
      </c>
      <c r="K676" s="191" t="n"/>
      <c r="L676" s="191" t="n">
        <v>67</v>
      </c>
    </row>
    <row r="677" ht="15" customHeight="1" s="145">
      <c r="B677" s="63" t="inlineStr">
        <is>
          <t>Natura</t>
        </is>
      </c>
      <c r="C677" s="81" t="inlineStr">
        <is>
          <t>Biografia</t>
        </is>
      </c>
      <c r="D677" s="96" t="inlineStr">
        <is>
          <t>Colonia</t>
        </is>
      </c>
      <c r="E677" s="136">
        <f>TRIM(CONCATENATE(D677, " ", C677, " ", F677, " ", IF(G677&gt;0, G677 &amp; "x" &amp; H677, H677), " ", I677))</f>
        <v/>
      </c>
      <c r="F677" s="94" t="inlineStr">
        <is>
          <t xml:space="preserve"> Assinatura Feminino</t>
        </is>
      </c>
      <c r="G677" s="131" t="n"/>
      <c r="H677" s="2" t="inlineStr">
        <is>
          <t xml:space="preserve">100ml </t>
        </is>
      </c>
      <c r="I677" s="31" t="inlineStr">
        <is>
          <t xml:space="preserve"> Frasco </t>
        </is>
      </c>
      <c r="J677" s="20" t="inlineStr">
        <is>
          <t>Floral Adocicado / Unico /  Um toque de doçura da baumilia /  Celebra as Datas e historias pessoais e individuais.</t>
        </is>
      </c>
      <c r="K677" s="11" t="n"/>
      <c r="L677" s="1" t="n"/>
    </row>
    <row r="678" ht="15" customHeight="1" s="145">
      <c r="B678" s="63" t="inlineStr">
        <is>
          <t>Natura</t>
        </is>
      </c>
      <c r="C678" s="81" t="inlineStr">
        <is>
          <t>Biografia</t>
        </is>
      </c>
      <c r="D678" s="96" t="inlineStr">
        <is>
          <t>Colonia</t>
        </is>
      </c>
      <c r="E678" s="136">
        <f>TRIM(CONCATENATE(D678, " ", C678, " ", F678, " ", IF(G678&gt;0, G678 &amp; "x" &amp; H678, H678), " ", I678))</f>
        <v/>
      </c>
      <c r="F678" s="94" t="inlineStr">
        <is>
          <t xml:space="preserve"> Feminino</t>
        </is>
      </c>
      <c r="G678" s="131" t="n"/>
      <c r="H678" s="2" t="inlineStr">
        <is>
          <t xml:space="preserve">100ml </t>
        </is>
      </c>
      <c r="I678" s="31" t="inlineStr">
        <is>
          <t xml:space="preserve"> Frasco </t>
        </is>
      </c>
      <c r="J678" s="11" t="inlineStr">
        <is>
          <t xml:space="preserve"> Oferece Diferentes Sensaçoes / Combinaçao Notas Frutais de pessego e cassis / Florais verde Refrescante  /  Amaderado </t>
        </is>
      </c>
      <c r="K678" s="11" t="n"/>
      <c r="L678" s="1" t="n"/>
    </row>
    <row r="679" ht="15" customHeight="1" s="145">
      <c r="A679" t="inlineStr">
        <is>
          <t>NATBRA-9467</t>
        </is>
      </c>
      <c r="B679" s="63" t="inlineStr">
        <is>
          <t>Natura</t>
        </is>
      </c>
      <c r="C679" s="81" t="inlineStr">
        <is>
          <t>Biografia</t>
        </is>
      </c>
      <c r="D679" s="96" t="inlineStr">
        <is>
          <t>Colonia</t>
        </is>
      </c>
      <c r="E679" s="136">
        <f>TRIM(CONCATENATE(D679, " ", C679, " ", F679, " ", IF(G679&gt;0, G679 &amp; "x" &amp; H679, H679), " ", I679))</f>
        <v/>
      </c>
      <c r="F679" s="94" t="inlineStr">
        <is>
          <t xml:space="preserve"> Caminhos Feminino</t>
        </is>
      </c>
      <c r="G679" s="131" t="n"/>
      <c r="H679" s="2" t="inlineStr">
        <is>
          <t xml:space="preserve">100ml </t>
        </is>
      </c>
      <c r="I679" s="31" t="inlineStr">
        <is>
          <t xml:space="preserve"> Frasco </t>
        </is>
      </c>
      <c r="J679" s="11" t="inlineStr">
        <is>
          <t xml:space="preserve">Notas Florais / Frescas /  Fragrancia Unica </t>
        </is>
      </c>
      <c r="K679" s="11" t="n"/>
      <c r="L679" s="1" t="n"/>
    </row>
    <row r="680" ht="15" customHeight="1" s="145">
      <c r="B680" s="63" t="inlineStr">
        <is>
          <t>Natura</t>
        </is>
      </c>
      <c r="C680" s="81" t="inlineStr">
        <is>
          <t>Biografia</t>
        </is>
      </c>
      <c r="D680" s="96" t="inlineStr">
        <is>
          <t>Colonia</t>
        </is>
      </c>
      <c r="E680" s="136">
        <f>TRIM(CONCATENATE(D680, " ", C680, " ", F680, " ", IF(G680&gt;0, G680 &amp; "x" &amp; H680, H680), " ", I680))</f>
        <v/>
      </c>
      <c r="F680" s="94" t="inlineStr">
        <is>
          <t xml:space="preserve"> Encontros Feminino</t>
        </is>
      </c>
      <c r="G680" s="131" t="n"/>
      <c r="H680" s="2" t="inlineStr">
        <is>
          <t xml:space="preserve">100ml </t>
        </is>
      </c>
      <c r="I680" s="31" t="inlineStr">
        <is>
          <t xml:space="preserve"> Frasco </t>
        </is>
      </c>
      <c r="J680" s="11" t="inlineStr">
        <is>
          <t xml:space="preserve">Buque Floral  delicado  /  Notas de coraçao rosa / Jasmim / Lirio do Vale / Saida Vibrante de Bergamota e pimenta rosa </t>
        </is>
      </c>
      <c r="K680" s="11" t="n"/>
      <c r="L680" s="1" t="n"/>
    </row>
    <row r="681" ht="15" customHeight="1" s="145">
      <c r="B681" s="63" t="inlineStr">
        <is>
          <t>Natura</t>
        </is>
      </c>
      <c r="C681" s="81" t="inlineStr">
        <is>
          <t>Biografia</t>
        </is>
      </c>
      <c r="D681" s="96" t="inlineStr">
        <is>
          <t>Colonia</t>
        </is>
      </c>
      <c r="E681" s="136">
        <f>TRIM(CONCATENATE(D681, " ", C681, " ", F681, " ", IF(G681&gt;0, G681 &amp; "x" &amp; H681, H681), " ", I681))</f>
        <v/>
      </c>
      <c r="F681" s="94" t="inlineStr">
        <is>
          <t xml:space="preserve"> Inspire Feminino</t>
        </is>
      </c>
      <c r="G681" s="131" t="n"/>
      <c r="H681" s="2" t="inlineStr">
        <is>
          <t xml:space="preserve">100ml </t>
        </is>
      </c>
      <c r="I681" s="31" t="inlineStr">
        <is>
          <t xml:space="preserve"> Frasco </t>
        </is>
      </c>
      <c r="J681" s="124" t="inlineStr">
        <is>
          <t xml:space="preserve">Notas Frutais / Amadeirado / Elegancia / Força / Perfeitos para momentos especiais  / Floral delicado </t>
        </is>
      </c>
      <c r="K681" s="11" t="n"/>
      <c r="L681" s="1" t="n"/>
    </row>
    <row r="682" ht="15" customHeight="1" s="145">
      <c r="B682" s="63" t="inlineStr">
        <is>
          <t>Natura</t>
        </is>
      </c>
      <c r="C682" s="81" t="inlineStr">
        <is>
          <t>Biografia</t>
        </is>
      </c>
      <c r="D682" s="96" t="inlineStr">
        <is>
          <t>Colonia</t>
        </is>
      </c>
      <c r="E682" s="136">
        <f>TRIM(CONCATENATE(D682, " ", C682, " ", F682, " ", IF(G682&gt;0, G682 &amp; "x" &amp; H682, H682), " ", I682))</f>
        <v/>
      </c>
      <c r="F682" s="94" t="inlineStr">
        <is>
          <t xml:space="preserve"> Assinatura Masculino</t>
        </is>
      </c>
      <c r="G682" s="131" t="n"/>
      <c r="H682" s="2" t="inlineStr">
        <is>
          <t xml:space="preserve">100ml </t>
        </is>
      </c>
      <c r="I682" s="2" t="inlineStr">
        <is>
          <t xml:space="preserve">Frasco </t>
        </is>
      </c>
      <c r="J682" s="20" t="inlineStr">
        <is>
          <t xml:space="preserve">Frescor de Alecrim / Salvia / Sofisticação do Cashmeran / Fragransia  Inesquecivel </t>
        </is>
      </c>
      <c r="K682" s="11" t="n"/>
      <c r="L682" s="1" t="n"/>
    </row>
    <row r="683" ht="15" customHeight="1" s="145">
      <c r="A683" t="inlineStr">
        <is>
          <t>NATBRA-817061</t>
        </is>
      </c>
      <c r="B683" s="63" t="inlineStr">
        <is>
          <t>Natura</t>
        </is>
      </c>
      <c r="C683" s="81" t="inlineStr">
        <is>
          <t>Biografia</t>
        </is>
      </c>
      <c r="D683" s="96" t="inlineStr">
        <is>
          <t>Colonia</t>
        </is>
      </c>
      <c r="E683" s="136">
        <f>TRIM(CONCATENATE(D683, " ", C683, " ", F683, " ", IF(G683&gt;0, G683 &amp; "x" &amp; H683, H683), " ", I683))</f>
        <v/>
      </c>
      <c r="F683" s="94" t="inlineStr">
        <is>
          <t xml:space="preserve"> Masculino</t>
        </is>
      </c>
      <c r="G683" s="131" t="n"/>
      <c r="H683" s="2" t="inlineStr">
        <is>
          <t xml:space="preserve">100ml </t>
        </is>
      </c>
      <c r="I683" s="2" t="inlineStr">
        <is>
          <t xml:space="preserve">Frasco </t>
        </is>
      </c>
      <c r="J683" s="31" t="inlineStr">
        <is>
          <t>Oferece diferentes sensaçoes / Notas frescas  / Herbais / Forte amadeirado do cedro / Sandalo / vetevir /  Finalizando com Sofisticaçao de ambar</t>
        </is>
      </c>
      <c r="K683" s="11" t="n"/>
      <c r="L683" s="1" t="n"/>
    </row>
    <row r="684" ht="15" customHeight="1" s="145">
      <c r="B684" s="63" t="inlineStr">
        <is>
          <t>Natura</t>
        </is>
      </c>
      <c r="C684" s="81" t="inlineStr">
        <is>
          <t>Biografia</t>
        </is>
      </c>
      <c r="D684" s="96" t="inlineStr">
        <is>
          <t>Colonia</t>
        </is>
      </c>
      <c r="E684" s="136">
        <f>TRIM(CONCATENATE(D684, " ", C684, " ", F684, " ", IF(G684&gt;0, G684 &amp; "x" &amp; H684, H684), " ", I684))</f>
        <v/>
      </c>
      <c r="F684" s="2" t="inlineStr">
        <is>
          <t xml:space="preserve"> Encontros </t>
        </is>
      </c>
      <c r="G684" s="131" t="n"/>
      <c r="H684" s="2" t="inlineStr">
        <is>
          <t xml:space="preserve">100ml </t>
        </is>
      </c>
      <c r="I684" s="2" t="inlineStr">
        <is>
          <t xml:space="preserve">Frasco </t>
        </is>
      </c>
      <c r="J684" s="11" t="inlineStr">
        <is>
          <t xml:space="preserve">Notas Quentes / Envolventes / Perfeitos para momentos especiais / Para Encontro Marcantes </t>
        </is>
      </c>
      <c r="K684" s="11" t="n"/>
      <c r="L684" s="1" t="n"/>
    </row>
    <row r="685" ht="15" customHeight="1" s="145">
      <c r="B685" s="63" t="inlineStr">
        <is>
          <t>Natura</t>
        </is>
      </c>
      <c r="C685" s="81" t="inlineStr">
        <is>
          <t>Biografia</t>
        </is>
      </c>
      <c r="D685" s="96" t="inlineStr">
        <is>
          <t>Colonia</t>
        </is>
      </c>
      <c r="E685" s="136">
        <f>TRIM(CONCATENATE(D685, " ", C685, " ", F685, " ", IF(G685&gt;0, G685 &amp; "x" &amp; H685, H685), " ", I685))</f>
        <v/>
      </c>
      <c r="F685" s="94" t="inlineStr">
        <is>
          <t xml:space="preserve"> Inspire Masculino</t>
        </is>
      </c>
      <c r="G685" s="131" t="n"/>
      <c r="H685" s="2" t="inlineStr">
        <is>
          <t xml:space="preserve">100ml </t>
        </is>
      </c>
      <c r="I685" s="2" t="inlineStr">
        <is>
          <t xml:space="preserve">Frasco </t>
        </is>
      </c>
      <c r="J685" s="11" t="inlineStr">
        <is>
          <t xml:space="preserve">Amadeirado moderado / Notas frutais / toque especiado frescor inusitado / especiado toque gelado / trazendo frescor inesperado </t>
        </is>
      </c>
      <c r="K685" s="11" t="n"/>
      <c r="L685" s="1" t="n"/>
    </row>
    <row r="686" ht="15" customFormat="1" customHeight="1" s="59">
      <c r="B686" s="63" t="inlineStr">
        <is>
          <t>Natura</t>
        </is>
      </c>
      <c r="C686" s="81" t="inlineStr">
        <is>
          <t>Biografia</t>
        </is>
      </c>
      <c r="D686" s="133" t="inlineStr">
        <is>
          <t>Sabonete Liquido</t>
        </is>
      </c>
      <c r="E686" s="136">
        <f>TRIM(CONCATENATE(D686, " ", C686, " ", F686, " ", IF(G686&gt;0, G686 &amp; "x" &amp; H686, H686), " ", I686))</f>
        <v/>
      </c>
      <c r="F686" s="123" t="inlineStr">
        <is>
          <t xml:space="preserve"> Feminino</t>
        </is>
      </c>
      <c r="G686" s="131" t="n"/>
      <c r="H686" s="2" t="inlineStr">
        <is>
          <t xml:space="preserve">100ml </t>
        </is>
      </c>
      <c r="I686" s="36" t="inlineStr">
        <is>
          <t xml:space="preserve">Frasco </t>
        </is>
      </c>
      <c r="J686" s="58" t="n"/>
      <c r="K686" s="58" t="n"/>
      <c r="L686" s="57" t="n"/>
    </row>
    <row r="687" ht="15" customFormat="1" customHeight="1" s="59">
      <c r="B687" s="63" t="inlineStr">
        <is>
          <t>Natura</t>
        </is>
      </c>
      <c r="C687" s="81" t="inlineStr">
        <is>
          <t>Biografia</t>
        </is>
      </c>
      <c r="D687" s="133" t="inlineStr">
        <is>
          <t>Hidratante para Maos</t>
        </is>
      </c>
      <c r="E687" s="136">
        <f>TRIM(CONCATENATE(D687, " ", C687, " ", F687, " ", IF(G687&gt;0, G687 &amp; "x" &amp; H687, H687), " ", I687))</f>
        <v/>
      </c>
      <c r="F687" s="123" t="inlineStr">
        <is>
          <t xml:space="preserve"> Feminino</t>
        </is>
      </c>
      <c r="G687" s="131" t="n"/>
      <c r="H687" s="9" t="inlineStr">
        <is>
          <t xml:space="preserve">40g </t>
        </is>
      </c>
      <c r="I687" s="36" t="inlineStr">
        <is>
          <t xml:space="preserve">Frasco </t>
        </is>
      </c>
      <c r="J687" s="58" t="n"/>
      <c r="K687" s="58" t="n"/>
      <c r="L687" s="57" t="n"/>
    </row>
    <row r="688" ht="15" customFormat="1" customHeight="1" s="59">
      <c r="B688" s="63" t="inlineStr">
        <is>
          <t>Natura</t>
        </is>
      </c>
      <c r="C688" s="81" t="inlineStr">
        <is>
          <t>Biografia</t>
        </is>
      </c>
      <c r="D688" s="133" t="inlineStr">
        <is>
          <t>Desodorante Corporal Perfumado</t>
        </is>
      </c>
      <c r="E688" s="136">
        <f>TRIM(CONCATENATE(D688, " ", C688, " ", F688, " ", IF(G688&gt;0, G688 &amp; "x" &amp; H688, H688), " ", I688))</f>
        <v/>
      </c>
      <c r="F688" s="9" t="inlineStr">
        <is>
          <t>Feminino</t>
        </is>
      </c>
      <c r="G688" s="131" t="n"/>
      <c r="H688" s="9" t="inlineStr">
        <is>
          <t>100ml</t>
        </is>
      </c>
      <c r="I688" s="36" t="inlineStr">
        <is>
          <t xml:space="preserve">Frasco </t>
        </is>
      </c>
      <c r="J688" s="11" t="inlineStr">
        <is>
          <t>Fragrância com alta proteção até 24h / Cuida da pele com ativos naturais / Tem tecnologia invisível</t>
        </is>
      </c>
      <c r="K688" s="58" t="n"/>
      <c r="L688" s="57" t="n"/>
    </row>
    <row r="689" ht="15" customFormat="1" customHeight="1" s="59">
      <c r="A689" t="inlineStr">
        <is>
          <t>NATBRA-817060</t>
        </is>
      </c>
      <c r="B689" s="63" t="inlineStr">
        <is>
          <t>Natura</t>
        </is>
      </c>
      <c r="C689" s="81" t="inlineStr">
        <is>
          <t>Biografia</t>
        </is>
      </c>
      <c r="D689" s="133" t="inlineStr">
        <is>
          <t>Desodorante Corporal Perfumado</t>
        </is>
      </c>
      <c r="E689" s="136">
        <f>TRIM(CONCATENATE(D689, " ", C689, " ", F689, " ", IF(G689&gt;0, G689 &amp; "x" &amp; H689, H689), " ", I689))</f>
        <v/>
      </c>
      <c r="F689" s="124" t="inlineStr">
        <is>
          <t xml:space="preserve"> inspire </t>
        </is>
      </c>
      <c r="G689" s="131" t="n"/>
      <c r="H689" s="9" t="inlineStr">
        <is>
          <t>100ml</t>
        </is>
      </c>
      <c r="I689" s="36" t="inlineStr">
        <is>
          <t xml:space="preserve">Frasco </t>
        </is>
      </c>
      <c r="J689" s="11" t="inlineStr">
        <is>
          <t>Fragrância com alta proteção até 24h / Cuida da pele com ativos naturais / Tem tecnologia invisível</t>
        </is>
      </c>
      <c r="K689" s="58" t="n"/>
      <c r="L689" s="57" t="n"/>
    </row>
    <row r="690" ht="15" customFormat="1" customHeight="1" s="59">
      <c r="B690" s="63" t="inlineStr">
        <is>
          <t>Natura</t>
        </is>
      </c>
      <c r="C690" s="81" t="inlineStr">
        <is>
          <t>Biografia</t>
        </is>
      </c>
      <c r="D690" s="133" t="inlineStr">
        <is>
          <t>Desodorante Corporal Perfumado</t>
        </is>
      </c>
      <c r="E690" s="136">
        <f>TRIM(CONCATENATE(D690, " ", C690, " ", F690, " ", IF(G690&gt;0, G690 &amp; "x" &amp; H690, H690), " ", I690))</f>
        <v/>
      </c>
      <c r="F690" s="60" t="inlineStr">
        <is>
          <t xml:space="preserve">  Feminino</t>
        </is>
      </c>
      <c r="G690" s="131" t="n"/>
      <c r="H690" s="9" t="inlineStr">
        <is>
          <t>100ml</t>
        </is>
      </c>
      <c r="I690" s="36" t="inlineStr">
        <is>
          <t xml:space="preserve">Frasco </t>
        </is>
      </c>
      <c r="J690" s="11" t="inlineStr">
        <is>
          <t>Fragrância com alta proteção até 24h / Cuida da pele com ativos naturais / Tem tecnologia invisível</t>
        </is>
      </c>
      <c r="K690" s="58" t="n"/>
      <c r="L690" s="57" t="n"/>
    </row>
    <row r="691" ht="15" customFormat="1" customHeight="1" s="59">
      <c r="A691" t="inlineStr">
        <is>
          <t>NATBRA-71604</t>
        </is>
      </c>
      <c r="B691" s="63" t="inlineStr">
        <is>
          <t>Natura</t>
        </is>
      </c>
      <c r="C691" s="81" t="inlineStr">
        <is>
          <t>Biografia</t>
        </is>
      </c>
      <c r="D691" s="133" t="inlineStr">
        <is>
          <t>Desodorante Corporal Perfumado</t>
        </is>
      </c>
      <c r="E691" s="136">
        <f>TRIM(CONCATENATE(D691, " ", C691, " ", F691, " ", IF(G691&gt;0, G691 &amp; "x" &amp; H691, H691), " ", I691))</f>
        <v/>
      </c>
      <c r="F691" s="60" t="inlineStr">
        <is>
          <t xml:space="preserve">  Feminino</t>
        </is>
      </c>
      <c r="G691" s="131" t="n"/>
      <c r="H691" s="9" t="inlineStr">
        <is>
          <t>100ml</t>
        </is>
      </c>
      <c r="I691" s="36" t="inlineStr">
        <is>
          <t xml:space="preserve">Refil </t>
        </is>
      </c>
      <c r="J691" s="11" t="inlineStr">
        <is>
          <t>Fragrância com alta proteção até 24h / Cuida da pele com ativos naturais / Tem tecnologia invisível</t>
        </is>
      </c>
      <c r="K691" s="58" t="n"/>
      <c r="L691" s="57" t="n"/>
    </row>
    <row r="692" ht="15" customFormat="1" customHeight="1" s="59">
      <c r="B692" s="63" t="inlineStr">
        <is>
          <t>Natura</t>
        </is>
      </c>
      <c r="C692" s="81" t="inlineStr">
        <is>
          <t>Biografia</t>
        </is>
      </c>
      <c r="D692" s="133" t="inlineStr">
        <is>
          <t>Desodorante Corporal Perfumado</t>
        </is>
      </c>
      <c r="E692" s="136">
        <f>TRIM(CONCATENATE(D692, " ", C692, " ", F692, " ", IF(G692&gt;0, G692 &amp; "x" &amp; H692, H692), " ", I692))</f>
        <v/>
      </c>
      <c r="F692" s="124" t="inlineStr">
        <is>
          <t xml:space="preserve"> Inspire </t>
        </is>
      </c>
      <c r="G692" s="131" t="n"/>
      <c r="H692" s="9" t="inlineStr">
        <is>
          <t>100ml</t>
        </is>
      </c>
      <c r="I692" s="36" t="inlineStr">
        <is>
          <t xml:space="preserve">Refil </t>
        </is>
      </c>
      <c r="J692" s="11" t="inlineStr">
        <is>
          <t>Fragrância com alta proteção até 24h / Cuida da pele com ativos naturais / Tem tecnologia invisível</t>
        </is>
      </c>
      <c r="K692" s="58" t="n"/>
      <c r="L692" s="57" t="n"/>
    </row>
    <row r="693" ht="15" customHeight="1" s="145">
      <c r="A693" t="inlineStr">
        <is>
          <t>NATBRA-71604</t>
        </is>
      </c>
      <c r="B693" s="63" t="inlineStr">
        <is>
          <t>Natura</t>
        </is>
      </c>
      <c r="C693" s="81" t="inlineStr">
        <is>
          <t>Biografia</t>
        </is>
      </c>
      <c r="D693" s="133" t="inlineStr">
        <is>
          <t>Desodorante Corporal Perfumado</t>
        </is>
      </c>
      <c r="E693" s="136">
        <f>TRIM(CONCATENATE(D693, " ", C693, " ", F693, " ", IF(G693&gt;0, G693 &amp; "x" &amp; H693, H693), " ", I693))</f>
        <v/>
      </c>
      <c r="F693" s="2" t="inlineStr">
        <is>
          <t xml:space="preserve">  Feminino</t>
        </is>
      </c>
      <c r="G693" s="131" t="n"/>
      <c r="H693" s="9" t="inlineStr">
        <is>
          <t>100ml</t>
        </is>
      </c>
      <c r="I693" s="36" t="inlineStr">
        <is>
          <t xml:space="preserve">Refil </t>
        </is>
      </c>
      <c r="J693" s="11" t="inlineStr">
        <is>
          <t>Fragrância com alta proteção até 24h / Cuida da pele com ativos naturais / Tem tecnologia invisível</t>
        </is>
      </c>
      <c r="K693" s="11" t="n"/>
      <c r="L693" s="1" t="n"/>
    </row>
    <row r="694" ht="15" customHeight="1" s="145">
      <c r="B694" s="63" t="inlineStr">
        <is>
          <t>Natura</t>
        </is>
      </c>
      <c r="C694" s="116" t="inlineStr">
        <is>
          <t>Mamãe e Bebê</t>
        </is>
      </c>
      <c r="D694" s="64" t="inlineStr">
        <is>
          <t xml:space="preserve">Agua Colonia  Bebe </t>
        </is>
      </c>
      <c r="E694" s="136">
        <f>TRIM(CONCATENATE(D694, " ", C694, " ", F694, " ", IF(G694&gt;0, G694 &amp; "x" &amp; H694, H694), " ", I694))</f>
        <v/>
      </c>
      <c r="F694" s="2" t="inlineStr">
        <is>
          <t>Flor de Laranjeira Amarelinho 0a3 anos</t>
        </is>
      </c>
      <c r="G694" s="131" t="n"/>
      <c r="H694" s="9" t="inlineStr">
        <is>
          <t>100ml</t>
        </is>
      </c>
      <c r="I694" s="31" t="inlineStr">
        <is>
          <t xml:space="preserve">Frasco </t>
        </is>
      </c>
      <c r="J694" s="93" t="inlineStr">
        <is>
      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      </is>
      </c>
      <c r="K694" s="11" t="n"/>
      <c r="L694" s="1" t="n"/>
    </row>
    <row r="695" ht="15" customHeight="1" s="145">
      <c r="B695" s="63" t="inlineStr">
        <is>
          <t>Natura</t>
        </is>
      </c>
      <c r="C695" s="116" t="inlineStr">
        <is>
          <t>Mamãe e Bebê</t>
        </is>
      </c>
      <c r="D695" s="64" t="inlineStr">
        <is>
          <t xml:space="preserve">Agua Colonia  Bebe </t>
        </is>
      </c>
      <c r="E695" s="136">
        <f>TRIM(CONCATENATE(D695, " ", C695, " ", F695, " ", IF(G695&gt;0, G695 &amp; "x" &amp; H695, H695), " ", I695))</f>
        <v/>
      </c>
      <c r="F695" s="2" t="inlineStr">
        <is>
          <t>Para o Bebê Verde 0a3 anos</t>
        </is>
      </c>
      <c r="G695" s="131" t="n"/>
      <c r="H695" s="9" t="inlineStr">
        <is>
          <t>100ml</t>
        </is>
      </c>
      <c r="I695" s="31" t="inlineStr">
        <is>
          <t xml:space="preserve">Frasco </t>
        </is>
      </c>
      <c r="J695" s="2" t="inlineStr">
        <is>
          <t xml:space="preserve">Relaxante tem cheirinho de amor / carinho / cuidado / perfumação suave / segura /  dia a dia, pós banho </t>
        </is>
      </c>
      <c r="K695" s="11" t="n"/>
      <c r="L695" s="1" t="n"/>
    </row>
    <row r="696" ht="15" customHeight="1" s="145">
      <c r="B696" s="63" t="inlineStr">
        <is>
          <t>Natura</t>
        </is>
      </c>
      <c r="C696" s="116" t="inlineStr">
        <is>
          <t>Mamãe e Bebê</t>
        </is>
      </c>
      <c r="D696" s="64" t="inlineStr">
        <is>
          <t xml:space="preserve">Agua Colonia  Bebe </t>
        </is>
      </c>
      <c r="E696" s="136">
        <f>TRIM(CONCATENATE(D696, " ", C696, " ", F696, " ", IF(G696&gt;0, G696 &amp; "x" &amp; H696, H696), " ", I696))</f>
        <v/>
      </c>
      <c r="F696" s="2" t="inlineStr">
        <is>
          <t>Relaxante Roxinho 0a3 anos</t>
        </is>
      </c>
      <c r="G696" s="131" t="n"/>
      <c r="H696" s="9" t="inlineStr">
        <is>
          <t>100ml</t>
        </is>
      </c>
      <c r="I696" s="31" t="inlineStr">
        <is>
          <t xml:space="preserve">Frasco </t>
        </is>
      </c>
      <c r="J696" s="87" t="inlineStr">
        <is>
          <t xml:space="preserve">Para deixar o seu bebê com cheirinho de amor e carinho / dia a dia, pós banho / floral Evita de escorregar das mãos / testado e aprovados por pediatras </t>
        </is>
      </c>
      <c r="K696" s="11" t="n"/>
      <c r="L696" s="1" t="n"/>
    </row>
    <row r="697" ht="15" customHeight="1" s="145">
      <c r="A697" t="inlineStr">
        <is>
          <t>NATBRA-92786</t>
        </is>
      </c>
      <c r="B697" s="63" t="inlineStr">
        <is>
          <t>Natura</t>
        </is>
      </c>
      <c r="C697" s="116" t="inlineStr">
        <is>
          <t>Mamãe e Bebê</t>
        </is>
      </c>
      <c r="D697" s="64" t="inlineStr">
        <is>
          <t>Agua Colonia Mamae</t>
        </is>
      </c>
      <c r="E697" s="136">
        <f>TRIM(CONCATENATE(D697, " ", C697, " ", F697, " ", IF(G697&gt;0, G697 &amp; "x" &amp; H697, H697), " ", I697))</f>
        <v/>
      </c>
      <c r="F697" s="2" t="inlineStr">
        <is>
          <t xml:space="preserve">Rosinha / Para Mamãe </t>
        </is>
      </c>
      <c r="G697" s="131" t="n"/>
      <c r="H697" s="9" t="inlineStr">
        <is>
          <t>100ml</t>
        </is>
      </c>
      <c r="I697" s="31" t="inlineStr">
        <is>
          <t xml:space="preserve">Frasco </t>
        </is>
      </c>
      <c r="J697" s="87" t="inlineStr">
        <is>
      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      </is>
      </c>
      <c r="K697" s="11" t="n"/>
      <c r="L697" s="1" t="n"/>
    </row>
    <row r="698" ht="15" customHeight="1" s="145">
      <c r="B698" s="63" t="inlineStr">
        <is>
          <t>Natura</t>
        </is>
      </c>
      <c r="C698" s="116" t="inlineStr">
        <is>
          <t>Mamãe e Bebê</t>
        </is>
      </c>
      <c r="D698" s="64" t="inlineStr">
        <is>
          <t>Shampoo</t>
        </is>
      </c>
      <c r="E698" s="136">
        <f>TRIM(CONCATENATE(D698, " ", C698, " ", F698, " ", IF(G698&gt;0, G698 &amp; "x" &amp; H698, H698), " ", I698))</f>
        <v/>
      </c>
      <c r="F698" s="2" t="inlineStr">
        <is>
          <t>Para o Bebê Verde 0a3 anos</t>
        </is>
      </c>
      <c r="G698" s="131" t="n"/>
      <c r="H698" s="2" t="inlineStr">
        <is>
          <t xml:space="preserve">200ml </t>
        </is>
      </c>
      <c r="I698" s="31" t="inlineStr">
        <is>
          <t xml:space="preserve">Frasco </t>
        </is>
      </c>
      <c r="J698" s="124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698" s="11" t="n"/>
      <c r="L698" s="1" t="n"/>
    </row>
    <row r="699" ht="15" customHeight="1" s="145">
      <c r="B699" s="63" t="inlineStr">
        <is>
          <t>Natura</t>
        </is>
      </c>
      <c r="C699" s="116" t="inlineStr">
        <is>
          <t>Mamãe e Bebê</t>
        </is>
      </c>
      <c r="D699" s="64" t="inlineStr">
        <is>
          <t>Shampoo</t>
        </is>
      </c>
      <c r="E699" s="136">
        <f>TRIM(CONCATENATE(D699, " ", C699, " ", F699, " ", IF(G699&gt;0, G699 &amp; "x" &amp; H699, H699), " ", I699))</f>
        <v/>
      </c>
      <c r="F699" s="2" t="inlineStr">
        <is>
          <t>Para o Bebê Verde Escuro 0a3 anos</t>
        </is>
      </c>
      <c r="G699" s="131" t="n"/>
      <c r="H699" s="2" t="inlineStr">
        <is>
          <t xml:space="preserve">200ml </t>
        </is>
      </c>
      <c r="I699" s="31" t="inlineStr">
        <is>
          <t xml:space="preserve">Frasco </t>
        </is>
      </c>
      <c r="J699" s="141" t="inlineStr">
        <is>
          <t>ideal para curvaturas de 3A até 4C / hipoalergênica / ajuda no desembaraço / manutenção dos cachos por até 24 horas / cachos mais definidos / pode ser usado desde o primeiro banho/ não irrita os olhinhos e nem o couro cabeludo</t>
        </is>
      </c>
      <c r="K699" s="2" t="n"/>
      <c r="L699" s="1" t="n"/>
    </row>
    <row r="700" ht="15" customHeight="1" s="145">
      <c r="B700" s="63" t="inlineStr">
        <is>
          <t>Natura</t>
        </is>
      </c>
      <c r="C700" s="116" t="inlineStr">
        <is>
          <t>Mamãe e Bebê</t>
        </is>
      </c>
      <c r="D700" s="64" t="inlineStr">
        <is>
          <t>Shampoo</t>
        </is>
      </c>
      <c r="E700" s="136">
        <f>TRIM(CONCATENATE(D700, " ", C700, " ", F700, " ", IF(G700&gt;0, G700 &amp; "x" &amp; H700, H700), " ", I700))</f>
        <v/>
      </c>
      <c r="F700" s="2" t="inlineStr">
        <is>
          <t>Para o Bebê Verde 0a3 anos</t>
        </is>
      </c>
      <c r="G700" s="131" t="n"/>
      <c r="H700" s="2" t="inlineStr">
        <is>
          <t xml:space="preserve">200ml </t>
        </is>
      </c>
      <c r="I700" s="31" t="inlineStr">
        <is>
          <t xml:space="preserve">Refil </t>
        </is>
      </c>
      <c r="J700" s="124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700" s="11" t="n"/>
      <c r="L700" s="1" t="n"/>
    </row>
    <row r="701" ht="15" customHeight="1" s="145">
      <c r="B701" s="63" t="inlineStr">
        <is>
          <t>Natura</t>
        </is>
      </c>
      <c r="C701" s="116" t="inlineStr">
        <is>
          <t>Mamãe e Bebê</t>
        </is>
      </c>
      <c r="D701" s="64" t="inlineStr">
        <is>
          <t xml:space="preserve">Condicionador </t>
        </is>
      </c>
      <c r="E701" s="136">
        <f>TRIM(CONCATENATE(D701, " ", C701, " ", F701, " ", IF(G701&gt;0, G701 &amp; "x" &amp; H701, H701), " ", I701))</f>
        <v/>
      </c>
      <c r="F701" s="2" t="inlineStr">
        <is>
          <t xml:space="preserve">Para o Bebê Verde 0a3 anos </t>
        </is>
      </c>
      <c r="G701" s="131" t="n"/>
      <c r="H701" s="2" t="inlineStr">
        <is>
          <t xml:space="preserve">200ml </t>
        </is>
      </c>
      <c r="I701" s="31" t="inlineStr">
        <is>
          <t xml:space="preserve">Frasco </t>
        </is>
      </c>
      <c r="J701" s="2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1" s="11" t="n"/>
      <c r="L701" s="1" t="n"/>
    </row>
    <row r="702" ht="15" customHeight="1" s="145">
      <c r="B702" s="63" t="inlineStr">
        <is>
          <t>Natura</t>
        </is>
      </c>
      <c r="C702" s="116" t="inlineStr">
        <is>
          <t>Mamãe e Bebê</t>
        </is>
      </c>
      <c r="D702" s="64" t="inlineStr">
        <is>
          <t xml:space="preserve">Condicionador </t>
        </is>
      </c>
      <c r="E702" s="136">
        <f>TRIM(CONCATENATE(D702, " ", C702, " ", F702, " ", IF(G702&gt;0, G702 &amp; "x" &amp; H702, H702), " ", I702))</f>
        <v/>
      </c>
      <c r="F702" s="2" t="inlineStr">
        <is>
          <t>Para o Bebê Verde Escuro 0a3 anos</t>
        </is>
      </c>
      <c r="G702" s="131" t="n"/>
      <c r="H702" s="2" t="inlineStr">
        <is>
          <t xml:space="preserve">200ml </t>
        </is>
      </c>
      <c r="I702" s="31" t="inlineStr">
        <is>
          <t xml:space="preserve">Frasco </t>
        </is>
      </c>
      <c r="J702" s="141" t="inlineStr">
        <is>
      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      </is>
      </c>
      <c r="K702" s="2" t="n"/>
      <c r="L702" s="1" t="n"/>
    </row>
    <row r="703" ht="15" customHeight="1" s="145">
      <c r="B703" s="63" t="inlineStr">
        <is>
          <t>Natura</t>
        </is>
      </c>
      <c r="C703" s="116" t="inlineStr">
        <is>
          <t>Mamãe e Bebê</t>
        </is>
      </c>
      <c r="D703" s="64" t="inlineStr">
        <is>
          <t xml:space="preserve">Condicionador </t>
        </is>
      </c>
      <c r="E703" s="136">
        <f>TRIM(CONCATENATE(D703, " ", C703, " ", F703, " ", IF(G703&gt;0, G703 &amp; "x" &amp; H703, H703), " ", I703))</f>
        <v/>
      </c>
      <c r="F703" s="2" t="inlineStr">
        <is>
          <t>Para o Bebê Verde 0a3 anos</t>
        </is>
      </c>
      <c r="G703" s="131" t="n"/>
      <c r="H703" s="2" t="inlineStr">
        <is>
          <t xml:space="preserve">200ml </t>
        </is>
      </c>
      <c r="I703" s="31" t="inlineStr">
        <is>
          <t xml:space="preserve">Refil </t>
        </is>
      </c>
      <c r="J703" s="2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3" s="11" t="n"/>
      <c r="L703" s="1" t="n"/>
    </row>
    <row r="704" ht="15" customHeight="1" s="145">
      <c r="B704" s="63" t="inlineStr">
        <is>
          <t>Natura</t>
        </is>
      </c>
      <c r="C704" s="116" t="inlineStr">
        <is>
          <t>Mamãe e Bebê</t>
        </is>
      </c>
      <c r="D704" s="120" t="inlineStr">
        <is>
          <t xml:space="preserve">Creme Para Pentear </t>
        </is>
      </c>
      <c r="E704" s="136">
        <f>TRIM(CONCATENATE(D704, " ", C704, " ", F704, " ", IF(G704&gt;0, G704 &amp; "x" &amp; H704, H704), " ", I704))</f>
        <v/>
      </c>
      <c r="F704" s="2" t="inlineStr">
        <is>
          <t>Para o Bebê Verde Escuro 0a3 anos</t>
        </is>
      </c>
      <c r="G704" s="131" t="n"/>
      <c r="H704" s="2" t="inlineStr">
        <is>
          <t xml:space="preserve">125ml </t>
        </is>
      </c>
      <c r="I704" s="31" t="inlineStr">
        <is>
          <t xml:space="preserve">Frasco </t>
        </is>
      </c>
      <c r="J704" s="141" t="inlineStr">
        <is>
          <t>facilita o desembaraço em até 7 vezes e deixa os cachinhos modelados por até 24 horas / com o poder nutritivo da manteiga de murumuru, que deixa os fios hidratados e macios /  ideal para curvaturas de 3A até 4C /  cachos mais definidos</t>
        </is>
      </c>
      <c r="K704" s="11" t="n"/>
      <c r="L704" s="1" t="n"/>
    </row>
    <row r="705" ht="15" customHeight="1" s="145">
      <c r="A705" t="inlineStr">
        <is>
          <t>NATBRA-92817</t>
        </is>
      </c>
      <c r="B705" s="63" t="inlineStr">
        <is>
          <t>Natura</t>
        </is>
      </c>
      <c r="C705" s="116" t="inlineStr">
        <is>
          <t>Mamãe e Bebê</t>
        </is>
      </c>
      <c r="D705" s="120" t="inlineStr">
        <is>
          <t>Sabonete Liquido</t>
        </is>
      </c>
      <c r="E705" s="136">
        <f>TRIM(CONCATENATE(D705, " ", C705, " ", F705, " ", IF(G705&gt;0, G705 &amp; "x" &amp; H705, H705), " ", I705))</f>
        <v/>
      </c>
      <c r="F705" s="2" t="inlineStr">
        <is>
          <t>Para o Bebê Verde 0a3 anos</t>
        </is>
      </c>
      <c r="G705" s="131" t="n"/>
      <c r="H705" s="2" t="inlineStr">
        <is>
          <t xml:space="preserve">50ml </t>
        </is>
      </c>
      <c r="I705" s="31" t="inlineStr">
        <is>
          <t xml:space="preserve">Frasco </t>
        </is>
      </c>
      <c r="J705" s="2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5" s="11" t="n"/>
      <c r="L705" s="1" t="n"/>
    </row>
    <row r="706" ht="15" customHeight="1" s="145">
      <c r="B706" s="63" t="inlineStr">
        <is>
          <t>Natura</t>
        </is>
      </c>
      <c r="C706" s="116" t="inlineStr">
        <is>
          <t>Mamãe e Bebê</t>
        </is>
      </c>
      <c r="D706" s="120" t="inlineStr">
        <is>
          <t>Sabonete Liquido</t>
        </is>
      </c>
      <c r="E706" s="136">
        <f>TRIM(CONCATENATE(D706, " ", C706, " ", F706, " ", IF(G706&gt;0, G706 &amp; "x" &amp; H706, H706), " ", I706))</f>
        <v/>
      </c>
      <c r="F706" s="2" t="inlineStr">
        <is>
          <t>Para o Bebê Verde 0a3 anos</t>
        </is>
      </c>
      <c r="G706" s="131" t="n"/>
      <c r="H706" s="2" t="inlineStr">
        <is>
          <t xml:space="preserve">200ml </t>
        </is>
      </c>
      <c r="I706" s="31" t="inlineStr">
        <is>
          <t xml:space="preserve">Frasco </t>
        </is>
      </c>
      <c r="J706" s="2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6" s="11" t="n"/>
      <c r="L706" s="1" t="n"/>
    </row>
    <row r="707" ht="15" customHeight="1" s="145">
      <c r="B707" s="63" t="inlineStr">
        <is>
          <t>Natura</t>
        </is>
      </c>
      <c r="C707" s="116" t="inlineStr">
        <is>
          <t>Mamãe e Bebê</t>
        </is>
      </c>
      <c r="D707" s="64" t="inlineStr">
        <is>
          <t>Sabonete Liquido</t>
        </is>
      </c>
      <c r="E707" s="136">
        <f>TRIM(CONCATENATE(D707, " ", C707, " ", F707, " ", IF(G707&gt;0, G707 &amp; "x" &amp; H707, H707), " ", I707))</f>
        <v/>
      </c>
      <c r="F707" s="2" t="inlineStr">
        <is>
          <t>Para o Bebê Verde 0a3 anos</t>
        </is>
      </c>
      <c r="G707" s="131" t="n"/>
      <c r="H707" s="2" t="inlineStr">
        <is>
          <t xml:space="preserve">400ml </t>
        </is>
      </c>
      <c r="I707" s="31" t="inlineStr">
        <is>
          <t xml:space="preserve">Frasco </t>
        </is>
      </c>
      <c r="J707" s="2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7" s="11" t="n"/>
      <c r="L707" s="1" t="n"/>
    </row>
    <row r="708" ht="15" customHeight="1" s="145">
      <c r="B708" s="63" t="inlineStr">
        <is>
          <t>Natura</t>
        </is>
      </c>
      <c r="C708" s="116" t="inlineStr">
        <is>
          <t>Mamãe e Bebê</t>
        </is>
      </c>
      <c r="D708" s="64" t="inlineStr">
        <is>
          <t>Sabonete Liquido</t>
        </is>
      </c>
      <c r="E708" s="136">
        <f>TRIM(CONCATENATE(D708, " ", C708, " ", F708, " ", IF(G708&gt;0, G708 &amp; "x" &amp; H708, H708), " ", I708))</f>
        <v/>
      </c>
      <c r="F708" s="2" t="inlineStr">
        <is>
          <t>Relaxante Roxinho 0a3 anos</t>
        </is>
      </c>
      <c r="G708" s="131" t="n"/>
      <c r="H708" s="2" t="inlineStr">
        <is>
          <t xml:space="preserve">200ml </t>
        </is>
      </c>
      <c r="I708" s="31" t="inlineStr">
        <is>
          <t xml:space="preserve">Frasco </t>
        </is>
      </c>
      <c r="J708" s="2" t="inlineStr">
        <is>
          <t>Cuidado que relaxa e acalma, para um sono mais tranquilo / sono mais tranquila / Somente com o essencial para a pele sensível do bebê; / Mantém a hidratação da pele do bebê; / Limpeza delicada</t>
        </is>
      </c>
      <c r="K708" s="11" t="n"/>
      <c r="L708" s="1" t="n"/>
    </row>
    <row r="709" ht="15" customHeight="1" s="145">
      <c r="B709" s="63" t="inlineStr">
        <is>
          <t>Natura</t>
        </is>
      </c>
      <c r="C709" s="116" t="inlineStr">
        <is>
          <t>Mamãe e Bebê</t>
        </is>
      </c>
      <c r="D709" s="64" t="inlineStr">
        <is>
          <t>Sabonete Liquido</t>
        </is>
      </c>
      <c r="E709" s="136">
        <f>TRIM(CONCATENATE(D709, " ", C709, " ", F709, " ", IF(G709&gt;0, G709 &amp; "x" &amp; H709, H709), " ", I709))</f>
        <v/>
      </c>
      <c r="F709" s="124" t="inlineStr">
        <is>
          <t>Branco  Sem Fragrância 0a3 anos</t>
        </is>
      </c>
      <c r="G709" s="131" t="n"/>
      <c r="H709" s="2" t="inlineStr">
        <is>
          <t xml:space="preserve">200ml </t>
        </is>
      </c>
      <c r="I709" s="31" t="inlineStr">
        <is>
          <t xml:space="preserve">Frasco </t>
        </is>
      </c>
      <c r="J709" s="2" t="inlineStr">
        <is>
          <t>íquido sem fragrância / opção para mamães, papais, vovôs, vovós e todos aqueles que preferem produtos sem perfume. Pode ser usado desde o primeiro banho e não arde os olhos.</t>
        </is>
      </c>
      <c r="K709" s="11" t="n"/>
      <c r="L709" s="1" t="n"/>
    </row>
    <row r="710" ht="15" customHeight="1" s="145">
      <c r="A710" t="inlineStr">
        <is>
          <t>NATBRA-92800</t>
        </is>
      </c>
      <c r="B710" s="63" t="inlineStr">
        <is>
          <t>Natura</t>
        </is>
      </c>
      <c r="C710" s="116" t="inlineStr">
        <is>
          <t>Mamãe e Bebê</t>
        </is>
      </c>
      <c r="D710" s="64" t="inlineStr">
        <is>
          <t>Sabonete Liquido</t>
        </is>
      </c>
      <c r="E710" s="136">
        <f>TRIM(CONCATENATE(D710, " ", C710, " ", F710, " ", IF(G710&gt;0, G710 &amp; "x" &amp; H710, H710), " ", I710))</f>
        <v/>
      </c>
      <c r="F710" s="2" t="inlineStr">
        <is>
          <t>Para o Bebê Verde 0a3 anos</t>
        </is>
      </c>
      <c r="G710" s="131" t="n"/>
      <c r="H710" s="2" t="inlineStr">
        <is>
          <t xml:space="preserve">200ml </t>
        </is>
      </c>
      <c r="I710" s="31" t="inlineStr">
        <is>
          <t xml:space="preserve">Refil </t>
        </is>
      </c>
      <c r="J710" s="2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10" s="11" t="n"/>
      <c r="L710" s="1" t="n"/>
    </row>
    <row r="711" ht="15" customHeight="1" s="145">
      <c r="B711" s="63" t="inlineStr">
        <is>
          <t>Natura</t>
        </is>
      </c>
      <c r="C711" s="116" t="inlineStr">
        <is>
          <t>Mamãe e Bebê</t>
        </is>
      </c>
      <c r="D711" s="64" t="inlineStr">
        <is>
          <t>Sabonete em Barra</t>
        </is>
      </c>
      <c r="E711" s="136">
        <f>TRIM(CONCATENATE(D711, " ", C711, " ", F711, " ", IF(G711&gt;0, G711 &amp; "x" &amp; H711, H711), " ", I711))</f>
        <v/>
      </c>
      <c r="F711" s="2" t="inlineStr">
        <is>
          <t>Para o Bebê Verde</t>
        </is>
      </c>
      <c r="G711" s="131" t="n">
        <v>5</v>
      </c>
      <c r="H711" s="2" t="inlineStr">
        <is>
          <t xml:space="preserve">100g </t>
        </is>
      </c>
      <c r="I711" s="31" t="inlineStr">
        <is>
          <t xml:space="preserve">Caixa </t>
        </is>
      </c>
      <c r="J711" s="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1" s="11" t="n"/>
      <c r="L711" s="1" t="n"/>
    </row>
    <row r="712" ht="15" customHeight="1" s="145">
      <c r="B712" s="63" t="inlineStr">
        <is>
          <t>Natura</t>
        </is>
      </c>
      <c r="C712" s="116" t="inlineStr">
        <is>
          <t>Mamãe e Bebê</t>
        </is>
      </c>
      <c r="D712" s="64" t="inlineStr">
        <is>
          <t>Sabonete em Barra</t>
        </is>
      </c>
      <c r="E712" s="136">
        <f>TRIM(CONCATENATE(D712, " ", C712, " ", F712, " ", IF(G712&gt;0, G712 &amp; "x" &amp; H712, H712), " ", I712))</f>
        <v/>
      </c>
      <c r="F712" s="2" t="inlineStr">
        <is>
          <t>Para o Bebê Verde</t>
        </is>
      </c>
      <c r="G712" s="131" t="n">
        <v>6</v>
      </c>
      <c r="H712" s="31" t="inlineStr">
        <is>
          <t xml:space="preserve">20g </t>
        </is>
      </c>
      <c r="I712" s="31" t="inlineStr">
        <is>
          <t xml:space="preserve">Caixa </t>
        </is>
      </c>
      <c r="J712" s="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2" s="11" t="n"/>
      <c r="L712" s="1" t="n"/>
    </row>
    <row r="713" ht="15" customHeight="1" s="145">
      <c r="B713" s="63" t="inlineStr">
        <is>
          <t>Natura</t>
        </is>
      </c>
      <c r="C713" s="116" t="inlineStr">
        <is>
          <t>Mamãe e Bebê</t>
        </is>
      </c>
      <c r="D713" s="64" t="inlineStr">
        <is>
          <t>Sabonete em Barra</t>
        </is>
      </c>
      <c r="E713" s="136">
        <f>TRIM(CONCATENATE(D713, " ", C713, " ", F713, " ", IF(G713&gt;0, G713 &amp; "x" &amp; H713, H713), " ", I713))</f>
        <v/>
      </c>
      <c r="F713" s="138" t="inlineStr">
        <is>
          <t xml:space="preserve">3  Sortidos -  Cores , Verde , Roxinho, Rosinha </t>
        </is>
      </c>
      <c r="G713" s="131" t="n">
        <v>1</v>
      </c>
      <c r="H713" s="2" t="inlineStr">
        <is>
          <t>100g</t>
        </is>
      </c>
      <c r="I713" s="31" t="inlineStr">
        <is>
          <t xml:space="preserve">Caixa </t>
        </is>
      </c>
      <c r="J713" s="2" t="inlineStr">
        <is>
          <t>limpeza delicada desde o primeiro banho / tamanho miniatura perfeito para levar em viagens e passeios / deixa a pele delicadamente perfumada com fragrância clássica / ideal para a pele sensível do bebê</t>
        </is>
      </c>
      <c r="K713" s="11" t="n"/>
      <c r="L713" s="1" t="n"/>
    </row>
    <row r="714" ht="15" customHeight="1" s="145">
      <c r="B714" s="63" t="inlineStr">
        <is>
          <t>Natura</t>
        </is>
      </c>
      <c r="C714" s="116" t="inlineStr">
        <is>
          <t>Mamãe e Bebê</t>
        </is>
      </c>
      <c r="D714" s="64" t="inlineStr">
        <is>
          <t>Sabonete em Barra</t>
        </is>
      </c>
      <c r="E714" s="136">
        <f>TRIM(CONCATENATE(D714, " ", C714, " ", F714, " ", IF(G714&gt;0, G714 &amp; "x" &amp; H714, H714), " ", I714))</f>
        <v/>
      </c>
      <c r="F714" s="124" t="inlineStr">
        <is>
          <t xml:space="preserve">Amarelinho , Flor de Laranjeira com Saboneteira </t>
        </is>
      </c>
      <c r="G714" s="131" t="inlineStr">
        <is>
          <t>0.5</t>
        </is>
      </c>
      <c r="H714" s="2" t="inlineStr">
        <is>
          <t>100g</t>
        </is>
      </c>
      <c r="I714" s="31" t="inlineStr">
        <is>
          <t xml:space="preserve">Caixa </t>
        </is>
      </c>
      <c r="J714" s="2" t="inlineStr">
        <is>
          <t>limpeza suave e perfumação alegre desde o primeiro banho / pode ser usado desde o primeiro dia de vida / fragrância alegre e vibrante / testado e aprovado por pediatras / limpeza delicada</t>
        </is>
      </c>
      <c r="K714" s="11" t="n"/>
      <c r="L714" s="1" t="n"/>
    </row>
    <row r="715" ht="15" customHeight="1" s="145">
      <c r="B715" s="63" t="inlineStr">
        <is>
          <t>Natura</t>
        </is>
      </c>
      <c r="C715" s="116" t="inlineStr">
        <is>
          <t>Mamãe e Bebê</t>
        </is>
      </c>
      <c r="D715" s="64" t="inlineStr">
        <is>
          <t>Sabonete em Barra</t>
        </is>
      </c>
      <c r="E715" s="136">
        <f>TRIM(CONCATENATE(D715, " ", C715, " ", F715, " ", IF(G715&gt;0, G715 &amp; "x" &amp; H715, H715), " ", I715))</f>
        <v/>
      </c>
      <c r="F715" s="2" t="inlineStr">
        <is>
          <t xml:space="preserve">Para o Bebê Verde  com Saboneteira </t>
        </is>
      </c>
      <c r="G715" s="131" t="n">
        <v>5</v>
      </c>
      <c r="H715" s="2" t="inlineStr">
        <is>
          <t xml:space="preserve">20g </t>
        </is>
      </c>
      <c r="I715" s="31" t="inlineStr">
        <is>
          <t xml:space="preserve">Caixa </t>
        </is>
      </c>
      <c r="J715" s="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5" s="11" t="n"/>
      <c r="L715" s="1" t="n"/>
    </row>
    <row r="716" ht="15" customHeight="1" s="145">
      <c r="B716" s="63" t="inlineStr">
        <is>
          <t>Natura</t>
        </is>
      </c>
      <c r="C716" s="116" t="inlineStr">
        <is>
          <t>Mamãe e Bebê</t>
        </is>
      </c>
      <c r="D716" s="120" t="inlineStr">
        <is>
          <t xml:space="preserve">Lenços Umedecidos </t>
        </is>
      </c>
      <c r="E716" s="136">
        <f>TRIM(CONCATENATE(D716, " ", C716, " ", F716, " ", IF(G716&gt;0, G716 &amp; "x" &amp; H716, H716), " ", I716))</f>
        <v/>
      </c>
      <c r="F716" s="2" t="inlineStr">
        <is>
          <t>Para o Bebê Verde</t>
        </is>
      </c>
      <c r="G716" s="131" t="n">
        <v>50</v>
      </c>
      <c r="H716" s="124" t="inlineStr">
        <is>
          <t>20 cm x 15 cm</t>
        </is>
      </c>
      <c r="I716" s="31" t="inlineStr">
        <is>
          <t xml:space="preserve">Pacote </t>
        </is>
      </c>
      <c r="J716" s="11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6" s="11" t="n"/>
      <c r="L716" s="1" t="n"/>
    </row>
    <row r="717" ht="15" customHeight="1" s="145">
      <c r="B717" s="63" t="inlineStr">
        <is>
          <t>Natura</t>
        </is>
      </c>
      <c r="C717" s="116" t="inlineStr">
        <is>
          <t>Mamãe e Bebê</t>
        </is>
      </c>
      <c r="D717" s="120" t="inlineStr">
        <is>
          <t xml:space="preserve">Lenços Umedecidos </t>
        </is>
      </c>
      <c r="E717" s="136">
        <f>TRIM(CONCATENATE(D717, " ", C717, " ", F717, " ", IF(G717&gt;0, G717 &amp; "x" &amp; H717, H717), " ", I717))</f>
        <v/>
      </c>
      <c r="F717" s="124" t="inlineStr">
        <is>
          <t xml:space="preserve">Branco  Sem Fragrância </t>
        </is>
      </c>
      <c r="G717" s="131" t="n">
        <v>50</v>
      </c>
      <c r="H717" s="124" t="inlineStr">
        <is>
          <t>20 cm x 15 cm</t>
        </is>
      </c>
      <c r="I717" s="31" t="inlineStr">
        <is>
          <t xml:space="preserve">Pacote </t>
        </is>
      </c>
      <c r="J717" s="11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7" s="11" t="n"/>
      <c r="L717" s="1" t="n"/>
    </row>
    <row r="718" ht="15" customHeight="1" s="145">
      <c r="B718" s="63" t="inlineStr">
        <is>
          <t>Natura</t>
        </is>
      </c>
      <c r="C718" s="116" t="inlineStr">
        <is>
          <t>Mamãe e Bebê</t>
        </is>
      </c>
      <c r="D718" s="120" t="inlineStr">
        <is>
          <t xml:space="preserve">Lenços Umedecidos </t>
        </is>
      </c>
      <c r="E718" s="136">
        <f>TRIM(CONCATENATE(D718, " ", C718, " ", F718, " ", IF(G718&gt;0, G718 &amp; "x" &amp; H718, H718), " ", I718))</f>
        <v/>
      </c>
      <c r="F718" s="2" t="inlineStr">
        <is>
          <t>Para o Bebê Verde</t>
        </is>
      </c>
      <c r="G718" s="131" t="n"/>
      <c r="H718" s="2" t="n"/>
      <c r="I718" s="31" t="inlineStr">
        <is>
          <t xml:space="preserve">Pacote </t>
        </is>
      </c>
      <c r="J718" s="11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8" s="11" t="n"/>
      <c r="L718" s="1" t="n"/>
    </row>
    <row r="719" ht="15" customHeight="1" s="145">
      <c r="B719" s="63" t="inlineStr">
        <is>
          <t>Natura</t>
        </is>
      </c>
      <c r="C719" s="116" t="inlineStr">
        <is>
          <t>Mamãe e Bebê</t>
        </is>
      </c>
      <c r="D719" s="120" t="inlineStr">
        <is>
          <t xml:space="preserve">Lenços Umedecidos </t>
        </is>
      </c>
      <c r="E719" s="136">
        <f>TRIM(CONCATENATE(D719, " ", C719, " ", F719, " ", IF(G719&gt;0, G719 &amp; "x" &amp; H719, H719), " ", I719))</f>
        <v/>
      </c>
      <c r="F719" s="124" t="inlineStr">
        <is>
          <t xml:space="preserve">Branco  Sem Fragrância </t>
        </is>
      </c>
      <c r="G719" s="131" t="n"/>
      <c r="H719" s="2" t="n"/>
      <c r="I719" s="31" t="inlineStr">
        <is>
          <t xml:space="preserve">Pacote </t>
        </is>
      </c>
      <c r="J719" s="11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9" s="11" t="n"/>
      <c r="L719" s="1" t="n"/>
    </row>
    <row r="720" ht="15" customHeight="1" s="145">
      <c r="B720" s="63" t="inlineStr">
        <is>
          <t>Natura</t>
        </is>
      </c>
      <c r="C720" s="116" t="inlineStr">
        <is>
          <t>Mamãe e Bebê</t>
        </is>
      </c>
      <c r="D720" s="120" t="inlineStr">
        <is>
          <t xml:space="preserve">Hidratante Corporal </t>
        </is>
      </c>
      <c r="E720" s="136">
        <f>TRIM(CONCATENATE(D720, " ", C720, " ", F720, " ", IF(G720&gt;0, G720 &amp; "x" &amp; H720, H720), " ", I720))</f>
        <v/>
      </c>
      <c r="F720" s="2" t="inlineStr">
        <is>
          <t xml:space="preserve"> Flor de Laranjeira Amarelinho 0a3 anos</t>
        </is>
      </c>
      <c r="G720" s="131" t="n"/>
      <c r="H720" s="43" t="inlineStr">
        <is>
          <t xml:space="preserve">200ml </t>
        </is>
      </c>
      <c r="I720" s="31" t="inlineStr">
        <is>
          <t xml:space="preserve">Frasco </t>
        </is>
      </c>
      <c r="J720" s="124" t="inlineStr">
        <is>
          <t>Aroma fresquinho / hidratação intensa para a pele / ideal para a pele sensível do bebê / textura leve e de rápida absorção / fragrância alegre e vibrante / oftalmologicamente testado</t>
        </is>
      </c>
      <c r="K720" s="11" t="n"/>
      <c r="L720" s="1" t="n"/>
    </row>
    <row r="721" ht="15" customHeight="1" s="145">
      <c r="B721" s="63" t="inlineStr">
        <is>
          <t>Natura</t>
        </is>
      </c>
      <c r="C721" s="116" t="inlineStr">
        <is>
          <t>Mamãe e Bebê</t>
        </is>
      </c>
      <c r="D721" s="120" t="inlineStr">
        <is>
          <t xml:space="preserve">Hidratante Corporal </t>
        </is>
      </c>
      <c r="E721" s="136">
        <f>TRIM(CONCATENATE(D721, " ", C721, " ", F721, " ", IF(G721&gt;0, G721 &amp; "x" &amp; H721, H721), " ", I721))</f>
        <v/>
      </c>
      <c r="F721" s="124" t="inlineStr">
        <is>
          <t>Branco Sem Fragrância 0a3 anos</t>
        </is>
      </c>
      <c r="G721" s="131" t="n"/>
      <c r="H721" s="43" t="inlineStr">
        <is>
          <t xml:space="preserve">200ml </t>
        </is>
      </c>
      <c r="I721" s="31" t="inlineStr">
        <is>
          <t xml:space="preserve">Frasco </t>
        </is>
      </c>
      <c r="J721" s="11" t="inlineStr">
        <is>
          <t>Sem cheirinho / mais uma opção para mamães, papais, vovôs, vovós e todos aqueles que preferem produtos sem perfume. Recomendado para peles sensíveis, tem rápida absorção e hidratação imediata.</t>
        </is>
      </c>
      <c r="K721" s="11" t="n"/>
      <c r="L721" s="1" t="n"/>
    </row>
    <row r="722" ht="15" customHeight="1" s="145">
      <c r="B722" s="63" t="inlineStr">
        <is>
          <t>Natura</t>
        </is>
      </c>
      <c r="C722" s="116" t="inlineStr">
        <is>
          <t>Mamãe e Bebê</t>
        </is>
      </c>
      <c r="D722" s="120" t="inlineStr">
        <is>
          <t xml:space="preserve">Hidratante Corporal </t>
        </is>
      </c>
      <c r="E722" s="136">
        <f>TRIM(CONCATENATE(D722, " ", C722, " ", F722, " ", IF(G722&gt;0, G722 &amp; "x" &amp; H722, H722), " ", I722))</f>
        <v/>
      </c>
      <c r="F722" s="2" t="inlineStr">
        <is>
          <t>Para o Bebê Verde 0a3 anos</t>
        </is>
      </c>
      <c r="G722" s="131" t="n"/>
      <c r="H722" s="43" t="inlineStr">
        <is>
          <t xml:space="preserve">200ml </t>
        </is>
      </c>
      <c r="I722" s="31" t="inlineStr">
        <is>
          <t xml:space="preserve">Frasco </t>
        </is>
      </c>
      <c r="J722" s="11" t="inlineStr">
        <is>
          <t>especialmente formulado para hidratar e proteger a pele delicada do bebê. com ingredientes suaves e seguros, sua textura leve e de rápida absorção proporciona maciez e conforto.</t>
        </is>
      </c>
      <c r="K722" s="11" t="n"/>
      <c r="L722" s="1" t="n"/>
    </row>
    <row r="723" ht="15" customHeight="1" s="145">
      <c r="A723" t="inlineStr">
        <is>
          <t>NATBRA-92806</t>
        </is>
      </c>
      <c r="B723" s="63" t="inlineStr">
        <is>
          <t>Natura</t>
        </is>
      </c>
      <c r="C723" s="116" t="inlineStr">
        <is>
          <t>Mamãe e Bebê</t>
        </is>
      </c>
      <c r="D723" s="120" t="inlineStr">
        <is>
          <t xml:space="preserve">Hidratante Corporal </t>
        </is>
      </c>
      <c r="E723" s="136">
        <f>TRIM(CONCATENATE(D723, " ", C723, " ", F723, " ", IF(G723&gt;0, G723 &amp; "x" &amp; H723, H723), " ", I723))</f>
        <v/>
      </c>
      <c r="F723" s="2" t="inlineStr">
        <is>
          <t>Relaxante Roxinho 0a3 anos</t>
        </is>
      </c>
      <c r="G723" s="131" t="n"/>
      <c r="H723" s="43" t="inlineStr">
        <is>
          <t xml:space="preserve">200ml </t>
        </is>
      </c>
      <c r="I723" s="31" t="inlineStr">
        <is>
          <t xml:space="preserve">Frasco </t>
        </is>
      </c>
      <c r="J723" s="11" t="inlineStr">
        <is>
      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      </is>
      </c>
      <c r="K723" s="11" t="n"/>
      <c r="L723" s="1" t="n"/>
    </row>
    <row r="724" ht="15" customHeight="1" s="145">
      <c r="B724" s="63" t="inlineStr">
        <is>
          <t>Natura</t>
        </is>
      </c>
      <c r="C724" s="116" t="inlineStr">
        <is>
          <t>Mamãe e Bebê</t>
        </is>
      </c>
      <c r="D724" s="120" t="inlineStr">
        <is>
          <t xml:space="preserve">Hidratante Corporal </t>
        </is>
      </c>
      <c r="E724" s="136">
        <f>TRIM(CONCATENATE(D724, " ", C724, " ", F724, " ", IF(G724&gt;0, G724 &amp; "x" &amp; H724, H724), " ", I724))</f>
        <v/>
      </c>
      <c r="F724" s="2" t="inlineStr">
        <is>
          <t xml:space="preserve">Rosinha / Para Mamãe </t>
        </is>
      </c>
      <c r="G724" s="131" t="n"/>
      <c r="H724" s="43" t="inlineStr">
        <is>
          <t xml:space="preserve">200ml </t>
        </is>
      </c>
      <c r="I724" s="31" t="inlineStr">
        <is>
          <t xml:space="preserve">Frasco </t>
        </is>
      </c>
      <c r="J724" s="11" t="inlineStr">
        <is>
          <t>Preventivo de estrias na gestação e Pós gestação / Hipoalergenico /  hidrata intensamente / melhora a elasticidade da pele</t>
        </is>
      </c>
      <c r="K724" s="11" t="n"/>
      <c r="L724" s="1" t="n"/>
    </row>
    <row r="725" ht="15.75" customHeight="1" s="145">
      <c r="B725" s="63" t="inlineStr">
        <is>
          <t>Natura</t>
        </is>
      </c>
      <c r="C725" s="116" t="inlineStr">
        <is>
          <t>Mamãe e Bebê</t>
        </is>
      </c>
      <c r="D725" s="120" t="inlineStr">
        <is>
          <t xml:space="preserve">Oleo Corporal </t>
        </is>
      </c>
      <c r="E725" s="136">
        <f>TRIM(CONCATENATE(D725, " ", C725, " ", F725, " ", IF(G725&gt;0, G725 &amp; "x" &amp; H725, H725), " ", I725))</f>
        <v/>
      </c>
      <c r="F725" s="2" t="inlineStr">
        <is>
          <t>Flor de Laranjeira Amarelinho 0a3 anos</t>
        </is>
      </c>
      <c r="G725" s="131" t="n"/>
      <c r="H725" s="43" t="inlineStr">
        <is>
          <t xml:space="preserve">200ml </t>
        </is>
      </c>
      <c r="I725" s="31" t="inlineStr">
        <is>
          <t xml:space="preserve">Frasco </t>
        </is>
      </c>
      <c r="J725" s="11" t="inlineStr">
        <is>
      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      </is>
      </c>
      <c r="K725" s="11" t="n"/>
      <c r="L725" s="1" t="n"/>
    </row>
    <row r="726" ht="15" customHeight="1" s="145">
      <c r="B726" s="63" t="inlineStr">
        <is>
          <t>Natura</t>
        </is>
      </c>
      <c r="C726" s="116" t="inlineStr">
        <is>
          <t>Mamãe e Bebê</t>
        </is>
      </c>
      <c r="D726" s="120" t="inlineStr">
        <is>
          <t xml:space="preserve">Oleo Corporal </t>
        </is>
      </c>
      <c r="E726" s="136">
        <f>TRIM(CONCATENATE(D726, " ", C726, " ", F726, " ", IF(G726&gt;0, G726 &amp; "x" &amp; H726, H726), " ", I726))</f>
        <v/>
      </c>
      <c r="F726" s="2" t="inlineStr">
        <is>
          <t>Para o Bebê Verde 0a3 anos</t>
        </is>
      </c>
      <c r="G726" s="131" t="n"/>
      <c r="H726" s="43" t="inlineStr">
        <is>
          <t xml:space="preserve">200ml </t>
        </is>
      </c>
      <c r="I726" s="31" t="inlineStr">
        <is>
          <t xml:space="preserve">Frasco </t>
        </is>
      </c>
      <c r="J726" s="61" t="inlineStr">
        <is>
          <t>essencial para hidratar a pele sensível do bebê /  Com óleo de amêndoas, hidrata e protege com suavidade e cuidado /  Tem rápida absorção e pode ser usado após o banho e sempre que necessário..</t>
        </is>
      </c>
      <c r="K726" s="11" t="n"/>
      <c r="L726" s="1" t="n"/>
    </row>
    <row r="727" ht="15" customHeight="1" s="145">
      <c r="B727" s="63" t="inlineStr">
        <is>
          <t>Natura</t>
        </is>
      </c>
      <c r="C727" s="116" t="inlineStr">
        <is>
          <t>Mamãe e Bebê</t>
        </is>
      </c>
      <c r="D727" s="120" t="inlineStr">
        <is>
          <t xml:space="preserve">Oleo Corporal </t>
        </is>
      </c>
      <c r="E727" s="136">
        <f>TRIM(CONCATENATE(D727, " ", C727, " ", F727, " ", IF(G727&gt;0, G727 &amp; "x" &amp; H727, H727), " ", I727))</f>
        <v/>
      </c>
      <c r="F727" s="2" t="inlineStr">
        <is>
          <t xml:space="preserve">Para Mamãe ,Gestante Rosinha </t>
        </is>
      </c>
      <c r="G727" s="131" t="n"/>
      <c r="H727" s="43" t="inlineStr">
        <is>
          <t xml:space="preserve">200ml </t>
        </is>
      </c>
      <c r="I727" s="31" t="inlineStr">
        <is>
          <t xml:space="preserve">Frasco </t>
        </is>
      </c>
      <c r="J727" s="11" t="inlineStr">
        <is>
          <t>Preventivo de estrias na gestação e Pós gestação / Hipoalergenico /  hidrata intensamente / melhora a elasticidade da pele</t>
        </is>
      </c>
      <c r="K727" s="11" t="n"/>
      <c r="L727" s="1" t="n"/>
    </row>
    <row r="728" ht="15" customHeight="1" s="145">
      <c r="B728" s="63" t="inlineStr">
        <is>
          <t>Natura</t>
        </is>
      </c>
      <c r="C728" s="116" t="inlineStr">
        <is>
          <t>Mamãe e Bebê</t>
        </is>
      </c>
      <c r="D728" s="120" t="inlineStr">
        <is>
          <t xml:space="preserve">Creme Assadura </t>
        </is>
      </c>
      <c r="E728" s="136">
        <f>TRIM(CONCATENATE(D728, " ", C728, " ", F728, " ", IF(G728&gt;0, G728 &amp; "x" &amp; H728, H728), " ", I728))</f>
        <v/>
      </c>
      <c r="F728" s="124" t="inlineStr">
        <is>
          <t xml:space="preserve">Branco Sem Fragrância </t>
        </is>
      </c>
      <c r="G728" s="131" t="n"/>
      <c r="H728" s="43" t="inlineStr">
        <is>
          <t xml:space="preserve">60g </t>
        </is>
      </c>
      <c r="I728" s="31" t="inlineStr">
        <is>
          <t xml:space="preserve">Frsaco </t>
        </is>
      </c>
      <c r="J728" s="11" t="inlineStr">
        <is>
          <t>barreira que deixa a pele do bebê duas vezes mais fortalecida e protegida de fatores externos com o uso contínuo. Seu complexo nutritivo enriquecido com pantenol, óleo de amêndoas e manteiga de cacau, ajuda a fortalecer as camadas superiores da pele sensível.</t>
        </is>
      </c>
      <c r="K728" s="11" t="n"/>
      <c r="L728" s="1" t="n"/>
    </row>
    <row r="729" ht="12.75" customHeight="1" s="145">
      <c r="B729" s="63" t="inlineStr">
        <is>
          <t>Natura</t>
        </is>
      </c>
      <c r="C729" s="116" t="inlineStr">
        <is>
          <t>Mamãe e Bebê</t>
        </is>
      </c>
      <c r="D729" s="120" t="inlineStr">
        <is>
          <t xml:space="preserve">Álcool em Gel </t>
        </is>
      </c>
      <c r="E729" s="136">
        <f>TRIM(CONCATENATE(D729, " ", C729, " ", F729, " ", IF(G729&gt;0, G729 &amp; "x" &amp; H729, H729), " ", I729))</f>
        <v/>
      </c>
      <c r="F729" s="2" t="inlineStr">
        <is>
          <t xml:space="preserve">Rosinha / Para Mamãe </t>
        </is>
      </c>
      <c r="G729" s="131" t="n"/>
      <c r="H729" s="43" t="inlineStr">
        <is>
          <t xml:space="preserve">55g </t>
        </is>
      </c>
      <c r="I729" s="31" t="inlineStr">
        <is>
          <t>Frasco</t>
        </is>
      </c>
      <c r="J729" s="11" t="inlineStr">
        <is>
          <t>para o adulto que segura o bebê /  elimina 99,9% das bactérias /  ação antisséptica</t>
        </is>
      </c>
      <c r="K729" s="11" t="n"/>
      <c r="L729" s="1" t="n"/>
    </row>
    <row r="730" ht="15" customHeight="1" s="145">
      <c r="B730" s="63" t="inlineStr">
        <is>
          <t>Natura</t>
        </is>
      </c>
      <c r="C730" s="116" t="inlineStr">
        <is>
          <t>Mamãe e Bebê</t>
        </is>
      </c>
      <c r="D730" s="120" t="inlineStr">
        <is>
          <t>Kit</t>
        </is>
      </c>
      <c r="E730" s="136">
        <f>TRIM(CONCATENATE(D730, " ", C730, " ", F730, " ", IF(G730&gt;0, G730 &amp; "x" &amp; H730, H730), " ", I730))</f>
        <v/>
      </c>
      <c r="F730" s="2" t="inlineStr">
        <is>
          <t>Miniatura Verde para o Bebê 0a3 anos</t>
        </is>
      </c>
      <c r="G730" s="131" t="n"/>
      <c r="H730" s="43" t="inlineStr">
        <is>
          <t>150ml</t>
        </is>
      </c>
      <c r="I730" s="31" t="inlineStr">
        <is>
          <t xml:space="preserve">Frascos </t>
        </is>
      </c>
      <c r="J730" s="11" t="n"/>
      <c r="K730" s="11" t="n"/>
      <c r="L730" s="1" t="n"/>
    </row>
    <row r="731" ht="15" customHeight="1" s="145">
      <c r="B731" s="63" t="inlineStr">
        <is>
          <t>Natura</t>
        </is>
      </c>
      <c r="C731" s="116" t="inlineStr">
        <is>
          <t>Mamãe e Bebê</t>
        </is>
      </c>
      <c r="D731" s="120" t="inlineStr">
        <is>
          <t>Kit</t>
        </is>
      </c>
      <c r="E731" s="136">
        <f>TRIM(CONCATENATE(D731, " ", C731, " ", F731, " ", IF(G731&gt;0, G731 &amp; "x" &amp; H731, H731), " ", I731))</f>
        <v/>
      </c>
      <c r="F731" s="2" t="inlineStr">
        <is>
          <t>Mamae e Bebe com Trocador Verde para o Bebê 0a3 anos</t>
        </is>
      </c>
      <c r="G731" s="131" t="n"/>
      <c r="H731" s="43" t="inlineStr">
        <is>
          <t>750ml</t>
        </is>
      </c>
      <c r="I731" s="31" t="inlineStr">
        <is>
          <t xml:space="preserve">Frascos </t>
        </is>
      </c>
      <c r="J731" s="11" t="n"/>
      <c r="K731" s="11" t="n"/>
      <c r="L731" s="1" t="n"/>
    </row>
    <row r="732" ht="15" customHeight="1" s="145">
      <c r="B732" s="63" t="inlineStr">
        <is>
          <t>Natura</t>
        </is>
      </c>
      <c r="C732" s="116" t="inlineStr">
        <is>
          <t>Mamãe e Bebê</t>
        </is>
      </c>
      <c r="D732" s="120" t="inlineStr">
        <is>
          <t>Kit</t>
        </is>
      </c>
      <c r="E732" s="136">
        <f>TRIM(CONCATENATE(D732, " ", C732, " ", F732, " ", IF(G732&gt;0, G732 &amp; "x" &amp; H732, H732), " ", I732))</f>
        <v/>
      </c>
      <c r="F732" s="2" t="inlineStr">
        <is>
          <t>Mamae e Bebe com Frasqueira Verde  para o Bebê 0a3 anos</t>
        </is>
      </c>
      <c r="G732" s="131" t="n"/>
      <c r="H732" s="43" t="inlineStr">
        <is>
          <t xml:space="preserve">350ml </t>
        </is>
      </c>
      <c r="I732" s="31" t="inlineStr">
        <is>
          <t xml:space="preserve">Frascos </t>
        </is>
      </c>
      <c r="J732" s="11" t="n"/>
      <c r="K732" s="11" t="n"/>
      <c r="L732" s="1" t="n"/>
    </row>
    <row r="733" ht="15" customHeight="1" s="145">
      <c r="B733" s="63" t="inlineStr">
        <is>
          <t>Natura</t>
        </is>
      </c>
      <c r="C733" s="116" t="inlineStr">
        <is>
          <t>Mamãe e Bebê</t>
        </is>
      </c>
      <c r="D733" s="120" t="inlineStr">
        <is>
          <t>Kit</t>
        </is>
      </c>
      <c r="E733" s="136">
        <f>TRIM(CONCATENATE(D733, " ", C733, " ", F733, " ", IF(G733&gt;0, G733 &amp; "x" &amp; H733, H733), " ", I733))</f>
        <v/>
      </c>
      <c r="F733" s="2" t="inlineStr">
        <is>
          <t>Papai e Bebe Mochila com Trocador Verde para o Bebê 0a3 anos</t>
        </is>
      </c>
      <c r="G733" s="131" t="n"/>
      <c r="H733" s="43" t="inlineStr">
        <is>
          <t>750ml</t>
        </is>
      </c>
      <c r="I733" s="31" t="inlineStr">
        <is>
          <t xml:space="preserve">Frascos </t>
        </is>
      </c>
      <c r="J733" s="11" t="n"/>
      <c r="K733" s="11" t="n"/>
      <c r="L733" s="1" t="n"/>
    </row>
    <row r="734" ht="15" customHeight="1" s="145">
      <c r="B734" s="63" t="inlineStr">
        <is>
          <t>Natura</t>
        </is>
      </c>
      <c r="C734" s="82" t="inlineStr">
        <is>
          <t xml:space="preserve">Erva Doce </t>
        </is>
      </c>
      <c r="D734" s="120" t="inlineStr">
        <is>
          <t>Alcool em Gel Antisseptico</t>
        </is>
      </c>
      <c r="E734" s="136">
        <f>TRIM(CONCATENATE(D734, " ", C734, " ", F734, " ", IF(G734&gt;0, G734 &amp; "x" &amp; H734, H734), " ", I734))</f>
        <v/>
      </c>
      <c r="F734" s="2" t="inlineStr">
        <is>
          <t>70 INPM</t>
        </is>
      </c>
      <c r="G734" s="131" t="n"/>
      <c r="H734" s="2" t="inlineStr">
        <is>
          <t xml:space="preserve">45g </t>
        </is>
      </c>
      <c r="I734" s="31" t="inlineStr">
        <is>
          <t xml:space="preserve">Frasco </t>
        </is>
      </c>
      <c r="J734" s="11" t="inlineStr">
        <is>
          <t>antisséptica comprovada / alcóolica de 70%, foi desenvolvida e avaliada / elimina 99,9% do germes / em situações com alta exposição a germes</t>
        </is>
      </c>
      <c r="K734" s="11" t="n"/>
      <c r="L734" s="1" t="n"/>
    </row>
    <row r="735" ht="15" customHeight="1" s="145">
      <c r="B735" s="63" t="inlineStr">
        <is>
          <t>Natura</t>
        </is>
      </c>
      <c r="C735" s="82" t="inlineStr">
        <is>
          <t xml:space="preserve">Erva Doce </t>
        </is>
      </c>
      <c r="D735" s="64" t="inlineStr">
        <is>
          <t>Desodorante Antitranspirante Roll-on</t>
        </is>
      </c>
      <c r="E735" s="136">
        <f>TRIM(CONCATENATE(D735, " ", C735, " ", F735, " ", IF(G735&gt;0, G735 &amp; "x" &amp; H735, H735), " ", I735))</f>
        <v/>
      </c>
      <c r="F735" s="2" t="n"/>
      <c r="G735" s="131" t="n"/>
      <c r="H735" s="12" t="inlineStr">
        <is>
          <t>70ml</t>
        </is>
      </c>
      <c r="I735" s="33" t="inlineStr">
        <is>
          <t xml:space="preserve">Frasco </t>
        </is>
      </c>
      <c r="J735" s="11" t="inlineStr">
        <is>
          <t>Proteção por até 72h / cuida da pele com tecnologia de Bioinovação, combina o melhor da ciência e da natureza / protege, perfuma e cuida / tecnologia invisível, não mancha as roupas claras e escuras</t>
        </is>
      </c>
      <c r="K735" s="180" t="n">
        <v>29.9</v>
      </c>
      <c r="L735" s="1" t="n"/>
    </row>
    <row r="736" ht="15" customHeight="1" s="145">
      <c r="B736" s="63" t="inlineStr">
        <is>
          <t>Natura</t>
        </is>
      </c>
      <c r="C736" s="82" t="inlineStr">
        <is>
          <t xml:space="preserve">Erva Doce </t>
        </is>
      </c>
      <c r="D736" s="66" t="inlineStr">
        <is>
          <t>Desodorante Corporal</t>
        </is>
      </c>
      <c r="E736" s="136">
        <f>TRIM(CONCATENATE(D736, " ", C736, " ", F736, " ", IF(G736&gt;0, G736 &amp; "x" &amp; H736, H736), " ", I736))</f>
        <v/>
      </c>
      <c r="F736" s="2" t="n"/>
      <c r="G736" s="131" t="n"/>
      <c r="H736" s="141" t="inlineStr">
        <is>
          <t>100ml</t>
        </is>
      </c>
      <c r="I736" s="31" t="inlineStr">
        <is>
          <t xml:space="preserve">Frasco </t>
        </is>
      </c>
      <c r="J736" s="11" t="inlineStr">
        <is>
          <t>faz um convite para uma pausa e para mais significado nos simples rituais diários / proteger e perfumar sua pele com tecnologia desodorante que protege contra odores da transpiração.</t>
        </is>
      </c>
      <c r="K736" s="11" t="n"/>
      <c r="L736" s="1" t="n"/>
    </row>
    <row r="737" ht="15" customHeight="1" s="145">
      <c r="B737" s="63" t="inlineStr">
        <is>
          <t>Natura</t>
        </is>
      </c>
      <c r="C737" s="82" t="inlineStr">
        <is>
          <t xml:space="preserve">Erva Doce </t>
        </is>
      </c>
      <c r="D737" s="66" t="inlineStr">
        <is>
          <t>Desodorante Corporal</t>
        </is>
      </c>
      <c r="E737" s="136">
        <f>TRIM(CONCATENATE(D737, " ", C737, " ", F737, " ", IF(G737&gt;0, G737 &amp; "x" &amp; H737, H737), " ", I737))</f>
        <v/>
      </c>
      <c r="F737" s="2" t="n"/>
      <c r="G737" s="131" t="n"/>
      <c r="H737" s="141" t="inlineStr">
        <is>
          <t>100ml</t>
        </is>
      </c>
      <c r="I737" s="31" t="inlineStr">
        <is>
          <t xml:space="preserve">Refil </t>
        </is>
      </c>
      <c r="J737" s="11" t="inlineStr">
        <is>
          <t>faz um convite para uma pausa e para mais significado nos simples rituais diários / proteger e perfumar sua pele com tecnologia desodorante que protege contra odores da transpiração.</t>
        </is>
      </c>
      <c r="K737" s="11" t="n"/>
      <c r="L737" s="1" t="n"/>
    </row>
    <row r="738" ht="15" customHeight="1" s="145">
      <c r="A738" t="inlineStr">
        <is>
          <t>NATBRA-2179</t>
        </is>
      </c>
      <c r="B738" s="63" t="inlineStr">
        <is>
          <t>Natura</t>
        </is>
      </c>
      <c r="C738" s="82" t="inlineStr">
        <is>
          <t xml:space="preserve">Erva Doce </t>
        </is>
      </c>
      <c r="D738" s="119" t="inlineStr">
        <is>
          <t>Desodorante Creme</t>
        </is>
      </c>
      <c r="E738" s="136">
        <f>TRIM(CONCATENATE(D738, " ", C738, " ", F738, " ", IF(G738&gt;0, G738 &amp; "x" &amp; H738, H738), " ", I738))</f>
        <v/>
      </c>
      <c r="F738" s="2" t="n"/>
      <c r="G738" s="131" t="n"/>
      <c r="H738" s="2" t="inlineStr">
        <is>
          <t xml:space="preserve">80g </t>
        </is>
      </c>
      <c r="I738" s="31" t="inlineStr">
        <is>
          <t xml:space="preserve">Frasco </t>
        </is>
      </c>
      <c r="J738" s="11" t="inlineStr">
        <is>
          <t>Proteção Inv \ 0% Alcool \ Performace</t>
        </is>
      </c>
      <c r="K738" s="11" t="n"/>
      <c r="L738" s="1" t="n"/>
    </row>
    <row r="739" ht="15" customHeight="1" s="145">
      <c r="B739" s="63" t="inlineStr">
        <is>
          <t>Natura</t>
        </is>
      </c>
      <c r="C739" s="82" t="inlineStr">
        <is>
          <t xml:space="preserve">Erva Doce </t>
        </is>
      </c>
      <c r="D739" s="64" t="inlineStr">
        <is>
          <t xml:space="preserve">Sabonete Cremoso </t>
        </is>
      </c>
      <c r="E739" s="136">
        <f>TRIM(CONCATENATE(D739, " ", C739, " ", F739, " ", IF(G739&gt;0, G739 &amp; "x" &amp; H739, H739), " ", I739))</f>
        <v/>
      </c>
      <c r="F739" s="2" t="n"/>
      <c r="G739" s="131" t="n"/>
      <c r="H739" s="2" t="inlineStr">
        <is>
          <t xml:space="preserve">250ml </t>
        </is>
      </c>
      <c r="I739" s="31" t="inlineStr">
        <is>
          <t xml:space="preserve">Frasco </t>
        </is>
      </c>
      <c r="J739" s="11" t="inlineStr">
        <is>
          <t xml:space="preserve">Limpa Sem Prejudicar as defesas naturais da pele </t>
        </is>
      </c>
      <c r="K739" s="11" t="n"/>
      <c r="L739" s="1" t="n"/>
    </row>
    <row r="740" ht="15" customHeight="1" s="145">
      <c r="B740" s="63" t="inlineStr">
        <is>
          <t>Natura</t>
        </is>
      </c>
      <c r="C740" s="82" t="inlineStr">
        <is>
          <t xml:space="preserve">Erva Doce </t>
        </is>
      </c>
      <c r="D740" s="64" t="inlineStr">
        <is>
          <t xml:space="preserve">Sabonete Cremoso </t>
        </is>
      </c>
      <c r="E740" s="136">
        <f>TRIM(CONCATENATE(D740, " ", C740, " ", F740, " ", IF(G740&gt;0, G740 &amp; "x" &amp; H740, H740), " ", I740))</f>
        <v/>
      </c>
      <c r="F740" s="2" t="n"/>
      <c r="G740" s="131" t="n"/>
      <c r="H740" s="2" t="inlineStr">
        <is>
          <t xml:space="preserve">250ml </t>
        </is>
      </c>
      <c r="I740" s="31" t="inlineStr">
        <is>
          <t xml:space="preserve">Refil </t>
        </is>
      </c>
      <c r="J740" s="11" t="inlineStr">
        <is>
          <t xml:space="preserve">Limpa Sem Prejudicar as defesas naturais da pele </t>
        </is>
      </c>
      <c r="K740" s="11" t="n"/>
      <c r="L740" s="1" t="n"/>
    </row>
    <row r="741" ht="15" customHeight="1" s="145">
      <c r="B741" s="63" t="inlineStr">
        <is>
          <t>Natura</t>
        </is>
      </c>
      <c r="C741" s="82" t="inlineStr">
        <is>
          <t xml:space="preserve">Erva Doce </t>
        </is>
      </c>
      <c r="D741" s="64" t="inlineStr">
        <is>
          <t>Sabonete em barra</t>
        </is>
      </c>
      <c r="E741" s="136">
        <f>TRIM(CONCATENATE(D741, " ", C741, " ", F741, " ", IF(G741&gt;0, G741 &amp; "x" &amp; H741, H741), " ", I741))</f>
        <v/>
      </c>
      <c r="F741" s="2" t="n"/>
      <c r="G741" s="131" t="n">
        <v>4</v>
      </c>
      <c r="H741" s="43" t="inlineStr">
        <is>
          <t xml:space="preserve">90g </t>
        </is>
      </c>
      <c r="I741" s="31" t="inlineStr">
        <is>
          <t xml:space="preserve">Caixa </t>
        </is>
      </c>
      <c r="J741" s="11" t="inlineStr">
        <is>
          <t>confia de olhos fechados na limpeza e na fragrância inconfundível / 2 sabonetes cremosos, 1 sabonete esfoliante e 1 glicerinado para você desfrutar de banhos muito mais relaxantes</t>
        </is>
      </c>
      <c r="K741" s="11" t="n"/>
      <c r="L741" s="1" t="n"/>
    </row>
    <row r="742" ht="15" customHeight="1" s="145">
      <c r="B742" s="63" t="inlineStr">
        <is>
          <t>Natura</t>
        </is>
      </c>
      <c r="C742" s="82" t="inlineStr">
        <is>
          <t xml:space="preserve">Erva Doce </t>
        </is>
      </c>
      <c r="D742" s="64" t="inlineStr">
        <is>
          <t>Sabonete em barra</t>
        </is>
      </c>
      <c r="E742" s="136">
        <f>TRIM(CONCATENATE(D742, " ", C742, " ", F742, " ", IF(G742&gt;0, G742 &amp; "x" &amp; H742, H742), " ", I742))</f>
        <v/>
      </c>
      <c r="F742" s="2" t="n"/>
      <c r="G742" s="131" t="n">
        <v>3</v>
      </c>
      <c r="H742" s="43" t="inlineStr">
        <is>
          <t xml:space="preserve">90g </t>
        </is>
      </c>
      <c r="I742" s="31" t="inlineStr">
        <is>
          <t xml:space="preserve">Caixa </t>
        </is>
      </c>
      <c r="J742" s="11" t="inlineStr">
        <is>
          <t>higieniza sua pele de forma eficaz, sem agredi-la, recuperando a camada de proteção da pele 75% mais rápido / espuma cremosa e deixam uma delicada camada protetora na pele após o banho</t>
        </is>
      </c>
      <c r="K742" s="11" t="n"/>
      <c r="L742" s="1" t="n"/>
    </row>
    <row r="743" ht="15" customHeight="1" s="145">
      <c r="B743" s="63" t="inlineStr">
        <is>
          <t>Natura</t>
        </is>
      </c>
      <c r="C743" s="82" t="inlineStr">
        <is>
          <t xml:space="preserve">Erva Doce </t>
        </is>
      </c>
      <c r="D743" s="64" t="inlineStr">
        <is>
          <t xml:space="preserve">Spray de Ambiente </t>
        </is>
      </c>
      <c r="E743" s="136">
        <f>TRIM(CONCATENATE(D743, " ", C743, " ", F743, " ", IF(G743&gt;0, G743 &amp; "x" &amp; H743, H743), " ", I743))</f>
        <v/>
      </c>
      <c r="F743" s="2" t="n"/>
      <c r="G743" s="131" t="n"/>
      <c r="H743" s="2" t="inlineStr">
        <is>
          <t xml:space="preserve">200ml </t>
        </is>
      </c>
      <c r="I743" s="31" t="inlineStr">
        <is>
          <t xml:space="preserve">Frasco </t>
        </is>
      </c>
      <c r="J743" s="11" t="n"/>
      <c r="K743" s="11" t="n"/>
      <c r="L743" s="1" t="n"/>
    </row>
    <row r="744" ht="15" customHeight="1" s="145">
      <c r="B744" s="63" t="inlineStr">
        <is>
          <t>Natura</t>
        </is>
      </c>
      <c r="C744" s="82" t="inlineStr">
        <is>
          <t xml:space="preserve">Erva Doce </t>
        </is>
      </c>
      <c r="D744" s="64" t="inlineStr">
        <is>
          <t xml:space="preserve">Spray de Ambiente </t>
        </is>
      </c>
      <c r="E744" s="136">
        <f>TRIM(CONCATENATE(D744, " ", C744, " ", F744, " ", IF(G744&gt;0, G744 &amp; "x" &amp; H744, H744), " ", I744))</f>
        <v/>
      </c>
      <c r="F744" s="2" t="n"/>
      <c r="G744" s="131" t="n"/>
      <c r="H744" s="2" t="inlineStr">
        <is>
          <t xml:space="preserve">200ml </t>
        </is>
      </c>
      <c r="I744" s="31" t="inlineStr">
        <is>
          <t xml:space="preserve">Refil </t>
        </is>
      </c>
      <c r="J744" s="11" t="n"/>
      <c r="K744" s="11" t="n"/>
      <c r="L744" s="1" t="n"/>
    </row>
    <row r="745" ht="15" customHeight="1" s="145">
      <c r="B745" s="63" t="inlineStr">
        <is>
          <t>Natura</t>
        </is>
      </c>
      <c r="C745" s="82" t="inlineStr">
        <is>
          <t xml:space="preserve">Erva Doce </t>
        </is>
      </c>
      <c r="D745" s="64" t="inlineStr">
        <is>
          <t>Kit</t>
        </is>
      </c>
      <c r="E745" s="136">
        <f>TRIM(CONCATENATE(D745, " ", C745, " ", F745, " ", IF(G745&gt;0, G745 &amp; "x" &amp; H745, H745), " ", I745))</f>
        <v/>
      </c>
      <c r="F745" s="2" t="inlineStr">
        <is>
          <t>Difusor de Ambiente Erva Doce para Casa e Comodos</t>
        </is>
      </c>
      <c r="G745" s="131" t="n"/>
      <c r="H745" s="2" t="inlineStr">
        <is>
          <t xml:space="preserve">200ml </t>
        </is>
      </c>
      <c r="I745" s="31" t="inlineStr">
        <is>
          <t xml:space="preserve">Frasco </t>
        </is>
      </c>
      <c r="J745" s="11" t="n"/>
      <c r="K745" s="11" t="n"/>
      <c r="L745" s="1" t="n"/>
    </row>
    <row r="746" ht="15" customHeight="1" s="145">
      <c r="B746" s="63" t="inlineStr">
        <is>
          <t>Natura</t>
        </is>
      </c>
      <c r="C746" s="82" t="inlineStr">
        <is>
          <t xml:space="preserve">Erva Doce </t>
        </is>
      </c>
      <c r="D746" s="64" t="inlineStr">
        <is>
          <t>Kit</t>
        </is>
      </c>
      <c r="E746" s="136">
        <f>TRIM(CONCATENATE(D746, " ", C746, " ", F746, " ", IF(G746&gt;0, G746 &amp; "x" &amp; H746, H746), " ", I746))</f>
        <v/>
      </c>
      <c r="F746" s="2" t="inlineStr">
        <is>
          <t>Difusor de Ambiente Erva Doce para Casa e Comodos</t>
        </is>
      </c>
      <c r="G746" s="131" t="n"/>
      <c r="H746" s="2" t="inlineStr">
        <is>
          <t xml:space="preserve">200ml </t>
        </is>
      </c>
      <c r="I746" s="31" t="inlineStr">
        <is>
          <t xml:space="preserve">Refil </t>
        </is>
      </c>
      <c r="J746" s="11" t="n"/>
      <c r="K746" s="11" t="n"/>
      <c r="L746" s="1" t="n"/>
    </row>
    <row r="747" ht="15" customHeight="1" s="145">
      <c r="B747" s="63" t="inlineStr">
        <is>
          <t>Natura</t>
        </is>
      </c>
      <c r="C747" s="83" t="inlineStr">
        <is>
          <t>Una</t>
        </is>
      </c>
      <c r="D747" s="120" t="inlineStr">
        <is>
          <t xml:space="preserve">Deo Parfum </t>
        </is>
      </c>
      <c r="E747" s="136">
        <f>TRIM(CONCATENATE(D747, " ", C747, " ", F747, " ", IF(G747&gt;0, G747 &amp; "x" &amp; H747, H747), " ", I747))</f>
        <v/>
      </c>
      <c r="F747" s="2" t="inlineStr">
        <is>
          <t xml:space="preserve">Artisan </t>
        </is>
      </c>
      <c r="G747" s="131" t="n"/>
      <c r="H747" s="2" t="inlineStr">
        <is>
          <t xml:space="preserve">75ml </t>
        </is>
      </c>
      <c r="I747" s="31" t="inlineStr">
        <is>
          <t xml:space="preserve">Frasco </t>
        </is>
      </c>
      <c r="J747" s="2" t="n"/>
      <c r="K747" s="11" t="n"/>
      <c r="L747" s="1" t="n"/>
    </row>
    <row r="748" ht="15" customHeight="1" s="145">
      <c r="B748" s="63" t="inlineStr">
        <is>
          <t>Natura</t>
        </is>
      </c>
      <c r="C748" s="83" t="inlineStr">
        <is>
          <t>Una</t>
        </is>
      </c>
      <c r="D748" s="120" t="inlineStr">
        <is>
          <t xml:space="preserve">Deo Parfum </t>
        </is>
      </c>
      <c r="E748" s="136">
        <f>TRIM(CONCATENATE(D748, " ", C748, " ", F748, " ", IF(G748&gt;0, G748 &amp; "x" &amp; H748, H748), " ", I748))</f>
        <v/>
      </c>
      <c r="F748" s="2" t="inlineStr">
        <is>
          <t xml:space="preserve">Blush </t>
        </is>
      </c>
      <c r="G748" s="131" t="n"/>
      <c r="H748" s="2" t="inlineStr">
        <is>
          <t xml:space="preserve">75ml </t>
        </is>
      </c>
      <c r="I748" s="31" t="inlineStr">
        <is>
          <t xml:space="preserve">Frasco </t>
        </is>
      </c>
      <c r="J748" s="2" t="n"/>
      <c r="K748" s="11" t="n"/>
      <c r="L748" s="1" t="n"/>
    </row>
    <row r="749" ht="15" customHeight="1" s="145">
      <c r="B749" s="63" t="inlineStr">
        <is>
          <t>Natura</t>
        </is>
      </c>
      <c r="C749" s="83" t="inlineStr">
        <is>
          <t>Una</t>
        </is>
      </c>
      <c r="D749" s="120" t="inlineStr">
        <is>
          <t xml:space="preserve">Deo Parfum </t>
        </is>
      </c>
      <c r="E749" s="136">
        <f>TRIM(CONCATENATE(D749, " ", C749, " ", F749, " ", IF(G749&gt;0, G749 &amp; "x" &amp; H749, H749), " ", I749))</f>
        <v/>
      </c>
      <c r="F749" s="2" t="inlineStr">
        <is>
          <t xml:space="preserve">Brilho </t>
        </is>
      </c>
      <c r="G749" s="131" t="n"/>
      <c r="H749" s="2" t="inlineStr">
        <is>
          <t xml:space="preserve">75ml </t>
        </is>
      </c>
      <c r="I749" s="31" t="inlineStr">
        <is>
          <t xml:space="preserve">Frasco </t>
        </is>
      </c>
      <c r="J749" s="2" t="n"/>
      <c r="K749" s="11" t="n"/>
      <c r="L749" s="1" t="n"/>
    </row>
    <row r="750" ht="15" customHeight="1" s="145">
      <c r="B750" s="63" t="inlineStr">
        <is>
          <t>Natura</t>
        </is>
      </c>
      <c r="C750" s="83" t="inlineStr">
        <is>
          <t>Una</t>
        </is>
      </c>
      <c r="D750" s="120" t="inlineStr">
        <is>
          <t xml:space="preserve">Deo Parfum </t>
        </is>
      </c>
      <c r="E750" s="136">
        <f>TRIM(CONCATENATE(D750, " ", C750, " ", F750, " ", IF(G750&gt;0, G750 &amp; "x" &amp; H750, H750), " ", I750))</f>
        <v/>
      </c>
      <c r="F750" s="2" t="inlineStr">
        <is>
          <t>Infinito</t>
        </is>
      </c>
      <c r="G750" s="131" t="n"/>
      <c r="H750" s="2" t="inlineStr">
        <is>
          <t xml:space="preserve">75ml </t>
        </is>
      </c>
      <c r="I750" s="31" t="inlineStr">
        <is>
          <t xml:space="preserve">Frasco </t>
        </is>
      </c>
      <c r="J750" s="2" t="n"/>
      <c r="K750" s="11" t="n"/>
      <c r="L750" s="1" t="n"/>
    </row>
    <row r="751" ht="15" customHeight="1" s="145">
      <c r="B751" s="63" t="inlineStr">
        <is>
          <t>Natura</t>
        </is>
      </c>
      <c r="C751" s="83" t="inlineStr">
        <is>
          <t>Una</t>
        </is>
      </c>
      <c r="D751" s="120" t="inlineStr">
        <is>
          <t xml:space="preserve">Deo Parfum </t>
        </is>
      </c>
      <c r="E751" s="136">
        <f>TRIM(CONCATENATE(D751, " ", C751, " ", F751, " ", IF(G751&gt;0, G751 &amp; "x" &amp; H751, H751), " ", I751))</f>
        <v/>
      </c>
      <c r="F751" s="2" t="inlineStr">
        <is>
          <t>Instinct</t>
        </is>
      </c>
      <c r="G751" s="131" t="n"/>
      <c r="H751" s="2" t="inlineStr">
        <is>
          <t xml:space="preserve">75ml </t>
        </is>
      </c>
      <c r="I751" s="31" t="inlineStr">
        <is>
          <t xml:space="preserve">Frasco </t>
        </is>
      </c>
      <c r="J751" s="2" t="n"/>
      <c r="K751" s="11" t="n"/>
      <c r="L751" s="1" t="n"/>
    </row>
    <row r="752" ht="15" customHeight="1" s="145">
      <c r="B752" s="63" t="inlineStr">
        <is>
          <t>Natura</t>
        </is>
      </c>
      <c r="C752" s="83" t="inlineStr">
        <is>
          <t>Una</t>
        </is>
      </c>
      <c r="D752" s="120" t="inlineStr">
        <is>
          <t xml:space="preserve">Deo Parfum </t>
        </is>
      </c>
      <c r="E752" s="136">
        <f>TRIM(CONCATENATE(D752, " ", C752, " ", F752, " ", IF(G752&gt;0, G752 &amp; "x" &amp; H752, H752), " ", I752))</f>
        <v/>
      </c>
      <c r="F752" s="2" t="inlineStr">
        <is>
          <t xml:space="preserve">Senses </t>
        </is>
      </c>
      <c r="G752" s="131" t="n"/>
      <c r="H752" s="2" t="inlineStr">
        <is>
          <t xml:space="preserve">75ml </t>
        </is>
      </c>
      <c r="I752" s="31" t="inlineStr">
        <is>
          <t xml:space="preserve">Frasco </t>
        </is>
      </c>
      <c r="J752" s="11" t="n"/>
      <c r="K752" s="11" t="n"/>
      <c r="L752" s="1" t="n"/>
    </row>
    <row r="753" ht="15" customHeight="1" s="145">
      <c r="A753" t="inlineStr">
        <is>
          <t>NATBRA-119046</t>
        </is>
      </c>
      <c r="B753" s="63" t="inlineStr">
        <is>
          <t>Natura</t>
        </is>
      </c>
      <c r="C753" s="83" t="inlineStr">
        <is>
          <t>Una</t>
        </is>
      </c>
      <c r="D753" s="120" t="inlineStr">
        <is>
          <t xml:space="preserve">Deo Parfum </t>
        </is>
      </c>
      <c r="E753" s="136">
        <f>TRIM(CONCATENATE(D753, " ", C753, " ", F753, " ", IF(G753&gt;0, G753 &amp; "x" &amp; H753, H753), " ", I753))</f>
        <v/>
      </c>
      <c r="F753" s="2" t="inlineStr">
        <is>
          <t xml:space="preserve">Somos </t>
        </is>
      </c>
      <c r="G753" s="131" t="n"/>
      <c r="H753" s="2" t="inlineStr">
        <is>
          <t xml:space="preserve">75ml </t>
        </is>
      </c>
      <c r="I753" s="31" t="inlineStr">
        <is>
          <t xml:space="preserve">Frasco </t>
        </is>
      </c>
      <c r="J753" s="2" t="n"/>
      <c r="K753" s="11" t="n"/>
      <c r="L753" s="1" t="n"/>
    </row>
    <row r="754" ht="15" customHeight="1" s="145">
      <c r="B754" s="63" t="inlineStr">
        <is>
          <t>Natura</t>
        </is>
      </c>
      <c r="C754" s="83" t="inlineStr">
        <is>
          <t xml:space="preserve">Una </t>
        </is>
      </c>
      <c r="D754" s="120" t="inlineStr">
        <is>
          <t xml:space="preserve">Deo Parfum </t>
        </is>
      </c>
      <c r="E754" s="136">
        <f>TRIM(CONCATENATE(D754, " ", C754, " ", F754, " ", IF(G754&gt;0, G754 &amp; "x" &amp; H754, H754), " ", I754))</f>
        <v/>
      </c>
      <c r="F754" s="2" t="inlineStr">
        <is>
          <t xml:space="preserve">Una </t>
        </is>
      </c>
      <c r="G754" s="131" t="n"/>
      <c r="H754" s="2" t="inlineStr">
        <is>
          <t xml:space="preserve">75ml </t>
        </is>
      </c>
      <c r="I754" s="31" t="inlineStr">
        <is>
          <t xml:space="preserve">Frasco </t>
        </is>
      </c>
      <c r="J754" s="11" t="n"/>
      <c r="K754" s="11" t="n"/>
      <c r="L754" s="1" t="n"/>
    </row>
    <row r="755" ht="15" customHeight="1" s="145">
      <c r="B755" s="63" t="inlineStr">
        <is>
          <t>Natura</t>
        </is>
      </c>
      <c r="C755" s="83" t="inlineStr">
        <is>
          <t>Una</t>
        </is>
      </c>
      <c r="D755" s="64" t="inlineStr">
        <is>
          <t xml:space="preserve">Hidratante Corporal  Desodorante </t>
        </is>
      </c>
      <c r="E755" s="136">
        <f>TRIM(CONCATENATE(D755, " ", C755, " ", F755, " ", IF(G755&gt;0, G755 &amp; "x" &amp; H755, H755), " ", I755))</f>
        <v/>
      </c>
      <c r="F755" s="2" t="inlineStr">
        <is>
          <t xml:space="preserve">Una Artisan </t>
        </is>
      </c>
      <c r="G755" s="131" t="n"/>
      <c r="H755" s="2" t="inlineStr">
        <is>
          <t xml:space="preserve">200g </t>
        </is>
      </c>
      <c r="I755" s="31" t="inlineStr">
        <is>
          <t xml:space="preserve">Pote </t>
        </is>
      </c>
      <c r="J755" s="2" t="n"/>
      <c r="K755" s="11" t="n"/>
      <c r="L755" s="1" t="n"/>
    </row>
    <row r="756" ht="15" customHeight="1" s="145">
      <c r="B756" s="63" t="inlineStr">
        <is>
          <t>Natura</t>
        </is>
      </c>
      <c r="C756" s="83" t="inlineStr">
        <is>
          <t>Una</t>
        </is>
      </c>
      <c r="D756" s="64" t="inlineStr">
        <is>
          <t xml:space="preserve">Hidratante Corporal  Desodorante </t>
        </is>
      </c>
      <c r="E756" s="136">
        <f>TRIM(CONCATENATE(D756, " ", C756, " ", F756, " ", IF(G756&gt;0, G756 &amp; "x" &amp; H756, H756), " ", I756))</f>
        <v/>
      </c>
      <c r="F756" s="2" t="inlineStr">
        <is>
          <t xml:space="preserve">Una Somos </t>
        </is>
      </c>
      <c r="G756" s="131" t="n"/>
      <c r="H756" s="2" t="inlineStr">
        <is>
          <t xml:space="preserve">75ml </t>
        </is>
      </c>
      <c r="I756" s="31" t="inlineStr">
        <is>
          <t xml:space="preserve">Frasco </t>
        </is>
      </c>
      <c r="J756" s="2" t="n"/>
      <c r="K756" s="11" t="n"/>
      <c r="L756" s="1" t="n"/>
    </row>
    <row r="757" ht="15" customHeight="1" s="145">
      <c r="B757" s="63" t="inlineStr">
        <is>
          <t>Natura</t>
        </is>
      </c>
      <c r="C757" s="83" t="inlineStr">
        <is>
          <t>Una</t>
        </is>
      </c>
      <c r="D757" s="64" t="inlineStr">
        <is>
          <t>Sabonete Liquido</t>
        </is>
      </c>
      <c r="E757" s="136">
        <f>TRIM(CONCATENATE(D757, " ", C757, " ", F757, " ", IF(G757&gt;0, G757 &amp; "x" &amp; H757, H757), " ", I757))</f>
        <v/>
      </c>
      <c r="F757" s="2" t="inlineStr">
        <is>
          <t>Una Senses</t>
        </is>
      </c>
      <c r="G757" s="131" t="n"/>
      <c r="H757" s="2" t="n"/>
      <c r="I757" s="31" t="n"/>
      <c r="J757" s="2" t="n"/>
      <c r="K757" s="11" t="n"/>
      <c r="L757" s="1" t="n"/>
    </row>
    <row r="758" ht="15" customFormat="1" customHeight="1" s="10">
      <c r="B758" s="63" t="inlineStr">
        <is>
          <t>Natura</t>
        </is>
      </c>
      <c r="C758" s="84" t="inlineStr">
        <is>
          <t xml:space="preserve">Aura </t>
        </is>
      </c>
      <c r="D758" s="69" t="inlineStr">
        <is>
          <t>Eau de Parfum</t>
        </is>
      </c>
      <c r="E758" s="136">
        <f>TRIM(CONCATENATE(D758, " ", C758, " ", F758, " ", IF(G758&gt;0, G758 &amp; "x" &amp; H758, H758), " ", I758))</f>
        <v/>
      </c>
      <c r="F758" s="9" t="inlineStr">
        <is>
          <t xml:space="preserve">Alba </t>
        </is>
      </c>
      <c r="G758" s="131" t="n"/>
      <c r="H758" s="9" t="inlineStr">
        <is>
          <t xml:space="preserve">75ml </t>
        </is>
      </c>
      <c r="I758" s="36" t="inlineStr">
        <is>
          <t xml:space="preserve">Frasco </t>
        </is>
      </c>
      <c r="J758" s="20" t="inlineStr">
        <is>
          <t xml:space="preserve">Elegante / potente / Uma Leitura da Moderna Do Clássico Caminho Floral / Dura o Dia Todo / Rosa Alba / Bulgaria / Cresidade Flor de mel / Lichia / Sandalo </t>
        </is>
      </c>
      <c r="K758" s="20" t="inlineStr">
        <is>
          <t xml:space="preserve">R$ 324, 00 </t>
        </is>
      </c>
      <c r="L758" s="17" t="n"/>
    </row>
    <row r="759" ht="15" customFormat="1" customHeight="1" s="10">
      <c r="B759" s="91" t="inlineStr">
        <is>
          <t>Natura</t>
        </is>
      </c>
      <c r="C759" s="130" t="inlineStr">
        <is>
          <t xml:space="preserve">Águas </t>
        </is>
      </c>
      <c r="D759" s="69" t="inlineStr">
        <is>
          <t xml:space="preserve">Agua Colonia </t>
        </is>
      </c>
      <c r="E759" s="136">
        <f>TRIM(CONCATENATE(D759, " ", C759, " ", F759, " ", IF(G759&gt;0, G759 &amp; "x" &amp; H759, H759), " ", I759))</f>
        <v/>
      </c>
      <c r="F759" s="9" t="inlineStr">
        <is>
          <t xml:space="preserve">Flor de Laranjeira </t>
        </is>
      </c>
      <c r="G759" s="131" t="n"/>
      <c r="H759" s="9" t="inlineStr">
        <is>
          <t xml:space="preserve">170ml </t>
        </is>
      </c>
      <c r="I759" s="36" t="inlineStr">
        <is>
          <t xml:space="preserve">Frasco </t>
        </is>
      </c>
      <c r="J759" s="20" t="n"/>
      <c r="K759" s="20" t="n"/>
      <c r="L759" s="17" t="n"/>
    </row>
    <row r="760" ht="15" customFormat="1" customHeight="1" s="10">
      <c r="B760" s="91" t="inlineStr">
        <is>
          <t>Natura</t>
        </is>
      </c>
      <c r="C760" s="130" t="inlineStr">
        <is>
          <t xml:space="preserve">Águas </t>
        </is>
      </c>
      <c r="D760" s="69" t="inlineStr">
        <is>
          <t xml:space="preserve">Agua Colonia </t>
        </is>
      </c>
      <c r="E760" s="136">
        <f>TRIM(CONCATENATE(D760, " ", C760, " ", F760, " ", IF(G760&gt;0, G760 &amp; "x" &amp; H760, H760), " ", I760))</f>
        <v/>
      </c>
      <c r="F760" s="9" t="inlineStr">
        <is>
          <t xml:space="preserve">Lavanda </t>
        </is>
      </c>
      <c r="G760" s="131" t="n"/>
      <c r="H760" s="9" t="inlineStr">
        <is>
          <t xml:space="preserve">170ml </t>
        </is>
      </c>
      <c r="I760" s="36" t="inlineStr">
        <is>
          <t xml:space="preserve">Frasco </t>
        </is>
      </c>
      <c r="J760" s="20" t="n"/>
      <c r="K760" s="20" t="n"/>
      <c r="L760" s="17" t="n"/>
    </row>
    <row r="761" ht="15" customFormat="1" customHeight="1" s="10">
      <c r="B761" s="91" t="inlineStr">
        <is>
          <t>Natura</t>
        </is>
      </c>
      <c r="C761" s="130" t="inlineStr">
        <is>
          <t xml:space="preserve">Águas </t>
        </is>
      </c>
      <c r="D761" s="69" t="inlineStr">
        <is>
          <t xml:space="preserve">Agua Colonia </t>
        </is>
      </c>
      <c r="E761" s="136">
        <f>TRIM(CONCATENATE(D761, " ", C761, " ", F761, " ", IF(G761&gt;0, G761 &amp; "x" &amp; H761, H761), " ", I761))</f>
        <v/>
      </c>
      <c r="F761" s="9" t="inlineStr">
        <is>
          <t xml:space="preserve">Lirío </t>
        </is>
      </c>
      <c r="G761" s="131" t="n"/>
      <c r="H761" s="9" t="inlineStr">
        <is>
          <t xml:space="preserve">170ml </t>
        </is>
      </c>
      <c r="I761" s="36" t="inlineStr">
        <is>
          <t xml:space="preserve">Frasco </t>
        </is>
      </c>
      <c r="J761" s="20" t="n"/>
      <c r="K761" s="20" t="n"/>
      <c r="L761" s="17" t="n"/>
    </row>
    <row r="762" ht="15" customFormat="1" customHeight="1" s="10">
      <c r="B762" s="91" t="inlineStr">
        <is>
          <t>Natura</t>
        </is>
      </c>
      <c r="C762" s="130" t="inlineStr">
        <is>
          <t xml:space="preserve">Águas </t>
        </is>
      </c>
      <c r="D762" s="69" t="inlineStr">
        <is>
          <t xml:space="preserve">Agua Colonia </t>
        </is>
      </c>
      <c r="E762" s="136">
        <f>TRIM(CONCATENATE(D762, " ", C762, " ", F762, " ", IF(G762&gt;0, G762 &amp; "x" &amp; H762, H762), " ", I762))</f>
        <v/>
      </c>
      <c r="F762" s="9" t="inlineStr">
        <is>
          <t xml:space="preserve">Jabuticaba </t>
        </is>
      </c>
      <c r="G762" s="131" t="n"/>
      <c r="H762" s="9" t="inlineStr">
        <is>
          <t xml:space="preserve">170ml </t>
        </is>
      </c>
      <c r="I762" s="36" t="inlineStr">
        <is>
          <t xml:space="preserve">Frasco </t>
        </is>
      </c>
      <c r="J762" s="20" t="n"/>
      <c r="K762" s="20" t="n"/>
      <c r="L762" s="17" t="n"/>
    </row>
    <row r="763" ht="15" customFormat="1" customHeight="1" s="10">
      <c r="B763" s="91" t="inlineStr">
        <is>
          <t>Natura</t>
        </is>
      </c>
      <c r="C763" s="130" t="inlineStr">
        <is>
          <t xml:space="preserve">Águas </t>
        </is>
      </c>
      <c r="D763" s="69" t="inlineStr">
        <is>
          <t xml:space="preserve">Agua Colonia </t>
        </is>
      </c>
      <c r="E763" s="136">
        <f>TRIM(CONCATENATE(D763, " ", C763, " ", F763, " ", IF(G763&gt;0, G763 &amp; "x" &amp; H763, H763), " ", I763))</f>
        <v/>
      </c>
      <c r="F763" s="9" t="inlineStr">
        <is>
          <t xml:space="preserve">Violetta </t>
        </is>
      </c>
      <c r="G763" s="131" t="n"/>
      <c r="H763" s="9" t="inlineStr">
        <is>
          <t xml:space="preserve">170ml </t>
        </is>
      </c>
      <c r="I763" s="36" t="inlineStr">
        <is>
          <t xml:space="preserve">Frasco </t>
        </is>
      </c>
      <c r="J763" s="20" t="n"/>
      <c r="K763" s="20" t="n"/>
      <c r="L763" s="17" t="n"/>
    </row>
    <row r="764" ht="15" customFormat="1" customHeight="1" s="10">
      <c r="B764" s="91" t="inlineStr">
        <is>
          <t>Natura</t>
        </is>
      </c>
      <c r="C764" s="130" t="inlineStr">
        <is>
          <t xml:space="preserve">Águas </t>
        </is>
      </c>
      <c r="D764" s="69" t="inlineStr">
        <is>
          <t xml:space="preserve">Agua Colonia </t>
        </is>
      </c>
      <c r="E764" s="136">
        <f>TRIM(CONCATENATE(D764, " ", C764, " ", F764, " ", IF(G764&gt;0, G764 &amp; "x" &amp; H764, H764), " ", I764))</f>
        <v/>
      </c>
      <c r="F764" s="9" t="inlineStr">
        <is>
          <t xml:space="preserve">Framboesa </t>
        </is>
      </c>
      <c r="G764" s="131" t="n"/>
      <c r="H764" s="9" t="inlineStr">
        <is>
          <t xml:space="preserve">170ml </t>
        </is>
      </c>
      <c r="I764" s="36" t="inlineStr">
        <is>
          <t xml:space="preserve">Frasco </t>
        </is>
      </c>
      <c r="J764" s="20" t="n"/>
      <c r="K764" s="20" t="n"/>
      <c r="L764" s="17" t="n"/>
    </row>
    <row r="765" ht="15" customFormat="1" customHeight="1" s="10">
      <c r="B765" s="91" t="inlineStr">
        <is>
          <t>Natura</t>
        </is>
      </c>
      <c r="C765" s="128" t="inlineStr">
        <is>
          <t xml:space="preserve">Naturé </t>
        </is>
      </c>
      <c r="D765" s="96" t="inlineStr">
        <is>
          <t>Colonia</t>
        </is>
      </c>
      <c r="E765" s="136">
        <f>TRIM(CONCATENATE(D765, " ", C765, " ", F765, " ", IF(G765&gt;0, G765 &amp; "x" &amp; H765, H765), " ", I765))</f>
        <v/>
      </c>
      <c r="F765" s="103" t="inlineStr">
        <is>
          <t>Catavento Infantil</t>
        </is>
      </c>
      <c r="G765" s="131" t="n"/>
      <c r="H765" s="9" t="n"/>
      <c r="I765" s="36" t="n"/>
      <c r="J765" s="20" t="n"/>
      <c r="K765" s="20" t="n"/>
      <c r="L765" s="17" t="n"/>
    </row>
    <row r="766" ht="15" customFormat="1" customHeight="1" s="10">
      <c r="B766" s="91" t="inlineStr">
        <is>
          <t>Natura</t>
        </is>
      </c>
      <c r="C766" s="128" t="inlineStr">
        <is>
          <t xml:space="preserve">Naturé </t>
        </is>
      </c>
      <c r="D766" s="96" t="inlineStr">
        <is>
          <t>Colonia</t>
        </is>
      </c>
      <c r="E766" s="136">
        <f>TRIM(CONCATENATE(D766, " ", C766, " ", F766, " ", IF(G766&gt;0, G766 &amp; "x" &amp; H766, H766), " ", I766))</f>
        <v/>
      </c>
      <c r="F766" s="103" t="inlineStr">
        <is>
          <t>Corre Corre Infantil</t>
        </is>
      </c>
      <c r="G766" s="41" t="n"/>
      <c r="H766" s="9" t="n"/>
      <c r="I766" s="36" t="n"/>
      <c r="J766" s="20" t="n"/>
      <c r="K766" s="20" t="n"/>
      <c r="L766" s="17" t="n"/>
    </row>
    <row r="767" ht="15" customFormat="1" customHeight="1" s="10">
      <c r="B767" s="91" t="inlineStr">
        <is>
          <t>Natura</t>
        </is>
      </c>
      <c r="C767" s="128" t="inlineStr">
        <is>
          <t xml:space="preserve">Naturé </t>
        </is>
      </c>
      <c r="D767" s="96" t="inlineStr">
        <is>
          <t>Colonia</t>
        </is>
      </c>
      <c r="E767" s="136">
        <f>TRIM(CONCATENATE(D767, " ", C767, " ", F767, " ", IF(G767&gt;0, G767 &amp; "x" &amp; H767, H767), " ", I767))</f>
        <v/>
      </c>
      <c r="F767" s="103" t="inlineStr">
        <is>
          <t>Esconde Esconde Infantil</t>
        </is>
      </c>
      <c r="G767" s="41" t="n"/>
      <c r="H767" s="9" t="n"/>
      <c r="I767" s="36" t="n"/>
      <c r="J767" s="20" t="n"/>
      <c r="K767" s="20" t="n"/>
      <c r="L767" s="17" t="n"/>
    </row>
    <row r="768" ht="15" customFormat="1" customHeight="1" s="10">
      <c r="B768" s="91" t="inlineStr">
        <is>
          <t>Natura</t>
        </is>
      </c>
      <c r="C768" s="128" t="inlineStr">
        <is>
          <t xml:space="preserve">Naturé </t>
        </is>
      </c>
      <c r="D768" s="96" t="inlineStr">
        <is>
          <t>Colonia</t>
        </is>
      </c>
      <c r="E768" s="136">
        <f>TRIM(CONCATENATE(D768, " ", C768, " ", F768, " ", IF(G768&gt;0, G768 &amp; "x" &amp; H768, H768), " ", I768))</f>
        <v/>
      </c>
      <c r="F768" s="103" t="inlineStr">
        <is>
          <t>Pula Pula Infantil</t>
        </is>
      </c>
      <c r="G768" s="41" t="n"/>
      <c r="H768" s="9" t="n"/>
      <c r="J768" s="20" t="n"/>
      <c r="K768" s="20" t="n"/>
      <c r="L768" s="17" t="n"/>
    </row>
    <row r="769" ht="15" customHeight="1" s="145">
      <c r="C769" s="22" t="inlineStr">
        <is>
          <t>Cronos Natura</t>
        </is>
      </c>
      <c r="D769" s="64" t="n"/>
      <c r="E769" s="2" t="n"/>
      <c r="F769" s="2" t="inlineStr">
        <is>
          <t>50 ml</t>
        </is>
      </c>
      <c r="G769" s="39" t="n"/>
      <c r="H769" s="2" t="n"/>
      <c r="I769" s="31" t="n"/>
      <c r="J769" s="11" t="n"/>
      <c r="K769" s="11" t="n"/>
      <c r="L769" s="1" t="n"/>
    </row>
    <row r="770" ht="15" customHeight="1" s="145">
      <c r="C770" s="85" t="n"/>
      <c r="D770" s="64" t="inlineStr">
        <is>
          <t>Protetor Solar</t>
        </is>
      </c>
      <c r="E770" s="2" t="inlineStr">
        <is>
          <t>Protetor solar</t>
        </is>
      </c>
      <c r="F770" s="2" t="inlineStr">
        <is>
          <t>Fator 30</t>
        </is>
      </c>
      <c r="G770" s="39" t="n"/>
      <c r="H770" s="2" t="n"/>
      <c r="I770" s="31" t="n"/>
      <c r="J770" s="11" t="n"/>
      <c r="K770" s="11" t="n"/>
      <c r="L770" s="1" t="n"/>
    </row>
    <row r="771" ht="15" customHeight="1" s="145">
      <c r="D771" s="64" t="inlineStr">
        <is>
          <t>Cápsulas</t>
        </is>
      </c>
      <c r="E771" s="2" t="inlineStr">
        <is>
          <t>Cápsulas</t>
        </is>
      </c>
      <c r="F771" s="2" t="inlineStr">
        <is>
          <t>60+</t>
        </is>
      </c>
      <c r="G771" s="39" t="n"/>
      <c r="H771" s="2" t="n"/>
      <c r="I771" s="31" t="n"/>
      <c r="J771" s="2" t="n"/>
      <c r="K771" s="11" t="n"/>
      <c r="L771" s="1" t="n"/>
    </row>
    <row r="772" ht="15" customHeight="1" s="145">
      <c r="C772" s="85" t="n"/>
      <c r="D772" s="64" t="inlineStr">
        <is>
          <t>Fluidos</t>
        </is>
      </c>
      <c r="E772" s="2" t="inlineStr">
        <is>
          <t>Fluidos</t>
        </is>
      </c>
      <c r="F772" s="2" t="inlineStr">
        <is>
          <t>Multiprotetor</t>
        </is>
      </c>
      <c r="G772" s="39" t="n"/>
      <c r="H772" s="2" t="n"/>
      <c r="I772" s="31" t="n"/>
      <c r="J772" s="11" t="n"/>
      <c r="K772" s="11" t="n"/>
      <c r="L772" s="1" t="n"/>
    </row>
    <row r="773" ht="15" customHeight="1" s="145">
      <c r="C773" s="85" t="n"/>
      <c r="D773" s="64" t="inlineStr">
        <is>
          <t>Protetor com cor</t>
        </is>
      </c>
      <c r="E773" s="2" t="inlineStr">
        <is>
          <t>Protetor com cor</t>
        </is>
      </c>
      <c r="F773" s="2" t="inlineStr">
        <is>
          <t>Claro médio</t>
        </is>
      </c>
      <c r="G773" s="39" t="n"/>
      <c r="H773" s="2" t="n"/>
      <c r="I773" s="31" t="n"/>
      <c r="J773" s="11" t="n"/>
      <c r="K773" s="11" t="n"/>
      <c r="L773" s="1" t="n"/>
    </row>
    <row r="774" ht="15" customHeight="1" s="145">
      <c r="C774" s="85" t="n"/>
      <c r="D774" s="64" t="inlineStr">
        <is>
          <t>Serum</t>
        </is>
      </c>
      <c r="E774" s="2" t="inlineStr">
        <is>
          <t>Serum</t>
        </is>
      </c>
      <c r="F774" s="2" t="inlineStr">
        <is>
          <t>Intensivo</t>
        </is>
      </c>
      <c r="G774" s="39" t="n"/>
      <c r="H774" s="2" t="n"/>
      <c r="I774" s="31" t="n"/>
      <c r="J774" s="11" t="n"/>
      <c r="K774" s="11" t="n"/>
      <c r="L774" s="1" t="n"/>
    </row>
    <row r="775" ht="15" customHeight="1" s="145">
      <c r="C775" s="85" t="n"/>
      <c r="D775" s="64" t="inlineStr">
        <is>
          <t>Refil de limpeza suave</t>
        </is>
      </c>
      <c r="E775" s="2" t="inlineStr">
        <is>
          <t>Refil de limpeza</t>
        </is>
      </c>
      <c r="F775" s="2" t="inlineStr">
        <is>
          <t>Sabonete</t>
        </is>
      </c>
      <c r="G775" s="39" t="n"/>
      <c r="H775" s="2" t="n"/>
      <c r="I775" s="31" t="n"/>
      <c r="J775" s="11" t="n"/>
      <c r="K775" s="11" t="n"/>
      <c r="L775" s="1" t="n"/>
    </row>
    <row r="776" ht="15" customHeight="1" s="145">
      <c r="C776" s="85" t="n"/>
      <c r="D776" s="65" t="n"/>
      <c r="E776" s="2" t="inlineStr">
        <is>
          <t>Protetor solar</t>
        </is>
      </c>
      <c r="F776" s="2" t="n"/>
      <c r="G776" s="39" t="n"/>
      <c r="H776" s="2" t="n"/>
      <c r="I776" s="31" t="n"/>
      <c r="J776" s="2" t="n"/>
      <c r="K776" s="11" t="n"/>
      <c r="L776" s="1" t="n"/>
    </row>
    <row r="777" ht="15" customHeight="1" s="145">
      <c r="C777" s="85" t="n"/>
      <c r="D777" s="65" t="n"/>
      <c r="E777" s="2" t="inlineStr">
        <is>
          <t>Protetor com cor</t>
        </is>
      </c>
      <c r="F777" s="2" t="inlineStr">
        <is>
          <t>Médio escuro</t>
        </is>
      </c>
      <c r="G777" s="39" t="n"/>
      <c r="H777" s="2" t="n"/>
      <c r="I777" s="31" t="n"/>
      <c r="J777" s="11" t="n"/>
      <c r="K777" s="11" t="n"/>
      <c r="L777" s="1" t="n"/>
    </row>
    <row r="778" ht="15" customHeight="1" s="145">
      <c r="C778" s="64" t="n"/>
      <c r="D778" s="65" t="n"/>
      <c r="E778" s="2" t="n"/>
      <c r="F778" s="2" t="n"/>
      <c r="G778" s="40" t="n"/>
      <c r="H778" s="2" t="n"/>
      <c r="I778" s="33" t="n"/>
      <c r="J778" s="11" t="n"/>
      <c r="K778" s="11" t="n"/>
      <c r="L778" s="1" t="n"/>
    </row>
    <row r="779" ht="15" customHeight="1" s="145">
      <c r="C779" s="64" t="n"/>
      <c r="E779" s="121" t="n"/>
      <c r="F779" s="121" t="n"/>
      <c r="H779" s="2" t="n"/>
    </row>
    <row r="780" ht="15" customHeight="1" s="145">
      <c r="E780" s="121" t="n"/>
      <c r="F780" s="121" t="n"/>
      <c r="H780" s="2" t="n"/>
    </row>
    <row r="781" ht="15" customHeight="1" s="145">
      <c r="E781" s="121" t="n"/>
      <c r="F781" s="121" t="n"/>
      <c r="H781" s="2" t="n"/>
    </row>
    <row r="782" ht="15" customHeight="1" s="145">
      <c r="E782" s="121" t="n"/>
      <c r="F782" s="121" t="n"/>
      <c r="H782" s="2" t="n"/>
    </row>
    <row r="783" ht="15" customHeight="1" s="145">
      <c r="E783" s="121" t="n"/>
      <c r="F783" s="121" t="n"/>
      <c r="H783" s="2" t="n"/>
    </row>
    <row r="784" ht="15" customHeight="1" s="145">
      <c r="E784" s="121" t="n"/>
      <c r="F784" s="121" t="n"/>
      <c r="H784" s="2" t="n"/>
    </row>
    <row r="785" ht="15" customHeight="1" s="145">
      <c r="E785" s="121" t="n"/>
      <c r="F785" s="121" t="n"/>
    </row>
    <row r="786" ht="15" customHeight="1" s="145">
      <c r="E786" s="121" t="n"/>
      <c r="F786" s="121" t="n"/>
    </row>
    <row r="787" ht="15" customHeight="1" s="145">
      <c r="E787" s="121" t="n"/>
      <c r="F787" s="121" t="n"/>
    </row>
    <row r="788" ht="15" customHeight="1" s="145">
      <c r="E788" s="121" t="n"/>
      <c r="F788" s="121" t="n"/>
    </row>
    <row r="789" ht="15" customHeight="1" s="145">
      <c r="E789" s="121" t="n"/>
      <c r="F789" s="121" t="n"/>
    </row>
    <row r="790" ht="15" customHeight="1" s="145">
      <c r="E790" s="121" t="n"/>
      <c r="F790" s="121" t="n"/>
    </row>
    <row r="791" ht="15" customHeight="1" s="145">
      <c r="E791" s="121" t="n"/>
      <c r="F791" s="121" t="n"/>
    </row>
    <row r="792" ht="15" customHeight="1" s="145">
      <c r="E792" s="121" t="n"/>
      <c r="F792" s="121" t="n"/>
    </row>
    <row r="793" ht="15" customHeight="1" s="145">
      <c r="E793" s="121" t="n"/>
      <c r="F793" s="121" t="n"/>
    </row>
    <row r="794" ht="15" customHeight="1" s="145">
      <c r="E794" s="121" t="n"/>
      <c r="F794" s="121" t="n"/>
    </row>
    <row r="795" ht="15" customHeight="1" s="145">
      <c r="E795" s="121" t="n"/>
      <c r="F795" s="121" t="n"/>
    </row>
    <row r="796" ht="15" customHeight="1" s="145">
      <c r="E796" s="121" t="n"/>
      <c r="F796" s="121" t="n"/>
    </row>
    <row r="797" ht="15" customHeight="1" s="145">
      <c r="E797" s="121" t="n"/>
      <c r="F797" s="121" t="n"/>
    </row>
    <row r="798" ht="15" customHeight="1" s="145">
      <c r="E798" s="121" t="n"/>
      <c r="F798" s="121" t="n"/>
    </row>
    <row r="799" ht="15" customHeight="1" s="145">
      <c r="E799" s="121" t="n"/>
      <c r="F799" s="121" t="n"/>
    </row>
    <row r="800" ht="15" customHeight="1" s="145">
      <c r="E800" s="121" t="n"/>
      <c r="F800" s="121" t="n"/>
    </row>
    <row r="801" ht="15" customHeight="1" s="145">
      <c r="E801" s="121" t="n"/>
      <c r="F801" s="121" t="n"/>
    </row>
    <row r="802" ht="15" customHeight="1" s="145">
      <c r="E802" s="121" t="n"/>
      <c r="F802" s="121" t="n"/>
    </row>
    <row r="803" ht="15" customHeight="1" s="145">
      <c r="E803" s="121" t="n"/>
      <c r="F803" s="121" t="n"/>
    </row>
    <row r="804" ht="15" customHeight="1" s="145">
      <c r="E804" s="121" t="n"/>
      <c r="F804" s="121" t="n"/>
    </row>
    <row r="805" ht="15" customHeight="1" s="145">
      <c r="E805" s="121" t="n"/>
      <c r="F805" s="121" t="n"/>
    </row>
    <row r="806" ht="15" customHeight="1" s="145">
      <c r="E806" s="121" t="n"/>
      <c r="F806" s="121" t="n"/>
    </row>
    <row r="807" ht="15" customHeight="1" s="145">
      <c r="E807" s="121" t="n"/>
      <c r="F807" s="121" t="n"/>
    </row>
    <row r="808" ht="15" customHeight="1" s="145">
      <c r="E808" s="121" t="n"/>
      <c r="F808" s="121" t="n"/>
    </row>
    <row r="809" ht="15" customHeight="1" s="145">
      <c r="E809" s="121" t="n"/>
      <c r="F809" s="121" t="n"/>
    </row>
    <row r="810" ht="15" customHeight="1" s="145">
      <c r="E810" s="121" t="n"/>
      <c r="F810" s="121" t="n"/>
    </row>
    <row r="811" ht="15" customHeight="1" s="145">
      <c r="E811" s="121" t="n"/>
      <c r="F811" s="121" t="n"/>
    </row>
    <row r="812" ht="15" customHeight="1" s="145">
      <c r="E812" s="121" t="n"/>
      <c r="F812" s="121" t="n"/>
    </row>
    <row r="813" ht="15" customHeight="1" s="145">
      <c r="E813" s="121" t="n"/>
      <c r="F813" s="121" t="n"/>
    </row>
    <row r="814" ht="15" customHeight="1" s="145">
      <c r="E814" s="121" t="n"/>
      <c r="F814" s="121" t="n"/>
    </row>
    <row r="815" ht="15" customHeight="1" s="145">
      <c r="E815" s="121" t="n"/>
      <c r="F815" s="121" t="n"/>
    </row>
    <row r="816" ht="15" customHeight="1" s="145">
      <c r="E816" s="121" t="n"/>
      <c r="F816" s="121" t="n"/>
    </row>
    <row r="817" ht="15" customHeight="1" s="145">
      <c r="E817" s="121" t="n"/>
      <c r="F817" s="121" t="n"/>
    </row>
    <row r="818" ht="15" customHeight="1" s="145">
      <c r="E818" s="121" t="n"/>
      <c r="F818" s="121" t="n"/>
    </row>
    <row r="819" ht="15" customHeight="1" s="145">
      <c r="E819" s="121" t="n"/>
      <c r="F819" s="121" t="n"/>
    </row>
    <row r="820" ht="15" customHeight="1" s="145">
      <c r="E820" s="121" t="n"/>
      <c r="F820" s="121" t="n"/>
    </row>
    <row r="821" ht="15" customHeight="1" s="145">
      <c r="E821" s="121" t="n"/>
      <c r="F821" s="121" t="n"/>
    </row>
    <row r="822" ht="15" customHeight="1" s="145">
      <c r="E822" s="121" t="n"/>
      <c r="F822" s="121" t="n"/>
    </row>
    <row r="823" ht="15" customHeight="1" s="145">
      <c r="E823" s="121" t="n"/>
      <c r="F823" s="121" t="n"/>
    </row>
    <row r="824" ht="15" customHeight="1" s="145">
      <c r="E824" s="121" t="n"/>
      <c r="F824" s="121" t="n"/>
    </row>
    <row r="825" ht="15" customHeight="1" s="145">
      <c r="E825" s="121" t="n"/>
      <c r="F825" s="121" t="n"/>
    </row>
    <row r="826" ht="15" customHeight="1" s="145">
      <c r="E826" s="121" t="n"/>
      <c r="F826" s="121" t="n"/>
    </row>
    <row r="827" ht="15" customHeight="1" s="145">
      <c r="E827" s="121" t="n"/>
      <c r="F827" s="121" t="n"/>
    </row>
    <row r="828" ht="15" customHeight="1" s="145">
      <c r="E828" s="121" t="n"/>
      <c r="F828" s="121" t="n"/>
    </row>
    <row r="829" ht="15" customHeight="1" s="145">
      <c r="E829" s="121" t="n"/>
      <c r="F829" s="121" t="n"/>
    </row>
    <row r="830" ht="15" customHeight="1" s="145">
      <c r="E830" s="121" t="n"/>
      <c r="F830" s="121" t="n"/>
    </row>
    <row r="831" ht="15" customHeight="1" s="145">
      <c r="E831" s="121" t="n"/>
      <c r="F831" s="121" t="n"/>
    </row>
    <row r="832" ht="15" customHeight="1" s="145">
      <c r="E832" s="121" t="n"/>
      <c r="F832" s="121" t="n"/>
    </row>
    <row r="833" ht="15" customHeight="1" s="145">
      <c r="E833" s="121" t="n"/>
      <c r="F833" s="121" t="n"/>
    </row>
    <row r="834" ht="15" customHeight="1" s="145">
      <c r="E834" s="121" t="n"/>
      <c r="F834" s="121" t="n"/>
    </row>
    <row r="835" ht="15" customHeight="1" s="145">
      <c r="E835" s="121" t="n"/>
      <c r="F835" s="121" t="n"/>
    </row>
    <row r="836" ht="15" customHeight="1" s="145">
      <c r="E836" s="121" t="n"/>
      <c r="F836" s="121" t="n"/>
    </row>
    <row r="837" ht="15" customHeight="1" s="145">
      <c r="E837" s="121" t="n"/>
      <c r="F837" s="121" t="n"/>
    </row>
    <row r="838" ht="15" customHeight="1" s="145">
      <c r="E838" s="121" t="n"/>
      <c r="F838" s="121" t="n"/>
    </row>
    <row r="839" ht="15" customHeight="1" s="145">
      <c r="E839" s="121" t="n"/>
      <c r="F839" s="121" t="n"/>
    </row>
    <row r="840" ht="15" customHeight="1" s="145">
      <c r="E840" s="121" t="n"/>
      <c r="F840" s="121" t="n"/>
    </row>
    <row r="841" ht="15" customHeight="1" s="145">
      <c r="E841" s="121" t="n"/>
      <c r="F841" s="121" t="n"/>
    </row>
    <row r="842" ht="15" customHeight="1" s="145">
      <c r="E842" s="121" t="n"/>
      <c r="F842" s="121" t="n"/>
    </row>
    <row r="843" ht="15" customHeight="1" s="145">
      <c r="E843" s="121" t="n"/>
      <c r="F843" s="121" t="n"/>
    </row>
    <row r="844" ht="15" customHeight="1" s="145">
      <c r="E844" s="121" t="n"/>
      <c r="F844" s="121" t="n"/>
    </row>
    <row r="845" ht="15" customHeight="1" s="145">
      <c r="E845" s="121" t="n"/>
      <c r="F845" s="121" t="n"/>
    </row>
    <row r="846" ht="15" customHeight="1" s="145">
      <c r="E846" s="121" t="n"/>
      <c r="F846" s="121" t="n"/>
    </row>
    <row r="847" ht="15" customHeight="1" s="145">
      <c r="E847" s="121" t="n"/>
      <c r="F847" s="121" t="n"/>
    </row>
    <row r="848" ht="15" customHeight="1" s="145">
      <c r="E848" s="121" t="n"/>
      <c r="F848" s="121" t="n"/>
    </row>
    <row r="849" ht="15" customHeight="1" s="145">
      <c r="E849" s="121" t="n"/>
      <c r="F849" s="121" t="n"/>
    </row>
    <row r="850" ht="15" customHeight="1" s="145">
      <c r="E850" s="121" t="n"/>
      <c r="F850" s="121" t="n"/>
    </row>
    <row r="851" ht="15" customHeight="1" s="145">
      <c r="E851" s="121" t="n"/>
      <c r="F851" s="121" t="n"/>
    </row>
    <row r="852" ht="15" customHeight="1" s="145">
      <c r="E852" s="121" t="n"/>
      <c r="F852" s="121" t="n"/>
    </row>
    <row r="853" ht="15" customHeight="1" s="145">
      <c r="E853" s="121" t="n"/>
      <c r="F853" s="121" t="n"/>
    </row>
    <row r="854" ht="15" customHeight="1" s="145">
      <c r="E854" s="121" t="n"/>
      <c r="F854" s="121" t="n"/>
    </row>
    <row r="855" ht="15" customHeight="1" s="145">
      <c r="E855" s="121" t="n"/>
      <c r="F855" s="121" t="n"/>
    </row>
    <row r="856" ht="15" customHeight="1" s="145">
      <c r="E856" s="121" t="n"/>
      <c r="F856" s="121" t="n"/>
    </row>
    <row r="857" ht="15" customHeight="1" s="145">
      <c r="E857" s="121" t="n"/>
      <c r="F857" s="121" t="n"/>
    </row>
    <row r="858" ht="15" customHeight="1" s="145">
      <c r="E858" s="121" t="n"/>
      <c r="F858" s="121" t="n"/>
    </row>
    <row r="859" ht="15" customHeight="1" s="145">
      <c r="E859" s="121" t="n"/>
      <c r="F859" s="121" t="n"/>
    </row>
    <row r="860" ht="15" customHeight="1" s="145">
      <c r="E860" s="121" t="n"/>
      <c r="F860" s="121" t="n"/>
    </row>
    <row r="861" ht="15" customHeight="1" s="145">
      <c r="E861" s="121" t="n"/>
      <c r="F861" s="121" t="n"/>
    </row>
    <row r="862" ht="15" customHeight="1" s="145">
      <c r="E862" s="121" t="n"/>
      <c r="F862" s="121" t="n"/>
    </row>
    <row r="863" ht="15" customHeight="1" s="145">
      <c r="E863" s="121" t="n"/>
      <c r="F863" s="121" t="n"/>
    </row>
    <row r="864" ht="15" customHeight="1" s="145">
      <c r="E864" s="121" t="n"/>
      <c r="F864" s="121" t="n"/>
    </row>
    <row r="865" ht="15" customHeight="1" s="145">
      <c r="E865" s="121" t="n"/>
      <c r="F865" s="121" t="n"/>
    </row>
    <row r="866" ht="15" customHeight="1" s="145">
      <c r="E866" s="121" t="n"/>
      <c r="F866" s="121" t="n"/>
    </row>
    <row r="867" ht="15" customHeight="1" s="145">
      <c r="E867" s="121" t="n"/>
      <c r="F867" s="121" t="n"/>
    </row>
    <row r="868" ht="15" customHeight="1" s="145">
      <c r="E868" s="121" t="n"/>
      <c r="F868" s="121" t="n"/>
    </row>
    <row r="869" ht="15" customHeight="1" s="145">
      <c r="E869" s="121" t="n"/>
      <c r="F869" s="121" t="n"/>
    </row>
    <row r="870" ht="15" customHeight="1" s="145">
      <c r="E870" s="121" t="n"/>
      <c r="F870" s="121" t="n"/>
    </row>
    <row r="871" ht="15" customHeight="1" s="145">
      <c r="E871" s="121" t="n"/>
      <c r="F871" s="121" t="n"/>
    </row>
    <row r="872" ht="15" customHeight="1" s="145">
      <c r="E872" s="121" t="n"/>
      <c r="F872" s="121" t="n"/>
    </row>
    <row r="873" ht="15" customHeight="1" s="145">
      <c r="E873" s="121" t="n"/>
      <c r="F873" s="121" t="n"/>
    </row>
    <row r="874" ht="15" customHeight="1" s="145">
      <c r="E874" s="121" t="n"/>
      <c r="F874" s="121" t="n"/>
    </row>
    <row r="875" ht="15" customHeight="1" s="145">
      <c r="E875" s="121" t="n"/>
      <c r="F875" s="121" t="n"/>
    </row>
    <row r="876" ht="15" customHeight="1" s="145">
      <c r="E876" s="121" t="n"/>
      <c r="F876" s="121" t="n"/>
    </row>
    <row r="877" ht="15" customHeight="1" s="145">
      <c r="E877" s="121" t="n"/>
      <c r="F877" s="121" t="n"/>
    </row>
    <row r="878" ht="15" customHeight="1" s="145">
      <c r="E878" s="121" t="n"/>
      <c r="F878" s="121" t="n"/>
    </row>
    <row r="879" ht="15" customHeight="1" s="145">
      <c r="E879" s="121" t="n"/>
      <c r="F879" s="121" t="n"/>
    </row>
    <row r="880" ht="15" customHeight="1" s="145">
      <c r="E880" s="121" t="n"/>
      <c r="F880" s="121" t="n"/>
    </row>
    <row r="881" ht="15" customHeight="1" s="145">
      <c r="E881" s="121" t="n"/>
      <c r="F881" s="121" t="n"/>
    </row>
    <row r="882" ht="15" customHeight="1" s="145">
      <c r="E882" s="121" t="n"/>
      <c r="F882" s="121" t="n"/>
    </row>
    <row r="883" ht="15" customHeight="1" s="145">
      <c r="E883" s="121" t="n"/>
      <c r="F883" s="121" t="n"/>
    </row>
    <row r="884" ht="15" customHeight="1" s="145">
      <c r="E884" s="121" t="n"/>
      <c r="F884" s="121" t="n"/>
    </row>
    <row r="885" ht="15" customHeight="1" s="145">
      <c r="E885" s="121" t="n"/>
      <c r="F885" s="121" t="n"/>
    </row>
    <row r="886" ht="15" customHeight="1" s="145">
      <c r="E886" s="121" t="n"/>
      <c r="F886" s="121" t="n"/>
    </row>
    <row r="887" ht="15" customHeight="1" s="145">
      <c r="E887" s="121" t="n"/>
      <c r="F887" s="121" t="n"/>
    </row>
    <row r="888" ht="15" customHeight="1" s="145">
      <c r="E888" s="121" t="n"/>
      <c r="F888" s="121" t="n"/>
    </row>
    <row r="889" ht="15" customHeight="1" s="145">
      <c r="E889" s="121" t="n"/>
      <c r="F889" s="121" t="n"/>
    </row>
    <row r="890" ht="15" customHeight="1" s="145">
      <c r="E890" s="121" t="n"/>
      <c r="F890" s="121" t="n"/>
    </row>
    <row r="891" ht="15" customHeight="1" s="145">
      <c r="E891" s="121" t="n"/>
      <c r="F891" s="121" t="n"/>
    </row>
    <row r="892" ht="15" customHeight="1" s="145">
      <c r="E892" s="121" t="n"/>
      <c r="F892" s="121" t="n"/>
    </row>
    <row r="893" ht="15" customHeight="1" s="145">
      <c r="E893" s="121" t="n"/>
      <c r="F893" s="121" t="n"/>
    </row>
    <row r="894" ht="15" customHeight="1" s="145">
      <c r="E894" s="121" t="n"/>
      <c r="F894" s="121" t="n"/>
    </row>
    <row r="895" ht="15" customHeight="1" s="145">
      <c r="E895" s="121" t="n"/>
      <c r="F895" s="121" t="n"/>
    </row>
    <row r="896" ht="15" customHeight="1" s="145">
      <c r="E896" s="121" t="n"/>
      <c r="F896" s="121" t="n"/>
    </row>
    <row r="897" ht="15" customHeight="1" s="145">
      <c r="E897" s="121" t="n"/>
      <c r="F897" s="121" t="n"/>
    </row>
    <row r="898" ht="15" customHeight="1" s="145">
      <c r="E898" s="121" t="n"/>
      <c r="F898" s="121" t="n"/>
    </row>
    <row r="899" ht="15" customHeight="1" s="145">
      <c r="E899" s="121" t="n"/>
      <c r="F899" s="121" t="n"/>
    </row>
    <row r="900" ht="15" customHeight="1" s="145">
      <c r="E900" s="121" t="n"/>
      <c r="F900" s="121" t="n"/>
    </row>
    <row r="901" ht="15" customHeight="1" s="145">
      <c r="E901" s="121" t="n"/>
      <c r="F901" s="121" t="n"/>
    </row>
    <row r="902" ht="15" customHeight="1" s="145">
      <c r="E902" s="121" t="n"/>
      <c r="F902" s="121" t="n"/>
    </row>
    <row r="903" ht="15" customHeight="1" s="145">
      <c r="E903" s="121" t="n"/>
      <c r="F903" s="121" t="n"/>
    </row>
    <row r="904" ht="15" customHeight="1" s="145">
      <c r="E904" s="121" t="n"/>
      <c r="F904" s="121" t="n"/>
    </row>
    <row r="905" ht="15" customHeight="1" s="145">
      <c r="E905" s="121" t="n"/>
      <c r="F905" s="121" t="n"/>
    </row>
    <row r="906" ht="15" customHeight="1" s="145">
      <c r="E906" s="121" t="n"/>
      <c r="F906" s="121" t="n"/>
    </row>
    <row r="907" ht="15" customHeight="1" s="145">
      <c r="E907" s="121" t="n"/>
      <c r="F907" s="121" t="n"/>
    </row>
    <row r="908" ht="15" customHeight="1" s="145">
      <c r="E908" s="121" t="n"/>
      <c r="F908" s="121" t="n"/>
    </row>
    <row r="909" ht="15" customHeight="1" s="145">
      <c r="E909" s="121" t="n"/>
      <c r="F909" s="121" t="n"/>
    </row>
    <row r="910" ht="15" customHeight="1" s="145">
      <c r="E910" s="121" t="n"/>
      <c r="F910" s="121" t="n"/>
    </row>
    <row r="911" ht="15" customHeight="1" s="145">
      <c r="E911" s="121" t="n"/>
      <c r="F911" s="121" t="n"/>
    </row>
    <row r="912" ht="15" customHeight="1" s="145">
      <c r="E912" s="121" t="n"/>
      <c r="F912" s="121" t="n"/>
    </row>
    <row r="913" ht="15" customHeight="1" s="145">
      <c r="E913" s="121" t="n"/>
      <c r="F913" s="121" t="n"/>
    </row>
    <row r="914" ht="15" customHeight="1" s="145">
      <c r="E914" s="121" t="n"/>
      <c r="F914" s="121" t="n"/>
    </row>
    <row r="915" ht="15" customHeight="1" s="145">
      <c r="E915" s="121" t="n"/>
      <c r="F915" s="121" t="n"/>
    </row>
    <row r="916" ht="15" customHeight="1" s="145">
      <c r="E916" s="121" t="n"/>
      <c r="F916" s="121" t="n"/>
    </row>
    <row r="917" ht="15" customHeight="1" s="145">
      <c r="E917" s="121" t="n"/>
      <c r="F917" s="121" t="n"/>
    </row>
    <row r="918" ht="15" customHeight="1" s="145">
      <c r="E918" s="121" t="n"/>
      <c r="F918" s="121" t="n"/>
    </row>
    <row r="919" ht="15" customHeight="1" s="145">
      <c r="E919" s="121" t="n"/>
      <c r="F919" s="121" t="n"/>
    </row>
    <row r="920" ht="15" customHeight="1" s="145">
      <c r="E920" s="121" t="n"/>
      <c r="F920" s="121" t="n"/>
    </row>
    <row r="921" ht="15" customHeight="1" s="145">
      <c r="E921" s="121" t="n"/>
      <c r="F921" s="121" t="n"/>
    </row>
    <row r="922" ht="15" customHeight="1" s="145">
      <c r="E922" s="121" t="n"/>
      <c r="F922" s="121" t="n"/>
    </row>
    <row r="923" ht="15" customHeight="1" s="145">
      <c r="E923" s="121" t="n"/>
      <c r="F923" s="121" t="n"/>
    </row>
    <row r="924" ht="15" customHeight="1" s="145">
      <c r="E924" s="121" t="n"/>
      <c r="F924" s="121" t="n"/>
    </row>
    <row r="925" ht="15" customHeight="1" s="145">
      <c r="E925" s="121" t="n"/>
      <c r="F925" s="121" t="n"/>
    </row>
    <row r="926" ht="15" customHeight="1" s="145">
      <c r="E926" s="121" t="n"/>
      <c r="F926" s="121" t="n"/>
    </row>
    <row r="927" ht="15" customHeight="1" s="145">
      <c r="E927" s="121" t="n"/>
      <c r="F927" s="121" t="n"/>
    </row>
    <row r="928" ht="15" customHeight="1" s="145">
      <c r="E928" s="121" t="n"/>
      <c r="F928" s="121" t="n"/>
    </row>
    <row r="929" ht="15" customHeight="1" s="145">
      <c r="E929" s="121" t="n"/>
      <c r="F929" s="121" t="n"/>
    </row>
    <row r="930" ht="15" customHeight="1" s="145">
      <c r="E930" s="121" t="n"/>
      <c r="F930" s="121" t="n"/>
    </row>
    <row r="931" ht="15" customHeight="1" s="145">
      <c r="E931" s="121" t="n"/>
      <c r="F931" s="121" t="n"/>
    </row>
    <row r="932" ht="15" customHeight="1" s="145">
      <c r="E932" s="121" t="n"/>
      <c r="F932" s="121" t="n"/>
    </row>
    <row r="933" ht="15" customHeight="1" s="145">
      <c r="E933" s="121" t="n"/>
      <c r="F933" s="121" t="n"/>
    </row>
    <row r="934" ht="15" customHeight="1" s="145">
      <c r="E934" s="121" t="n"/>
      <c r="F934" s="121" t="n"/>
    </row>
    <row r="935" ht="15" customHeight="1" s="145">
      <c r="E935" s="121" t="n"/>
      <c r="F935" s="121" t="n"/>
    </row>
    <row r="936" ht="15" customHeight="1" s="145">
      <c r="E936" s="121" t="n"/>
      <c r="F936" s="121" t="n"/>
    </row>
    <row r="937" ht="15" customHeight="1" s="145">
      <c r="E937" s="121" t="n"/>
      <c r="F937" s="121" t="n"/>
    </row>
    <row r="938" ht="15" customHeight="1" s="145">
      <c r="E938" s="121" t="n"/>
      <c r="F938" s="121" t="n"/>
    </row>
    <row r="939" ht="15" customHeight="1" s="145">
      <c r="E939" s="121" t="n"/>
      <c r="F939" s="121" t="n"/>
    </row>
    <row r="940" ht="15" customHeight="1" s="145">
      <c r="E940" s="121" t="n"/>
      <c r="F940" s="121" t="n"/>
    </row>
    <row r="941" ht="15" customHeight="1" s="145">
      <c r="E941" s="121" t="n"/>
      <c r="F941" s="121" t="n"/>
    </row>
    <row r="942" ht="15" customHeight="1" s="145">
      <c r="E942" s="121" t="n"/>
      <c r="F942" s="121" t="n"/>
    </row>
    <row r="943" ht="15" customHeight="1" s="145">
      <c r="E943" s="121" t="n"/>
      <c r="F943" s="121" t="n"/>
    </row>
    <row r="944" ht="15" customHeight="1" s="145">
      <c r="E944" s="121" t="n"/>
      <c r="F944" s="121" t="n"/>
    </row>
    <row r="945" ht="15" customHeight="1" s="145">
      <c r="E945" s="121" t="n"/>
      <c r="F945" s="121" t="n"/>
    </row>
    <row r="946" ht="15" customHeight="1" s="145">
      <c r="E946" s="121" t="n"/>
      <c r="F946" s="121" t="n"/>
    </row>
    <row r="947" ht="15" customHeight="1" s="145">
      <c r="E947" s="121" t="n"/>
      <c r="F947" s="121" t="n"/>
    </row>
    <row r="948" ht="15" customHeight="1" s="145">
      <c r="E948" s="121" t="n"/>
      <c r="F948" s="121" t="n"/>
    </row>
    <row r="949" ht="15" customHeight="1" s="145">
      <c r="E949" s="121" t="n"/>
      <c r="F949" s="121" t="n"/>
    </row>
    <row r="950" ht="15" customHeight="1" s="145">
      <c r="E950" s="121" t="n"/>
      <c r="F950" s="121" t="n"/>
    </row>
    <row r="951" ht="15" customHeight="1" s="145">
      <c r="E951" s="121" t="n"/>
      <c r="F951" s="121" t="n"/>
    </row>
    <row r="952" ht="15" customHeight="1" s="145">
      <c r="E952" s="121" t="n"/>
      <c r="F952" s="121" t="n"/>
    </row>
    <row r="953" ht="15" customHeight="1" s="145">
      <c r="E953" s="121" t="n"/>
      <c r="F953" s="121" t="n"/>
    </row>
    <row r="954" ht="15" customHeight="1" s="145">
      <c r="E954" s="121" t="n"/>
      <c r="F954" s="121" t="n"/>
    </row>
    <row r="955" ht="15" customHeight="1" s="145">
      <c r="E955" s="121" t="n"/>
      <c r="F955" s="121" t="n"/>
    </row>
    <row r="956" ht="15" customHeight="1" s="145">
      <c r="E956" s="121" t="n"/>
      <c r="F956" s="121" t="n"/>
    </row>
    <row r="957" ht="15" customHeight="1" s="145">
      <c r="E957" s="121" t="n"/>
      <c r="F957" s="121" t="n"/>
    </row>
    <row r="958" ht="15" customHeight="1" s="145">
      <c r="E958" s="121" t="n"/>
      <c r="F958" s="121" t="n"/>
    </row>
    <row r="959" ht="15" customHeight="1" s="145">
      <c r="E959" s="121" t="n"/>
      <c r="F959" s="121" t="n"/>
    </row>
    <row r="960" ht="15" customHeight="1" s="145">
      <c r="E960" s="121" t="n"/>
      <c r="F960" s="121" t="n"/>
    </row>
    <row r="961" ht="15" customHeight="1" s="145">
      <c r="E961" s="121" t="n"/>
      <c r="F961" s="121" t="n"/>
    </row>
    <row r="962" ht="15" customHeight="1" s="145">
      <c r="E962" s="121" t="n"/>
      <c r="F962" s="121" t="n"/>
    </row>
    <row r="963" ht="15" customHeight="1" s="145">
      <c r="E963" s="121" t="n"/>
      <c r="F963" s="121" t="n"/>
    </row>
    <row r="964" ht="15" customHeight="1" s="145">
      <c r="E964" s="121" t="n"/>
      <c r="F964" s="121" t="n"/>
    </row>
    <row r="965" ht="15" customHeight="1" s="145">
      <c r="E965" s="121" t="n"/>
      <c r="F965" s="121" t="n"/>
    </row>
    <row r="966" ht="15" customHeight="1" s="145">
      <c r="E966" s="121" t="n"/>
      <c r="F966" s="121" t="n"/>
    </row>
    <row r="967" ht="15" customHeight="1" s="145">
      <c r="E967" s="121" t="n"/>
      <c r="F967" s="121" t="n"/>
    </row>
    <row r="968" ht="15" customHeight="1" s="145">
      <c r="E968" s="121" t="n"/>
      <c r="F968" s="121" t="n"/>
    </row>
    <row r="969" ht="15" customHeight="1" s="145">
      <c r="E969" s="121" t="n"/>
      <c r="F969" s="121" t="n"/>
    </row>
    <row r="970" ht="15" customHeight="1" s="145">
      <c r="E970" s="121" t="n"/>
      <c r="F970" s="121" t="n"/>
    </row>
    <row r="971" ht="15" customHeight="1" s="145">
      <c r="E971" s="121" t="n"/>
      <c r="F971" s="121" t="n"/>
    </row>
    <row r="972" ht="15" customHeight="1" s="145">
      <c r="E972" s="121" t="n"/>
      <c r="F972" s="121" t="n"/>
    </row>
    <row r="973" ht="15" customHeight="1" s="145">
      <c r="E973" s="121" t="n"/>
      <c r="F973" s="121" t="n"/>
    </row>
    <row r="974" ht="15" customHeight="1" s="145">
      <c r="E974" s="121" t="n"/>
      <c r="F974" s="121" t="n"/>
    </row>
    <row r="975" ht="15" customHeight="1" s="145">
      <c r="E975" s="121" t="n"/>
      <c r="F975" s="121" t="n"/>
    </row>
    <row r="976" ht="15" customHeight="1" s="145">
      <c r="E976" s="121" t="n"/>
      <c r="F976" s="121" t="n"/>
    </row>
    <row r="977" ht="15" customHeight="1" s="145">
      <c r="E977" s="121" t="n"/>
      <c r="F977" s="121" t="n"/>
    </row>
    <row r="978" ht="15" customHeight="1" s="145">
      <c r="E978" s="121" t="n"/>
      <c r="F978" s="121" t="n"/>
    </row>
    <row r="979" ht="15" customHeight="1" s="145">
      <c r="E979" s="121" t="n"/>
      <c r="F979" s="121" t="n"/>
    </row>
    <row r="980" ht="15" customHeight="1" s="145">
      <c r="E980" s="121" t="n"/>
      <c r="F980" s="121" t="n"/>
    </row>
    <row r="981" ht="15" customHeight="1" s="145">
      <c r="E981" s="121" t="n"/>
      <c r="F981" s="121" t="n"/>
    </row>
    <row r="982" ht="15" customHeight="1" s="145">
      <c r="E982" s="121" t="n"/>
      <c r="F982" s="121" t="n"/>
    </row>
    <row r="983" ht="15" customHeight="1" s="145">
      <c r="E983" s="121" t="n"/>
      <c r="F983" s="121" t="n"/>
    </row>
    <row r="984" ht="15" customHeight="1" s="145">
      <c r="E984" s="121" t="n"/>
      <c r="F984" s="121" t="n"/>
    </row>
    <row r="985" ht="15" customHeight="1" s="145">
      <c r="E985" s="121" t="n"/>
      <c r="F985" s="121" t="n"/>
    </row>
    <row r="986" ht="15" customHeight="1" s="145">
      <c r="E986" s="121" t="n"/>
      <c r="F986" s="121" t="n"/>
    </row>
    <row r="987" ht="15" customHeight="1" s="145">
      <c r="E987" s="121" t="n"/>
      <c r="F987" s="121" t="n"/>
    </row>
    <row r="988" ht="15" customHeight="1" s="145">
      <c r="E988" s="121" t="n"/>
      <c r="F988" s="121" t="n"/>
    </row>
    <row r="989" ht="15" customHeight="1" s="145">
      <c r="E989" s="121" t="n"/>
      <c r="F989" s="121" t="n"/>
    </row>
    <row r="990" ht="15" customHeight="1" s="145">
      <c r="E990" s="121" t="n"/>
      <c r="F990" s="121" t="n"/>
    </row>
    <row r="991" ht="15" customHeight="1" s="145">
      <c r="E991" s="121" t="n"/>
      <c r="F991" s="121" t="n"/>
    </row>
    <row r="992" ht="15" customHeight="1" s="145">
      <c r="E992" s="121" t="n"/>
      <c r="F992" s="121" t="n"/>
    </row>
    <row r="993" ht="15" customHeight="1" s="145">
      <c r="E993" s="121" t="n"/>
      <c r="F993" s="121" t="n"/>
    </row>
    <row r="994" ht="15" customHeight="1" s="145">
      <c r="E994" s="121" t="n"/>
      <c r="F994" s="121" t="n"/>
    </row>
    <row r="995" ht="15" customHeight="1" s="145">
      <c r="E995" s="121" t="n"/>
      <c r="F995" s="121" t="n"/>
    </row>
    <row r="996" ht="15" customHeight="1" s="145">
      <c r="E996" s="121" t="n"/>
      <c r="F996" s="121" t="n"/>
    </row>
    <row r="997" ht="15" customHeight="1" s="145">
      <c r="E997" s="121" t="n"/>
      <c r="F997" s="121" t="n"/>
    </row>
    <row r="998" ht="15" customHeight="1" s="145">
      <c r="E998" s="121" t="n"/>
      <c r="F998" s="121" t="n"/>
    </row>
    <row r="999" ht="15" customHeight="1" s="145">
      <c r="E999" s="121" t="n"/>
      <c r="F999" s="121" t="n"/>
    </row>
    <row r="1000" ht="15" customHeight="1" s="145">
      <c r="E1000" s="121" t="n"/>
      <c r="F1000" s="121" t="n"/>
    </row>
    <row r="1001" ht="15" customHeight="1" s="145">
      <c r="E1001" s="121" t="n"/>
      <c r="F1001" s="121" t="n"/>
    </row>
    <row r="1002" ht="15" customHeight="1" s="145">
      <c r="E1002" s="121" t="n"/>
      <c r="F1002" s="121" t="n"/>
    </row>
    <row r="1003" ht="15" customHeight="1" s="145">
      <c r="E1003" s="121" t="n"/>
      <c r="F1003" s="121" t="n"/>
    </row>
    <row r="1004" ht="15" customHeight="1" s="145">
      <c r="E1004" s="121" t="n"/>
      <c r="F1004" s="121" t="n"/>
    </row>
    <row r="1005" ht="15" customHeight="1" s="145">
      <c r="E1005" s="121" t="n"/>
      <c r="F1005" s="121" t="n"/>
    </row>
    <row r="1006" ht="15" customHeight="1" s="145">
      <c r="E1006" s="121" t="n"/>
      <c r="F1006" s="121" t="n"/>
    </row>
    <row r="1007" ht="15" customHeight="1" s="145">
      <c r="E1007" s="121" t="n"/>
      <c r="F1007" s="121" t="n"/>
    </row>
    <row r="1008" ht="15" customHeight="1" s="145">
      <c r="E1008" s="121" t="n"/>
      <c r="F1008" s="121" t="n"/>
    </row>
    <row r="1009" ht="15" customHeight="1" s="145">
      <c r="E1009" s="121" t="n"/>
      <c r="F1009" s="121" t="n"/>
    </row>
    <row r="1010" ht="15" customHeight="1" s="145">
      <c r="E1010" s="121" t="n"/>
      <c r="F1010" s="121" t="n"/>
    </row>
    <row r="1011" ht="15" customHeight="1" s="145">
      <c r="E1011" s="121" t="n"/>
      <c r="F1011" s="121" t="n"/>
    </row>
    <row r="1012" ht="15" customHeight="1" s="145">
      <c r="E1012" s="121" t="n"/>
      <c r="F1012" s="121" t="n"/>
    </row>
    <row r="1013" ht="15" customHeight="1" s="145">
      <c r="E1013" s="121" t="n"/>
      <c r="F1013" s="121" t="n"/>
    </row>
    <row r="1014" ht="15" customHeight="1" s="145">
      <c r="E1014" s="121" t="n"/>
      <c r="F1014" s="121" t="n"/>
    </row>
    <row r="1015" ht="15" customHeight="1" s="145">
      <c r="E1015" s="121" t="n"/>
      <c r="F1015" s="121" t="n"/>
    </row>
    <row r="1016" ht="15" customHeight="1" s="145">
      <c r="E1016" s="121" t="n"/>
      <c r="F1016" s="121" t="n"/>
    </row>
    <row r="1017" ht="15" customHeight="1" s="145">
      <c r="E1017" s="121" t="n"/>
      <c r="F1017" s="121" t="n"/>
    </row>
    <row r="1018" ht="15" customHeight="1" s="145">
      <c r="E1018" s="121" t="n"/>
      <c r="F1018" s="121" t="n"/>
    </row>
    <row r="1019" ht="15" customHeight="1" s="145">
      <c r="E1019" s="121" t="n"/>
      <c r="F1019" s="121" t="n"/>
    </row>
    <row r="1020" ht="15" customHeight="1" s="145">
      <c r="E1020" s="121" t="n"/>
      <c r="F1020" s="121" t="n"/>
    </row>
    <row r="1021" ht="15" customHeight="1" s="145">
      <c r="E1021" s="121" t="n"/>
      <c r="F1021" s="121" t="n"/>
    </row>
    <row r="1022" ht="15" customHeight="1" s="145">
      <c r="E1022" s="121" t="n"/>
      <c r="F1022" s="121" t="n"/>
    </row>
    <row r="1023" ht="15" customHeight="1" s="145">
      <c r="E1023" s="121" t="n"/>
      <c r="F1023" s="121" t="n"/>
    </row>
    <row r="1024" ht="15" customHeight="1" s="145">
      <c r="E1024" s="121" t="n"/>
      <c r="F1024" s="121" t="n"/>
    </row>
    <row r="1025" ht="15" customHeight="1" s="145">
      <c r="E1025" s="121" t="n"/>
      <c r="F1025" s="121" t="n"/>
    </row>
    <row r="1026" ht="15" customHeight="1" s="145">
      <c r="E1026" s="121" t="n"/>
      <c r="F1026" s="121" t="n"/>
    </row>
    <row r="1027" ht="15" customHeight="1" s="145">
      <c r="E1027" s="121" t="n"/>
      <c r="F1027" s="121" t="n"/>
    </row>
    <row r="1028" ht="15" customHeight="1" s="145">
      <c r="E1028" s="121" t="n"/>
      <c r="F1028" s="121" t="n"/>
    </row>
    <row r="1029" ht="15" customHeight="1" s="145">
      <c r="E1029" s="121" t="n"/>
      <c r="F1029" s="121" t="n"/>
    </row>
    <row r="1030" ht="15" customHeight="1" s="145">
      <c r="E1030" s="121" t="n"/>
      <c r="F1030" s="121" t="n"/>
    </row>
    <row r="1031" ht="15" customHeight="1" s="145">
      <c r="E1031" s="121" t="n"/>
      <c r="F1031" s="121" t="n"/>
    </row>
    <row r="1032" ht="15" customHeight="1" s="145">
      <c r="E1032" s="121" t="n"/>
      <c r="F1032" s="121" t="n"/>
    </row>
    <row r="1033" ht="15" customHeight="1" s="145">
      <c r="E1033" s="121" t="n"/>
      <c r="F1033" s="121" t="n"/>
    </row>
    <row r="1034" ht="15" customHeight="1" s="145">
      <c r="E1034" s="121" t="n"/>
      <c r="F1034" s="121" t="n"/>
    </row>
    <row r="1035" ht="15" customHeight="1" s="145">
      <c r="E1035" s="121" t="n"/>
      <c r="F1035" s="121" t="n"/>
    </row>
    <row r="1036" ht="15" customHeight="1" s="145">
      <c r="E1036" s="121" t="n"/>
      <c r="F1036" s="121" t="n"/>
    </row>
    <row r="1037" ht="15" customHeight="1" s="145">
      <c r="E1037" s="121" t="n"/>
      <c r="F1037" s="121" t="n"/>
    </row>
    <row r="1038" ht="15" customHeight="1" s="145">
      <c r="E1038" s="121" t="n"/>
      <c r="F1038" s="121" t="n"/>
    </row>
    <row r="1039" ht="15" customHeight="1" s="145">
      <c r="E1039" s="121" t="n"/>
      <c r="F1039" s="121" t="n"/>
    </row>
    <row r="1040" ht="15" customHeight="1" s="145">
      <c r="E1040" s="121" t="n"/>
      <c r="F1040" s="121" t="n"/>
    </row>
    <row r="1041" ht="15" customHeight="1" s="145">
      <c r="E1041" s="121" t="n"/>
      <c r="F1041" s="121" t="n"/>
    </row>
    <row r="1042" ht="15" customHeight="1" s="145">
      <c r="E1042" s="121" t="n"/>
      <c r="F1042" s="121" t="n"/>
    </row>
    <row r="1043" ht="15" customHeight="1" s="145">
      <c r="E1043" s="121" t="n"/>
      <c r="F1043" s="121" t="n"/>
    </row>
    <row r="1044" ht="15" customHeight="1" s="145">
      <c r="E1044" s="121" t="n"/>
      <c r="F1044" s="121" t="n"/>
    </row>
    <row r="1045" ht="15" customHeight="1" s="145">
      <c r="E1045" s="121" t="n"/>
      <c r="F1045" s="121" t="n"/>
    </row>
    <row r="1046" ht="15" customHeight="1" s="145">
      <c r="E1046" s="121" t="n"/>
      <c r="F1046" s="121" t="n"/>
    </row>
    <row r="1047" ht="15" customHeight="1" s="145">
      <c r="E1047" s="121" t="n"/>
      <c r="F1047" s="121" t="n"/>
    </row>
    <row r="1048" ht="15" customHeight="1" s="145">
      <c r="E1048" s="121" t="n"/>
      <c r="F1048" s="121" t="n"/>
    </row>
    <row r="1049" ht="15" customHeight="1" s="145">
      <c r="E1049" s="121" t="n"/>
      <c r="F1049" s="121" t="n"/>
    </row>
    <row r="1050" ht="15" customHeight="1" s="145">
      <c r="E1050" s="121" t="n"/>
      <c r="F1050" s="121" t="n"/>
    </row>
    <row r="1051" ht="15" customHeight="1" s="145">
      <c r="E1051" s="121" t="n"/>
      <c r="F1051" s="121" t="n"/>
    </row>
    <row r="1052" ht="15" customHeight="1" s="145">
      <c r="E1052" s="121" t="n"/>
      <c r="F1052" s="121" t="n"/>
    </row>
    <row r="1053" ht="15" customHeight="1" s="145">
      <c r="E1053" s="121" t="n"/>
      <c r="F1053" s="121" t="n"/>
    </row>
    <row r="1054" ht="15" customHeight="1" s="145">
      <c r="E1054" s="121" t="n"/>
      <c r="F1054" s="121" t="n"/>
    </row>
    <row r="1055" ht="15" customHeight="1" s="145">
      <c r="E1055" s="121" t="n"/>
      <c r="F1055" s="121" t="n"/>
    </row>
    <row r="1056" ht="15" customHeight="1" s="145">
      <c r="E1056" s="121" t="n"/>
      <c r="F1056" s="121" t="n"/>
    </row>
    <row r="1057" ht="15" customHeight="1" s="145">
      <c r="E1057" s="121" t="n"/>
      <c r="F1057" s="121" t="n"/>
    </row>
    <row r="1058" ht="15" customHeight="1" s="145">
      <c r="E1058" s="121" t="n"/>
      <c r="F1058" s="121" t="n"/>
    </row>
    <row r="1059" ht="15" customHeight="1" s="145">
      <c r="E1059" s="121" t="n"/>
      <c r="F1059" s="121" t="n"/>
    </row>
    <row r="1060" ht="15" customHeight="1" s="145">
      <c r="E1060" s="121" t="n"/>
      <c r="F1060" s="121" t="n"/>
    </row>
    <row r="1061" ht="15" customHeight="1" s="145">
      <c r="E1061" s="121" t="n"/>
      <c r="F1061" s="121" t="n"/>
    </row>
    <row r="1062" ht="15" customHeight="1" s="145">
      <c r="E1062" s="121" t="n"/>
      <c r="F1062" s="121" t="n"/>
    </row>
    <row r="1063" ht="15" customHeight="1" s="145">
      <c r="E1063" s="121" t="n"/>
      <c r="F1063" s="121" t="n"/>
    </row>
    <row r="1064" ht="15" customHeight="1" s="145">
      <c r="E1064" s="121" t="n"/>
      <c r="F1064" s="121" t="n"/>
    </row>
    <row r="1065" ht="15" customHeight="1" s="145">
      <c r="E1065" s="121" t="n"/>
      <c r="F1065" s="121" t="n"/>
    </row>
    <row r="1066" ht="15" customHeight="1" s="145">
      <c r="E1066" s="121" t="n"/>
      <c r="F1066" s="121" t="n"/>
    </row>
    <row r="1067" ht="15" customHeight="1" s="145">
      <c r="E1067" s="121" t="n"/>
      <c r="F1067" s="121" t="n"/>
    </row>
    <row r="1068" ht="15" customHeight="1" s="145">
      <c r="E1068" s="121" t="n"/>
      <c r="F1068" s="121" t="n"/>
    </row>
    <row r="1069" ht="15" customHeight="1" s="145">
      <c r="E1069" s="121" t="n"/>
      <c r="F1069" s="121" t="n"/>
    </row>
    <row r="1070" ht="15" customHeight="1" s="145">
      <c r="E1070" s="121" t="n"/>
      <c r="F1070" s="121" t="n"/>
    </row>
    <row r="1071" ht="15" customHeight="1" s="145">
      <c r="E1071" s="121" t="n"/>
      <c r="F1071" s="121" t="n"/>
    </row>
    <row r="1072" ht="15" customHeight="1" s="145">
      <c r="E1072" s="121" t="n"/>
      <c r="F1072" s="121" t="n"/>
    </row>
    <row r="1073" ht="15" customHeight="1" s="145">
      <c r="E1073" s="121" t="n"/>
      <c r="F1073" s="121" t="n"/>
    </row>
    <row r="1074" ht="15" customHeight="1" s="145">
      <c r="E1074" s="121" t="n"/>
      <c r="F1074" s="121" t="n"/>
    </row>
    <row r="1075" ht="15" customHeight="1" s="145">
      <c r="E1075" s="121" t="n"/>
      <c r="F1075" s="121" t="n"/>
    </row>
    <row r="1076" ht="15" customHeight="1" s="145">
      <c r="E1076" s="121" t="n"/>
      <c r="F1076" s="121" t="n"/>
    </row>
    <row r="1077" ht="15" customHeight="1" s="145">
      <c r="E1077" s="121" t="n"/>
      <c r="F1077" s="121" t="n"/>
    </row>
    <row r="1078" ht="15" customHeight="1" s="145">
      <c r="E1078" s="121" t="n"/>
      <c r="F1078" s="121" t="n"/>
    </row>
    <row r="1079" ht="15" customHeight="1" s="145">
      <c r="E1079" s="121" t="n"/>
      <c r="F1079" s="121" t="n"/>
    </row>
    <row r="1080" ht="15" customHeight="1" s="145">
      <c r="E1080" s="121" t="n"/>
      <c r="F1080" s="121" t="n"/>
    </row>
    <row r="1081" ht="15" customHeight="1" s="145">
      <c r="E1081" s="121" t="n"/>
      <c r="F1081" s="121" t="n"/>
    </row>
    <row r="1082" ht="15" customHeight="1" s="145">
      <c r="E1082" s="121" t="n"/>
      <c r="F1082" s="121" t="n"/>
    </row>
    <row r="1083" ht="15" customHeight="1" s="145">
      <c r="E1083" s="121" t="n"/>
      <c r="F1083" s="121" t="n"/>
    </row>
    <row r="1084" ht="15" customHeight="1" s="145">
      <c r="E1084" s="121" t="n"/>
      <c r="F1084" s="121" t="n"/>
    </row>
    <row r="1085" ht="15" customHeight="1" s="145">
      <c r="E1085" s="121" t="n"/>
      <c r="F1085" s="121" t="n"/>
    </row>
    <row r="1086" ht="15" customHeight="1" s="145">
      <c r="E1086" s="121" t="n"/>
      <c r="F1086" s="121" t="n"/>
    </row>
    <row r="1087" ht="15" customHeight="1" s="145">
      <c r="E1087" s="121" t="n"/>
      <c r="F1087" s="121" t="n"/>
    </row>
    <row r="1088" ht="15" customHeight="1" s="145">
      <c r="E1088" s="121" t="n"/>
      <c r="F1088" s="121" t="n"/>
    </row>
    <row r="1089" ht="15" customHeight="1" s="145">
      <c r="E1089" s="121" t="n"/>
      <c r="F1089" s="121" t="n"/>
    </row>
    <row r="1090" ht="15" customHeight="1" s="145">
      <c r="E1090" s="121" t="n"/>
      <c r="F1090" s="121" t="n"/>
    </row>
    <row r="1091" ht="15" customHeight="1" s="145">
      <c r="E1091" s="121" t="n"/>
      <c r="F1091" s="121" t="n"/>
    </row>
    <row r="1092" ht="15" customHeight="1" s="145">
      <c r="E1092" s="121" t="n"/>
      <c r="F1092" s="121" t="n"/>
    </row>
    <row r="1093" ht="15" customHeight="1" s="145">
      <c r="E1093" s="121" t="n"/>
      <c r="F1093" s="121" t="n"/>
    </row>
    <row r="1094" ht="15" customHeight="1" s="145">
      <c r="E1094" s="121" t="n"/>
      <c r="F1094" s="121" t="n"/>
    </row>
    <row r="1095" ht="15" customHeight="1" s="145">
      <c r="E1095" s="121" t="n"/>
      <c r="F1095" s="121" t="n"/>
    </row>
    <row r="1096" ht="15" customHeight="1" s="145">
      <c r="E1096" s="121" t="n"/>
      <c r="F1096" s="121" t="n"/>
    </row>
    <row r="1097" ht="15" customHeight="1" s="145">
      <c r="E1097" s="121" t="n"/>
      <c r="F1097" s="121" t="n"/>
    </row>
    <row r="1098" ht="15" customHeight="1" s="145">
      <c r="E1098" s="121" t="n"/>
      <c r="F1098" s="121" t="n"/>
    </row>
    <row r="1099" ht="15" customHeight="1" s="145">
      <c r="E1099" s="121" t="n"/>
      <c r="F1099" s="121" t="n"/>
    </row>
    <row r="1100" ht="15" customHeight="1" s="145">
      <c r="E1100" s="121" t="n"/>
      <c r="F1100" s="121" t="n"/>
    </row>
    <row r="1101" ht="15" customHeight="1" s="145">
      <c r="E1101" s="121" t="n"/>
      <c r="F1101" s="121" t="n"/>
    </row>
    <row r="1102" ht="15" customHeight="1" s="145">
      <c r="E1102" s="121" t="n"/>
      <c r="F1102" s="121" t="n"/>
    </row>
    <row r="1103" ht="15" customHeight="1" s="145">
      <c r="E1103" s="121" t="n"/>
      <c r="F1103" s="121" t="n"/>
    </row>
    <row r="1104" ht="15" customHeight="1" s="145">
      <c r="E1104" s="121" t="n"/>
      <c r="F1104" s="121" t="n"/>
    </row>
    <row r="1105" ht="15" customHeight="1" s="145">
      <c r="E1105" s="121" t="n"/>
      <c r="F1105" s="121" t="n"/>
    </row>
    <row r="1106" ht="15" customHeight="1" s="145">
      <c r="E1106" s="121" t="n"/>
      <c r="F1106" s="121" t="n"/>
    </row>
    <row r="1107" ht="15" customHeight="1" s="145">
      <c r="E1107" s="121" t="n"/>
      <c r="F1107" s="121" t="n"/>
    </row>
    <row r="1108" ht="15" customHeight="1" s="145">
      <c r="E1108" s="121" t="n"/>
      <c r="F1108" s="121" t="n"/>
    </row>
    <row r="1109" ht="15" customHeight="1" s="145">
      <c r="E1109" s="121" t="n"/>
      <c r="F1109" s="121" t="n"/>
    </row>
    <row r="1110" ht="15" customHeight="1" s="145">
      <c r="E1110" s="121" t="n"/>
      <c r="F1110" s="121" t="n"/>
    </row>
    <row r="1111" ht="15" customHeight="1" s="145">
      <c r="E1111" s="121" t="n"/>
      <c r="F1111" s="121" t="n"/>
    </row>
    <row r="1112" ht="15" customHeight="1" s="145">
      <c r="E1112" s="121" t="n"/>
      <c r="F1112" s="121" t="n"/>
    </row>
    <row r="1113" ht="15" customHeight="1" s="145">
      <c r="E1113" s="121" t="n"/>
      <c r="F1113" s="121" t="n"/>
    </row>
    <row r="1114" ht="15" customHeight="1" s="145">
      <c r="E1114" s="121" t="n"/>
      <c r="F1114" s="121" t="n"/>
    </row>
    <row r="1115" ht="15" customHeight="1" s="145">
      <c r="E1115" s="121" t="n"/>
      <c r="F1115" s="121" t="n"/>
    </row>
    <row r="1116" ht="15" customHeight="1" s="145">
      <c r="E1116" s="121" t="n"/>
      <c r="F1116" s="121" t="n"/>
    </row>
    <row r="1117" ht="15" customHeight="1" s="145">
      <c r="E1117" s="121" t="n"/>
      <c r="F1117" s="121" t="n"/>
    </row>
    <row r="1118" ht="15" customHeight="1" s="145">
      <c r="E1118" s="121" t="n"/>
      <c r="F1118" s="121" t="n"/>
    </row>
    <row r="1119" ht="15" customHeight="1" s="145">
      <c r="E1119" s="121" t="n"/>
      <c r="F1119" s="121" t="n"/>
    </row>
    <row r="1120" ht="15" customHeight="1" s="145">
      <c r="E1120" s="121" t="n"/>
      <c r="F1120" s="121" t="n"/>
    </row>
    <row r="1121" ht="15" customHeight="1" s="145">
      <c r="E1121" s="121" t="n"/>
      <c r="F1121" s="121" t="n"/>
    </row>
    <row r="1122" ht="15" customHeight="1" s="145">
      <c r="E1122" s="121" t="n"/>
      <c r="F1122" s="121" t="n"/>
    </row>
    <row r="1123" ht="15" customHeight="1" s="145">
      <c r="E1123" s="121" t="n"/>
      <c r="F1123" s="121" t="n"/>
    </row>
    <row r="1124" ht="15" customHeight="1" s="145">
      <c r="E1124" s="121" t="n"/>
      <c r="F1124" s="121" t="n"/>
    </row>
    <row r="1125" ht="15" customHeight="1" s="145">
      <c r="E1125" s="121" t="n"/>
      <c r="F1125" s="121" t="n"/>
    </row>
    <row r="1126" ht="15" customHeight="1" s="145">
      <c r="E1126" s="121" t="n"/>
      <c r="F1126" s="121" t="n"/>
    </row>
    <row r="1127" ht="15" customHeight="1" s="145">
      <c r="E1127" s="121" t="n"/>
      <c r="F1127" s="121" t="n"/>
    </row>
    <row r="1128" ht="15" customHeight="1" s="145">
      <c r="E1128" s="121" t="n"/>
      <c r="F1128" s="121" t="n"/>
    </row>
    <row r="1129" ht="15" customHeight="1" s="145">
      <c r="E1129" s="121" t="n"/>
      <c r="F1129" s="121" t="n"/>
    </row>
    <row r="1130" ht="15" customHeight="1" s="145">
      <c r="E1130" s="121" t="n"/>
      <c r="F1130" s="121" t="n"/>
    </row>
    <row r="1131" ht="15" customHeight="1" s="145">
      <c r="E1131" s="121" t="n"/>
      <c r="F1131" s="121" t="n"/>
    </row>
    <row r="1132" ht="15" customHeight="1" s="145">
      <c r="E1132" s="121" t="n"/>
      <c r="F1132" s="121" t="n"/>
    </row>
    <row r="1133" ht="15" customHeight="1" s="145">
      <c r="E1133" s="121" t="n"/>
      <c r="F1133" s="121" t="n"/>
    </row>
    <row r="1134" ht="15" customHeight="1" s="145">
      <c r="E1134" s="121" t="n"/>
      <c r="F1134" s="121" t="n"/>
    </row>
    <row r="1135" ht="15" customHeight="1" s="145">
      <c r="E1135" s="121" t="n"/>
      <c r="F1135" s="121" t="n"/>
    </row>
    <row r="1136" ht="15" customHeight="1" s="145">
      <c r="E1136" s="121" t="n"/>
      <c r="F1136" s="121" t="n"/>
    </row>
    <row r="1137" ht="15" customHeight="1" s="145">
      <c r="E1137" s="121" t="n"/>
      <c r="F1137" s="121" t="n"/>
    </row>
    <row r="1138" ht="15" customHeight="1" s="145">
      <c r="E1138" s="121" t="n"/>
      <c r="F1138" s="121" t="n"/>
    </row>
    <row r="1139" ht="15" customHeight="1" s="145">
      <c r="E1139" s="121" t="n"/>
      <c r="F1139" s="121" t="n"/>
    </row>
    <row r="1140" ht="15" customHeight="1" s="145">
      <c r="E1140" s="121" t="n"/>
      <c r="F1140" s="121" t="n"/>
    </row>
    <row r="1141" ht="15" customHeight="1" s="145">
      <c r="E1141" s="121" t="n"/>
      <c r="F1141" s="121" t="n"/>
    </row>
    <row r="1142" ht="15" customHeight="1" s="145">
      <c r="E1142" s="121" t="n"/>
      <c r="F1142" s="121" t="n"/>
    </row>
    <row r="1143" ht="15" customHeight="1" s="145">
      <c r="E1143" s="121" t="n"/>
      <c r="F1143" s="121" t="n"/>
    </row>
    <row r="1144" ht="15" customHeight="1" s="145">
      <c r="E1144" s="121" t="n"/>
      <c r="F1144" s="121" t="n"/>
    </row>
    <row r="1145" ht="15" customHeight="1" s="145">
      <c r="E1145" s="121" t="n"/>
      <c r="F1145" s="121" t="n"/>
    </row>
    <row r="1146" ht="15" customHeight="1" s="145">
      <c r="E1146" s="121" t="n"/>
      <c r="F1146" s="121" t="n"/>
    </row>
    <row r="1147" ht="15" customHeight="1" s="145">
      <c r="E1147" s="121" t="n"/>
      <c r="F1147" s="121" t="n"/>
    </row>
    <row r="1148" ht="15" customHeight="1" s="145">
      <c r="E1148" s="121" t="n"/>
      <c r="F1148" s="121" t="n"/>
    </row>
    <row r="1149" ht="15" customHeight="1" s="145">
      <c r="E1149" s="121" t="n"/>
      <c r="F1149" s="121" t="n"/>
    </row>
    <row r="1150" ht="15" customHeight="1" s="145">
      <c r="E1150" s="121" t="n"/>
      <c r="F1150" s="121" t="n"/>
    </row>
    <row r="1151" ht="15" customHeight="1" s="145">
      <c r="E1151" s="121" t="n"/>
      <c r="F1151" s="121" t="n"/>
    </row>
    <row r="1152" ht="15" customHeight="1" s="145">
      <c r="E1152" s="121" t="n"/>
      <c r="F1152" s="121" t="n"/>
    </row>
    <row r="1153" ht="15" customHeight="1" s="145">
      <c r="E1153" s="121" t="n"/>
      <c r="F1153" s="121" t="n"/>
    </row>
    <row r="1154" ht="15" customHeight="1" s="145">
      <c r="E1154" s="121" t="n"/>
      <c r="F1154" s="121" t="n"/>
    </row>
    <row r="1155" ht="15" customHeight="1" s="145">
      <c r="E1155" s="121" t="n"/>
      <c r="F1155" s="121" t="n"/>
    </row>
    <row r="1156" ht="15" customHeight="1" s="145">
      <c r="E1156" s="121" t="n"/>
      <c r="F1156" s="121" t="n"/>
    </row>
    <row r="1157" ht="15" customHeight="1" s="145">
      <c r="E1157" s="121" t="n"/>
      <c r="F1157" s="121" t="n"/>
    </row>
    <row r="1158" ht="15" customHeight="1" s="145">
      <c r="E1158" s="121" t="n"/>
      <c r="F1158" s="121" t="n"/>
    </row>
    <row r="1159" ht="15" customHeight="1" s="145">
      <c r="E1159" s="121" t="n"/>
      <c r="F1159" s="121" t="n"/>
    </row>
    <row r="1160" ht="15" customHeight="1" s="145">
      <c r="E1160" s="121" t="n"/>
      <c r="F1160" s="121" t="n"/>
    </row>
    <row r="1161" ht="15" customHeight="1" s="145">
      <c r="E1161" s="121" t="n"/>
      <c r="F1161" s="121" t="n"/>
    </row>
    <row r="1162" ht="15" customHeight="1" s="145">
      <c r="E1162" s="121" t="n"/>
      <c r="F1162" s="121" t="n"/>
    </row>
    <row r="1163" ht="15" customHeight="1" s="145">
      <c r="E1163" s="121" t="n"/>
      <c r="F1163" s="121" t="n"/>
    </row>
    <row r="1164" ht="15" customHeight="1" s="145">
      <c r="E1164" s="121" t="n"/>
      <c r="F1164" s="121" t="n"/>
    </row>
    <row r="1165" ht="15" customHeight="1" s="145">
      <c r="E1165" s="121" t="n"/>
      <c r="F1165" s="121" t="n"/>
    </row>
    <row r="1166" ht="15" customHeight="1" s="145">
      <c r="E1166" s="121" t="n"/>
      <c r="F1166" s="121" t="n"/>
    </row>
    <row r="1167" ht="15" customHeight="1" s="145">
      <c r="E1167" s="121" t="n"/>
      <c r="F1167" s="121" t="n"/>
    </row>
    <row r="1168" ht="15" customHeight="1" s="145">
      <c r="E1168" s="121" t="n"/>
      <c r="F1168" s="121" t="n"/>
    </row>
    <row r="1169" ht="15" customHeight="1" s="145">
      <c r="E1169" s="121" t="n"/>
      <c r="F1169" s="121" t="n"/>
    </row>
    <row r="1170" ht="15" customHeight="1" s="145">
      <c r="E1170" s="121" t="n"/>
      <c r="F1170" s="121" t="n"/>
    </row>
    <row r="1171" ht="15" customHeight="1" s="145">
      <c r="E1171" s="121" t="n"/>
      <c r="F1171" s="121" t="n"/>
    </row>
    <row r="1172" ht="15" customHeight="1" s="145">
      <c r="E1172" s="121" t="n"/>
      <c r="F1172" s="121" t="n"/>
    </row>
    <row r="1173" ht="15" customHeight="1" s="145">
      <c r="E1173" s="121" t="n"/>
      <c r="F1173" s="121" t="n"/>
    </row>
    <row r="1174" ht="15" customHeight="1" s="145">
      <c r="E1174" s="121" t="n"/>
      <c r="F1174" s="121" t="n"/>
    </row>
    <row r="1175" ht="15" customHeight="1" s="145">
      <c r="E1175" s="121" t="n"/>
      <c r="F1175" s="121" t="n"/>
    </row>
    <row r="1176" ht="15" customHeight="1" s="145">
      <c r="E1176" s="121" t="n"/>
      <c r="F1176" s="121" t="n"/>
    </row>
    <row r="1177" ht="15" customHeight="1" s="145">
      <c r="E1177" s="121" t="n"/>
      <c r="F1177" s="121" t="n"/>
    </row>
    <row r="1178" ht="15" customHeight="1" s="145">
      <c r="E1178" s="121" t="n"/>
      <c r="F1178" s="121" t="n"/>
    </row>
    <row r="1179" ht="15" customHeight="1" s="145">
      <c r="E1179" s="121" t="n"/>
      <c r="F1179" s="121" t="n"/>
    </row>
    <row r="1180" ht="15" customHeight="1" s="145">
      <c r="E1180" s="121" t="n"/>
      <c r="F1180" s="121" t="n"/>
    </row>
    <row r="1181" ht="15" customHeight="1" s="145">
      <c r="E1181" s="121" t="n"/>
      <c r="F1181" s="121" t="n"/>
    </row>
    <row r="1182" ht="15" customHeight="1" s="145">
      <c r="E1182" s="121" t="n"/>
      <c r="F1182" s="121" t="n"/>
    </row>
    <row r="1183" ht="15" customHeight="1" s="145">
      <c r="E1183" s="121" t="n"/>
      <c r="F1183" s="121" t="n"/>
    </row>
    <row r="1184" ht="15" customHeight="1" s="145">
      <c r="E1184" s="121" t="n"/>
      <c r="F1184" s="121" t="n"/>
    </row>
    <row r="1185" ht="15" customHeight="1" s="145">
      <c r="E1185" s="121" t="n"/>
      <c r="F1185" s="121" t="n"/>
    </row>
    <row r="1186" ht="15" customHeight="1" s="145">
      <c r="E1186" s="121" t="n"/>
      <c r="F1186" s="121" t="n"/>
    </row>
    <row r="1187" ht="15" customHeight="1" s="145">
      <c r="E1187" s="121" t="n"/>
      <c r="F1187" s="121" t="n"/>
    </row>
    <row r="1188" ht="15" customHeight="1" s="145">
      <c r="E1188" s="121" t="n"/>
      <c r="F1188" s="121" t="n"/>
    </row>
    <row r="1189" ht="15" customHeight="1" s="145">
      <c r="E1189" s="121" t="n"/>
      <c r="F1189" s="121" t="n"/>
    </row>
    <row r="1190" ht="15" customHeight="1" s="145">
      <c r="E1190" s="121" t="n"/>
      <c r="F1190" s="121" t="n"/>
    </row>
    <row r="1191" ht="15" customHeight="1" s="145">
      <c r="E1191" s="121" t="n"/>
      <c r="F1191" s="121" t="n"/>
    </row>
    <row r="1192" ht="15" customHeight="1" s="145">
      <c r="E1192" s="121" t="n"/>
      <c r="F1192" s="121" t="n"/>
    </row>
    <row r="1193" ht="15" customHeight="1" s="145">
      <c r="E1193" s="121" t="n"/>
      <c r="F1193" s="121" t="n"/>
    </row>
    <row r="1194" ht="15" customHeight="1" s="145">
      <c r="E1194" s="121" t="n"/>
      <c r="F1194" s="121" t="n"/>
    </row>
    <row r="1195" ht="15" customHeight="1" s="145">
      <c r="E1195" s="121" t="n"/>
      <c r="F1195" s="121" t="n"/>
    </row>
    <row r="1196" ht="15" customHeight="1" s="145">
      <c r="E1196" s="121" t="n"/>
      <c r="F1196" s="121" t="n"/>
    </row>
    <row r="1197" ht="15" customHeight="1" s="145">
      <c r="E1197" s="121" t="n"/>
      <c r="F1197" s="121" t="n"/>
    </row>
    <row r="1198" ht="15" customHeight="1" s="145">
      <c r="E1198" s="121" t="n"/>
      <c r="F1198" s="121" t="n"/>
    </row>
    <row r="1199" ht="15" customHeight="1" s="145">
      <c r="E1199" s="121" t="n"/>
      <c r="F1199" s="121" t="n"/>
    </row>
    <row r="1200" ht="15" customHeight="1" s="145">
      <c r="E1200" s="121" t="n"/>
      <c r="F1200" s="121" t="n"/>
    </row>
    <row r="1201" ht="15" customHeight="1" s="145">
      <c r="E1201" s="121" t="n"/>
      <c r="F1201" s="121" t="n"/>
    </row>
    <row r="1202" ht="15" customHeight="1" s="145">
      <c r="E1202" s="121" t="n"/>
      <c r="F1202" s="121" t="n"/>
    </row>
    <row r="1203" ht="15" customHeight="1" s="145">
      <c r="E1203" s="121" t="n"/>
      <c r="F1203" s="121" t="n"/>
    </row>
    <row r="1204" ht="15" customHeight="1" s="145">
      <c r="E1204" s="121" t="n"/>
      <c r="F1204" s="121" t="n"/>
    </row>
    <row r="1205" ht="15" customHeight="1" s="145">
      <c r="E1205" s="121" t="n"/>
      <c r="F1205" s="121" t="n"/>
    </row>
    <row r="1206" ht="15" customHeight="1" s="145">
      <c r="E1206" s="121" t="n"/>
      <c r="F1206" s="121" t="n"/>
    </row>
    <row r="1207" ht="15" customHeight="1" s="145">
      <c r="E1207" s="121" t="n"/>
      <c r="F1207" s="121" t="n"/>
    </row>
    <row r="1208" ht="15" customHeight="1" s="145">
      <c r="E1208" s="121" t="n"/>
      <c r="F1208" s="121" t="n"/>
    </row>
    <row r="1209" ht="15" customHeight="1" s="145">
      <c r="E1209" s="121" t="n"/>
      <c r="F1209" s="121" t="n"/>
    </row>
    <row r="1210" ht="15" customHeight="1" s="145">
      <c r="E1210" s="121" t="n"/>
      <c r="F1210" s="121" t="n"/>
    </row>
    <row r="1211" ht="15" customHeight="1" s="145">
      <c r="E1211" s="121" t="n"/>
      <c r="F1211" s="121" t="n"/>
    </row>
    <row r="1212" ht="15" customHeight="1" s="145">
      <c r="E1212" s="121" t="n"/>
      <c r="F1212" s="121" t="n"/>
    </row>
    <row r="1213" ht="15" customHeight="1" s="145">
      <c r="E1213" s="121" t="n"/>
      <c r="F1213" s="121" t="n"/>
    </row>
    <row r="1214" ht="15" customHeight="1" s="145">
      <c r="E1214" s="121" t="n"/>
      <c r="F1214" s="121" t="n"/>
    </row>
    <row r="1215" ht="15" customHeight="1" s="145">
      <c r="E1215" s="121" t="n"/>
      <c r="F1215" s="121" t="n"/>
    </row>
    <row r="1216" ht="15" customHeight="1" s="145">
      <c r="E1216" s="121" t="n"/>
      <c r="F1216" s="121" t="n"/>
    </row>
    <row r="1217" ht="15" customHeight="1" s="145">
      <c r="E1217" s="121" t="n"/>
      <c r="F1217" s="121" t="n"/>
    </row>
    <row r="1218" ht="15" customHeight="1" s="145">
      <c r="E1218" s="121" t="n"/>
      <c r="F1218" s="121" t="n"/>
    </row>
    <row r="1219" ht="15" customHeight="1" s="145">
      <c r="E1219" s="121" t="n"/>
      <c r="F1219" s="121" t="n"/>
    </row>
    <row r="1220" ht="15" customHeight="1" s="145">
      <c r="E1220" s="121" t="n"/>
      <c r="F1220" s="121" t="n"/>
    </row>
    <row r="1221" ht="15" customHeight="1" s="145">
      <c r="E1221" s="121" t="n"/>
      <c r="F1221" s="121" t="n"/>
    </row>
    <row r="1222" ht="15" customHeight="1" s="145">
      <c r="E1222" s="121" t="n"/>
      <c r="F1222" s="121" t="n"/>
    </row>
    <row r="1223" ht="15" customHeight="1" s="145">
      <c r="E1223" s="121" t="n"/>
      <c r="F1223" s="121" t="n"/>
    </row>
    <row r="1224" ht="15" customHeight="1" s="145">
      <c r="E1224" s="121" t="n"/>
      <c r="F1224" s="121" t="n"/>
    </row>
    <row r="1225" ht="15" customHeight="1" s="145">
      <c r="E1225" s="121" t="n"/>
      <c r="F1225" s="121" t="n"/>
    </row>
    <row r="1226" ht="15" customHeight="1" s="145">
      <c r="E1226" s="121" t="n"/>
      <c r="F1226" s="121" t="n"/>
    </row>
    <row r="1227" ht="15" customHeight="1" s="145">
      <c r="E1227" s="121" t="n"/>
      <c r="F1227" s="121" t="n"/>
    </row>
    <row r="1228" ht="15" customHeight="1" s="145">
      <c r="E1228" s="121" t="n"/>
      <c r="F1228" s="121" t="n"/>
    </row>
    <row r="1229" ht="15" customHeight="1" s="145">
      <c r="E1229" s="121" t="n"/>
      <c r="F1229" s="121" t="n"/>
    </row>
    <row r="1230" ht="15" customHeight="1" s="145">
      <c r="E1230" s="121" t="n"/>
      <c r="F1230" s="121" t="n"/>
    </row>
    <row r="1231" ht="15" customHeight="1" s="145">
      <c r="E1231" s="121" t="n"/>
      <c r="F1231" s="121" t="n"/>
    </row>
    <row r="1232" ht="15" customHeight="1" s="145">
      <c r="E1232" s="121" t="n"/>
      <c r="F1232" s="121" t="n"/>
    </row>
    <row r="1233" ht="15" customHeight="1" s="145">
      <c r="E1233" s="121" t="n"/>
      <c r="F1233" s="121" t="n"/>
    </row>
    <row r="1234" ht="15" customHeight="1" s="145">
      <c r="E1234" s="121" t="n"/>
      <c r="F1234" s="121" t="n"/>
    </row>
    <row r="1235" ht="15" customHeight="1" s="145">
      <c r="E1235" s="121" t="n"/>
      <c r="F1235" s="121" t="n"/>
    </row>
    <row r="1236" ht="15" customHeight="1" s="145">
      <c r="E1236" s="121" t="n"/>
      <c r="F1236" s="121" t="n"/>
    </row>
    <row r="1237" ht="15" customHeight="1" s="145">
      <c r="E1237" s="121" t="n"/>
      <c r="F1237" s="121" t="n"/>
    </row>
    <row r="1238" ht="15" customHeight="1" s="145">
      <c r="E1238" s="121" t="n"/>
      <c r="F1238" s="121" t="n"/>
    </row>
    <row r="1239" ht="15" customHeight="1" s="145">
      <c r="E1239" s="121" t="n"/>
      <c r="F1239" s="121" t="n"/>
    </row>
    <row r="1240" ht="15" customHeight="1" s="145">
      <c r="E1240" s="121" t="n"/>
      <c r="F1240" s="121" t="n"/>
    </row>
    <row r="1241" ht="15" customHeight="1" s="145">
      <c r="E1241" s="121" t="n"/>
      <c r="F1241" s="121" t="n"/>
    </row>
    <row r="1242" ht="15" customHeight="1" s="145">
      <c r="E1242" s="121" t="n"/>
      <c r="F1242" s="121" t="n"/>
    </row>
    <row r="1243" ht="15" customHeight="1" s="145">
      <c r="E1243" s="121" t="n"/>
      <c r="F1243" s="121" t="n"/>
    </row>
    <row r="1244" ht="15" customHeight="1" s="145">
      <c r="E1244" s="121" t="n"/>
      <c r="F1244" s="121" t="n"/>
    </row>
    <row r="1245" ht="15" customHeight="1" s="145">
      <c r="E1245" s="121" t="n"/>
      <c r="F1245" s="121" t="n"/>
    </row>
    <row r="1246" ht="15" customHeight="1" s="145">
      <c r="E1246" s="121" t="n"/>
      <c r="F1246" s="121" t="n"/>
    </row>
    <row r="1247" ht="15" customHeight="1" s="145">
      <c r="E1247" s="121" t="n"/>
      <c r="F1247" s="121" t="n"/>
    </row>
    <row r="1248" ht="15" customHeight="1" s="145">
      <c r="E1248" s="121" t="n"/>
      <c r="F1248" s="121" t="n"/>
    </row>
    <row r="1249" ht="15" customHeight="1" s="145">
      <c r="E1249" s="121" t="n"/>
      <c r="F1249" s="121" t="n"/>
    </row>
    <row r="1250" ht="15" customHeight="1" s="145">
      <c r="E1250" s="121" t="n"/>
      <c r="F1250" s="121" t="n"/>
    </row>
    <row r="1251" ht="15" customHeight="1" s="145">
      <c r="E1251" s="121" t="n"/>
      <c r="F1251" s="121" t="n"/>
    </row>
    <row r="1252" ht="15" customHeight="1" s="145">
      <c r="E1252" s="121" t="n"/>
      <c r="F1252" s="121" t="n"/>
    </row>
    <row r="1253" ht="15" customHeight="1" s="145">
      <c r="E1253" s="121" t="n"/>
      <c r="F1253" s="121" t="n"/>
    </row>
    <row r="1254" ht="15" customHeight="1" s="145">
      <c r="E1254" s="121" t="n"/>
      <c r="F1254" s="121" t="n"/>
    </row>
    <row r="1255" ht="15" customHeight="1" s="145">
      <c r="E1255" s="121" t="n"/>
      <c r="F1255" s="121" t="n"/>
    </row>
    <row r="1256" ht="15" customHeight="1" s="145">
      <c r="E1256" s="121" t="n"/>
      <c r="F1256" s="121" t="n"/>
    </row>
    <row r="1257" ht="15" customHeight="1" s="145">
      <c r="E1257" s="121" t="n"/>
      <c r="F1257" s="121" t="n"/>
    </row>
    <row r="1258" ht="15" customHeight="1" s="145">
      <c r="E1258" s="121" t="n"/>
      <c r="F1258" s="121" t="n"/>
    </row>
    <row r="1259" ht="15" customHeight="1" s="145">
      <c r="E1259" s="121" t="n"/>
      <c r="F1259" s="121" t="n"/>
    </row>
    <row r="1260" ht="15" customHeight="1" s="145">
      <c r="E1260" s="121" t="n"/>
      <c r="F1260" s="121" t="n"/>
    </row>
    <row r="1261" ht="15" customHeight="1" s="145">
      <c r="E1261" s="121" t="n"/>
      <c r="F1261" s="121" t="n"/>
    </row>
    <row r="1262" ht="15" customHeight="1" s="145">
      <c r="E1262" s="121" t="n"/>
      <c r="F1262" s="121" t="n"/>
    </row>
    <row r="1263" ht="15" customHeight="1" s="145">
      <c r="E1263" s="121" t="n"/>
      <c r="F1263" s="121" t="n"/>
    </row>
    <row r="1264" ht="15" customHeight="1" s="145">
      <c r="E1264" s="121" t="n"/>
      <c r="F1264" s="121" t="n"/>
    </row>
    <row r="1265" ht="15" customHeight="1" s="145">
      <c r="E1265" s="121" t="n"/>
      <c r="F1265" s="121" t="n"/>
    </row>
    <row r="1266" ht="15" customHeight="1" s="145">
      <c r="E1266" s="121" t="n"/>
      <c r="F1266" s="121" t="n"/>
    </row>
    <row r="1267" ht="15" customHeight="1" s="145">
      <c r="E1267" s="121" t="n"/>
      <c r="F1267" s="121" t="n"/>
    </row>
    <row r="1268" ht="15" customHeight="1" s="145">
      <c r="E1268" s="121" t="n"/>
      <c r="F1268" s="121" t="n"/>
    </row>
    <row r="1269" ht="15" customHeight="1" s="145">
      <c r="E1269" s="121" t="n"/>
      <c r="F1269" s="121" t="n"/>
    </row>
    <row r="1270" ht="15" customHeight="1" s="145">
      <c r="E1270" s="121" t="n"/>
      <c r="F1270" s="121" t="n"/>
    </row>
    <row r="1271" ht="15" customHeight="1" s="145">
      <c r="E1271" s="121" t="n"/>
      <c r="F1271" s="121" t="n"/>
    </row>
    <row r="1272" ht="15" customHeight="1" s="145">
      <c r="E1272" s="121" t="n"/>
      <c r="F1272" s="121" t="n"/>
    </row>
    <row r="1273" ht="15" customHeight="1" s="145">
      <c r="E1273" s="121" t="n"/>
      <c r="F1273" s="121" t="n"/>
    </row>
    <row r="1274" ht="15" customHeight="1" s="145">
      <c r="E1274" s="121" t="n"/>
      <c r="F1274" s="121" t="n"/>
    </row>
    <row r="1275" ht="15" customHeight="1" s="145">
      <c r="E1275" s="121" t="n"/>
      <c r="F1275" s="121" t="n"/>
    </row>
    <row r="1276" ht="15" customHeight="1" s="145">
      <c r="E1276" s="121" t="n"/>
      <c r="F1276" s="121" t="n"/>
    </row>
    <row r="1277" ht="15" customHeight="1" s="145">
      <c r="E1277" s="121" t="n"/>
      <c r="F1277" s="121" t="n"/>
    </row>
    <row r="1278" ht="15" customHeight="1" s="145">
      <c r="E1278" s="121" t="n"/>
      <c r="F1278" s="121" t="n"/>
    </row>
    <row r="1279" ht="15" customHeight="1" s="145">
      <c r="E1279" s="121" t="n"/>
      <c r="F1279" s="121" t="n"/>
    </row>
    <row r="1280" ht="15" customHeight="1" s="145">
      <c r="E1280" s="121" t="n"/>
      <c r="F1280" s="121" t="n"/>
    </row>
    <row r="1281" ht="15" customHeight="1" s="145">
      <c r="E1281" s="121" t="n"/>
      <c r="F1281" s="121" t="n"/>
    </row>
    <row r="1282" ht="15" customHeight="1" s="145">
      <c r="E1282" s="121" t="n"/>
      <c r="F1282" s="121" t="n"/>
    </row>
    <row r="1283" ht="15" customHeight="1" s="145">
      <c r="E1283" s="121" t="n"/>
      <c r="F1283" s="121" t="n"/>
    </row>
    <row r="1284" ht="15" customHeight="1" s="145">
      <c r="E1284" s="121" t="n"/>
      <c r="F1284" s="121" t="n"/>
    </row>
    <row r="1285" ht="15" customHeight="1" s="145">
      <c r="E1285" s="121" t="n"/>
      <c r="F1285" s="121" t="n"/>
    </row>
    <row r="1286" ht="15" customHeight="1" s="145">
      <c r="E1286" s="121" t="n"/>
      <c r="F1286" s="121" t="n"/>
    </row>
    <row r="1287" ht="15" customHeight="1" s="145">
      <c r="E1287" s="121" t="n"/>
      <c r="F1287" s="121" t="n"/>
    </row>
    <row r="1288" ht="15" customHeight="1" s="145">
      <c r="E1288" s="121" t="n"/>
      <c r="F1288" s="121" t="n"/>
    </row>
    <row r="1289" ht="15" customHeight="1" s="145">
      <c r="E1289" s="121" t="n"/>
      <c r="F1289" s="121" t="n"/>
    </row>
    <row r="1290" ht="15" customHeight="1" s="145">
      <c r="E1290" s="121" t="n"/>
      <c r="F1290" s="121" t="n"/>
    </row>
    <row r="1291" ht="15" customHeight="1" s="145">
      <c r="E1291" s="121" t="n"/>
      <c r="F1291" s="121" t="n"/>
    </row>
    <row r="1292" ht="15" customHeight="1" s="145">
      <c r="E1292" s="121" t="n"/>
      <c r="F1292" s="121" t="n"/>
    </row>
    <row r="1293" ht="15" customHeight="1" s="145">
      <c r="E1293" s="121" t="n"/>
      <c r="F1293" s="121" t="n"/>
    </row>
    <row r="1294" ht="15" customHeight="1" s="145">
      <c r="E1294" s="121" t="n"/>
      <c r="F1294" s="121" t="n"/>
    </row>
    <row r="1295" ht="15" customHeight="1" s="145">
      <c r="E1295" s="121" t="n"/>
      <c r="F1295" s="121" t="n"/>
    </row>
    <row r="1296" ht="15" customHeight="1" s="145">
      <c r="E1296" s="121" t="n"/>
      <c r="F1296" s="121" t="n"/>
    </row>
    <row r="1297" ht="15" customHeight="1" s="145">
      <c r="E1297" s="121" t="n"/>
      <c r="F1297" s="121" t="n"/>
    </row>
    <row r="1298" ht="15" customHeight="1" s="145">
      <c r="E1298" s="121" t="n"/>
      <c r="F1298" s="121" t="n"/>
    </row>
    <row r="1299" ht="15" customHeight="1" s="145">
      <c r="E1299" s="121" t="n"/>
      <c r="F1299" s="121" t="n"/>
    </row>
    <row r="1300" ht="15" customHeight="1" s="145">
      <c r="E1300" s="121" t="n"/>
      <c r="F1300" s="121" t="n"/>
    </row>
    <row r="1301" ht="15" customHeight="1" s="145">
      <c r="E1301" s="121" t="n"/>
      <c r="F1301" s="121" t="n"/>
    </row>
    <row r="1302" ht="15" customHeight="1" s="145">
      <c r="E1302" s="121" t="n"/>
      <c r="F1302" s="121" t="n"/>
    </row>
    <row r="1303" ht="15" customHeight="1" s="145">
      <c r="E1303" s="121" t="n"/>
      <c r="F1303" s="121" t="n"/>
    </row>
    <row r="1304" ht="15" customHeight="1" s="145">
      <c r="E1304" s="121" t="n"/>
      <c r="F1304" s="121" t="n"/>
    </row>
    <row r="1305" ht="15" customHeight="1" s="145">
      <c r="E1305" s="121" t="n"/>
      <c r="F1305" s="121" t="n"/>
    </row>
    <row r="1306" ht="15" customHeight="1" s="145">
      <c r="E1306" s="121" t="n"/>
      <c r="F1306" s="121" t="n"/>
    </row>
    <row r="1307" ht="15" customHeight="1" s="145">
      <c r="E1307" s="121" t="n"/>
      <c r="F1307" s="121" t="n"/>
    </row>
    <row r="1308" ht="15" customHeight="1" s="145">
      <c r="E1308" s="121" t="n"/>
      <c r="F1308" s="121" t="n"/>
    </row>
    <row r="1309" ht="15" customHeight="1" s="145">
      <c r="E1309" s="121" t="n"/>
      <c r="F1309" s="121" t="n"/>
    </row>
    <row r="1310" ht="15" customHeight="1" s="145">
      <c r="E1310" s="121" t="n"/>
      <c r="F1310" s="121" t="n"/>
    </row>
    <row r="1311" ht="15" customHeight="1" s="145">
      <c r="E1311" s="121" t="n"/>
      <c r="F1311" s="121" t="n"/>
    </row>
    <row r="1312" ht="15" customHeight="1" s="145">
      <c r="E1312" s="121" t="n"/>
      <c r="F1312" s="121" t="n"/>
    </row>
    <row r="1313" ht="15" customHeight="1" s="145">
      <c r="E1313" s="121" t="n"/>
      <c r="F1313" s="121" t="n"/>
    </row>
    <row r="1314" ht="15" customHeight="1" s="145">
      <c r="E1314" s="121" t="n"/>
      <c r="F1314" s="121" t="n"/>
    </row>
    <row r="1315" ht="15" customHeight="1" s="145">
      <c r="E1315" s="121" t="n"/>
      <c r="F1315" s="121" t="n"/>
    </row>
    <row r="1316" ht="15" customHeight="1" s="145">
      <c r="E1316" s="121" t="n"/>
      <c r="F1316" s="121" t="n"/>
    </row>
    <row r="1317" ht="15" customHeight="1" s="145">
      <c r="E1317" s="121" t="n"/>
      <c r="F1317" s="121" t="n"/>
    </row>
    <row r="1318" ht="15" customHeight="1" s="145">
      <c r="E1318" s="121" t="n"/>
      <c r="F1318" s="121" t="n"/>
    </row>
    <row r="1319" ht="15" customHeight="1" s="145">
      <c r="E1319" s="121" t="n"/>
      <c r="F1319" s="121" t="n"/>
    </row>
    <row r="1320" ht="15" customHeight="1" s="145">
      <c r="E1320" s="121" t="n"/>
      <c r="F1320" s="121" t="n"/>
    </row>
    <row r="1321" ht="15" customHeight="1" s="145">
      <c r="E1321" s="121" t="n"/>
      <c r="F1321" s="121" t="n"/>
    </row>
    <row r="1322" ht="15" customHeight="1" s="145">
      <c r="E1322" s="121" t="n"/>
      <c r="F1322" s="121" t="n"/>
    </row>
    <row r="1323" ht="15" customHeight="1" s="145">
      <c r="E1323" s="121" t="n"/>
      <c r="F1323" s="121" t="n"/>
    </row>
    <row r="1324" ht="15" customHeight="1" s="145">
      <c r="E1324" s="121" t="n"/>
      <c r="F1324" s="121" t="n"/>
    </row>
    <row r="1325" ht="15" customHeight="1" s="145">
      <c r="E1325" s="121" t="n"/>
      <c r="F1325" s="121" t="n"/>
    </row>
    <row r="1326" ht="15" customHeight="1" s="145">
      <c r="E1326" s="121" t="n"/>
      <c r="F1326" s="121" t="n"/>
    </row>
    <row r="1327" ht="15" customHeight="1" s="145">
      <c r="E1327" s="121" t="n"/>
      <c r="F1327" s="121" t="n"/>
    </row>
    <row r="1328" ht="15" customHeight="1" s="145">
      <c r="E1328" s="121" t="n"/>
      <c r="F1328" s="121" t="n"/>
    </row>
    <row r="1329" ht="15" customHeight="1" s="145">
      <c r="E1329" s="121" t="n"/>
      <c r="F1329" s="121" t="n"/>
    </row>
    <row r="1330" ht="15" customHeight="1" s="145">
      <c r="E1330" s="121" t="n"/>
      <c r="F1330" s="121" t="n"/>
    </row>
    <row r="1331" ht="15" customHeight="1" s="145">
      <c r="E1331" s="121" t="n"/>
      <c r="F1331" s="121" t="n"/>
    </row>
    <row r="1332" ht="15" customHeight="1" s="145">
      <c r="E1332" s="121" t="n"/>
      <c r="F1332" s="121" t="n"/>
    </row>
    <row r="1333" ht="15" customHeight="1" s="145">
      <c r="E1333" s="121" t="n"/>
      <c r="F1333" s="121" t="n"/>
    </row>
    <row r="1334" ht="15" customHeight="1" s="145">
      <c r="E1334" s="121" t="n"/>
      <c r="F1334" s="121" t="n"/>
    </row>
    <row r="1335" ht="15" customHeight="1" s="145">
      <c r="E1335" s="121" t="n"/>
      <c r="F1335" s="121" t="n"/>
    </row>
    <row r="1336" ht="15" customHeight="1" s="145">
      <c r="E1336" s="121" t="n"/>
      <c r="F1336" s="121" t="n"/>
    </row>
    <row r="1337" ht="15" customHeight="1" s="145">
      <c r="E1337" s="121" t="n"/>
      <c r="F1337" s="121" t="n"/>
    </row>
    <row r="1338" ht="15" customHeight="1" s="145">
      <c r="E1338" s="121" t="n"/>
      <c r="F1338" s="121" t="n"/>
    </row>
    <row r="1339" ht="15" customHeight="1" s="145">
      <c r="E1339" s="121" t="n"/>
      <c r="F1339" s="121" t="n"/>
    </row>
    <row r="1340" ht="15" customHeight="1" s="145">
      <c r="E1340" s="121" t="n"/>
      <c r="F1340" s="121" t="n"/>
    </row>
    <row r="1341" ht="15" customHeight="1" s="145">
      <c r="E1341" s="121" t="n"/>
      <c r="F1341" s="121" t="n"/>
    </row>
    <row r="1342" ht="15" customHeight="1" s="145">
      <c r="E1342" s="121" t="n"/>
      <c r="F1342" s="121" t="n"/>
    </row>
    <row r="1343" ht="15" customHeight="1" s="145">
      <c r="E1343" s="121" t="n"/>
      <c r="F1343" s="121" t="n"/>
    </row>
    <row r="1344" ht="15" customHeight="1" s="145">
      <c r="E1344" s="121" t="n"/>
      <c r="F1344" s="121" t="n"/>
    </row>
    <row r="1345" ht="15" customHeight="1" s="145">
      <c r="E1345" s="121" t="n"/>
      <c r="F1345" s="121" t="n"/>
    </row>
    <row r="1346" ht="15" customHeight="1" s="145">
      <c r="E1346" s="121" t="n"/>
      <c r="F1346" s="121" t="n"/>
    </row>
    <row r="1347" ht="15" customHeight="1" s="145">
      <c r="E1347" s="121" t="n"/>
      <c r="F1347" s="121" t="n"/>
    </row>
    <row r="1348" ht="15" customHeight="1" s="145">
      <c r="E1348" s="121" t="n"/>
      <c r="F1348" s="121" t="n"/>
    </row>
    <row r="1349" ht="15" customHeight="1" s="145">
      <c r="E1349" s="121" t="n"/>
      <c r="F1349" s="121" t="n"/>
    </row>
    <row r="1350" ht="15" customHeight="1" s="145">
      <c r="E1350" s="121" t="n"/>
      <c r="F1350" s="121" t="n"/>
    </row>
    <row r="1351" ht="15" customHeight="1" s="145">
      <c r="E1351" s="121" t="n"/>
      <c r="F1351" s="121" t="n"/>
    </row>
    <row r="1352" ht="15" customHeight="1" s="145">
      <c r="E1352" s="121" t="n"/>
      <c r="F1352" s="121" t="n"/>
    </row>
    <row r="1353" ht="15" customHeight="1" s="145">
      <c r="E1353" s="121" t="n"/>
      <c r="F1353" s="121" t="n"/>
    </row>
    <row r="1354" ht="15" customHeight="1" s="145">
      <c r="E1354" s="121" t="n"/>
      <c r="F1354" s="121" t="n"/>
    </row>
    <row r="1355" ht="15" customHeight="1" s="145">
      <c r="E1355" s="121" t="n"/>
      <c r="F1355" s="121" t="n"/>
    </row>
    <row r="1356" ht="15" customHeight="1" s="145">
      <c r="E1356" s="121" t="n"/>
      <c r="F1356" s="121" t="n"/>
    </row>
    <row r="1357" ht="15" customHeight="1" s="145">
      <c r="E1357" s="121" t="n"/>
      <c r="F1357" s="121" t="n"/>
    </row>
    <row r="1358" ht="15" customHeight="1" s="145">
      <c r="E1358" s="121" t="n"/>
      <c r="F1358" s="121" t="n"/>
    </row>
    <row r="1359" ht="15" customHeight="1" s="145">
      <c r="E1359" s="121" t="n"/>
      <c r="F1359" s="121" t="n"/>
    </row>
    <row r="1360" ht="15" customHeight="1" s="145">
      <c r="E1360" s="121" t="n"/>
      <c r="F1360" s="121" t="n"/>
    </row>
    <row r="1361" ht="15" customHeight="1" s="145">
      <c r="E1361" s="121" t="n"/>
      <c r="F1361" s="121" t="n"/>
    </row>
    <row r="1362" ht="15" customHeight="1" s="145">
      <c r="E1362" s="121" t="n"/>
      <c r="F1362" s="121" t="n"/>
    </row>
    <row r="1363" ht="15" customHeight="1" s="145">
      <c r="E1363" s="121" t="n"/>
      <c r="F1363" s="121" t="n"/>
    </row>
    <row r="1364" ht="15" customHeight="1" s="145">
      <c r="E1364" s="121" t="n"/>
      <c r="F1364" s="121" t="n"/>
    </row>
    <row r="1365" ht="15" customHeight="1" s="145">
      <c r="E1365" s="121" t="n"/>
      <c r="F1365" s="121" t="n"/>
    </row>
    <row r="1366" ht="15" customHeight="1" s="145">
      <c r="E1366" s="121" t="n"/>
      <c r="F1366" s="121" t="n"/>
    </row>
    <row r="1367" ht="15" customHeight="1" s="145">
      <c r="E1367" s="121" t="n"/>
      <c r="F1367" s="121" t="n"/>
    </row>
    <row r="1368" ht="15" customHeight="1" s="145">
      <c r="E1368" s="121" t="n"/>
      <c r="F1368" s="121" t="n"/>
    </row>
    <row r="1369" ht="15" customHeight="1" s="145">
      <c r="E1369" s="121" t="n"/>
      <c r="F1369" s="121" t="n"/>
    </row>
    <row r="1370" ht="15" customHeight="1" s="145">
      <c r="E1370" s="121" t="n"/>
      <c r="F1370" s="121" t="n"/>
    </row>
    <row r="1371" ht="15" customHeight="1" s="145">
      <c r="E1371" s="121" t="n"/>
      <c r="F1371" s="121" t="n"/>
    </row>
    <row r="1372" ht="15" customHeight="1" s="145">
      <c r="E1372" s="121" t="n"/>
      <c r="F1372" s="121" t="n"/>
    </row>
    <row r="1373" ht="15" customHeight="1" s="145">
      <c r="E1373" s="121" t="n"/>
      <c r="F1373" s="121" t="n"/>
    </row>
    <row r="1374" ht="15" customHeight="1" s="145">
      <c r="E1374" s="121" t="n"/>
      <c r="F1374" s="121" t="n"/>
    </row>
    <row r="1375" ht="15" customHeight="1" s="145">
      <c r="E1375" s="121" t="n"/>
      <c r="F1375" s="121" t="n"/>
    </row>
    <row r="1376" ht="15" customHeight="1" s="145">
      <c r="E1376" s="121" t="n"/>
      <c r="F1376" s="121" t="n"/>
    </row>
    <row r="1377" ht="15" customHeight="1" s="145">
      <c r="E1377" s="121" t="n"/>
      <c r="F1377" s="121" t="n"/>
    </row>
    <row r="1378" ht="15" customHeight="1" s="145">
      <c r="E1378" s="121" t="n"/>
      <c r="F1378" s="121" t="n"/>
    </row>
    <row r="1379" ht="15" customHeight="1" s="145">
      <c r="E1379" s="121" t="n"/>
      <c r="F1379" s="121" t="n"/>
    </row>
    <row r="1380" ht="15" customHeight="1" s="145">
      <c r="E1380" s="121" t="n"/>
      <c r="F1380" s="121" t="n"/>
    </row>
    <row r="1381" ht="15" customHeight="1" s="145">
      <c r="E1381" s="121" t="n"/>
      <c r="F1381" s="121" t="n"/>
    </row>
    <row r="1382" ht="15" customHeight="1" s="145">
      <c r="E1382" s="121" t="n"/>
      <c r="F1382" s="121" t="n"/>
    </row>
    <row r="1383" ht="15" customHeight="1" s="145">
      <c r="E1383" s="121" t="n"/>
      <c r="F1383" s="121" t="n"/>
    </row>
    <row r="1384" ht="15" customHeight="1" s="145">
      <c r="E1384" s="121" t="n"/>
      <c r="F1384" s="121" t="n"/>
    </row>
    <row r="1385" ht="15" customHeight="1" s="145">
      <c r="E1385" s="121" t="n"/>
      <c r="F1385" s="121" t="n"/>
    </row>
    <row r="1386" ht="15" customHeight="1" s="145">
      <c r="E1386" s="121" t="n"/>
      <c r="F1386" s="121" t="n"/>
    </row>
    <row r="1387" ht="15" customHeight="1" s="145">
      <c r="E1387" s="121" t="n"/>
      <c r="F1387" s="121" t="n"/>
    </row>
    <row r="1388" ht="15" customHeight="1" s="145">
      <c r="E1388" s="121" t="n"/>
      <c r="F1388" s="121" t="n"/>
    </row>
    <row r="1389" ht="15" customHeight="1" s="145">
      <c r="E1389" s="121" t="n"/>
      <c r="F1389" s="121" t="n"/>
    </row>
    <row r="1390" ht="15" customHeight="1" s="145">
      <c r="E1390" s="121" t="n"/>
      <c r="F1390" s="121" t="n"/>
    </row>
    <row r="1391" ht="15" customHeight="1" s="145">
      <c r="E1391" s="121" t="n"/>
      <c r="F1391" s="121" t="n"/>
    </row>
    <row r="1392" ht="15" customHeight="1" s="145">
      <c r="E1392" s="121" t="n"/>
      <c r="F1392" s="121" t="n"/>
    </row>
    <row r="1393" ht="15" customHeight="1" s="145">
      <c r="E1393" s="121" t="n"/>
      <c r="F1393" s="121" t="n"/>
    </row>
    <row r="1394" ht="15" customHeight="1" s="145">
      <c r="E1394" s="121" t="n"/>
      <c r="F1394" s="121" t="n"/>
    </row>
    <row r="1395" ht="15" customHeight="1" s="145">
      <c r="E1395" s="121" t="n"/>
      <c r="F1395" s="121" t="n"/>
    </row>
    <row r="1396" ht="15" customHeight="1" s="145">
      <c r="E1396" s="121" t="n"/>
      <c r="F1396" s="121" t="n"/>
    </row>
    <row r="1397" ht="15" customHeight="1" s="145">
      <c r="E1397" s="121" t="n"/>
      <c r="F1397" s="121" t="n"/>
    </row>
    <row r="1398" ht="15" customHeight="1" s="145">
      <c r="E1398" s="121" t="n"/>
      <c r="F1398" s="121" t="n"/>
    </row>
    <row r="1399" ht="15" customHeight="1" s="145">
      <c r="E1399" s="121" t="n"/>
      <c r="F1399" s="121" t="n"/>
    </row>
    <row r="1400" ht="15" customHeight="1" s="145">
      <c r="E1400" s="121" t="n"/>
      <c r="F1400" s="121" t="n"/>
    </row>
    <row r="1401" ht="15" customHeight="1" s="145">
      <c r="E1401" s="121" t="n"/>
      <c r="F1401" s="121" t="n"/>
    </row>
    <row r="1402" ht="15" customHeight="1" s="145">
      <c r="E1402" s="121" t="n"/>
      <c r="F1402" s="121" t="n"/>
    </row>
    <row r="1403" ht="15" customHeight="1" s="145">
      <c r="E1403" s="121" t="n"/>
      <c r="F1403" s="121" t="n"/>
    </row>
    <row r="1404" ht="15" customHeight="1" s="145">
      <c r="E1404" s="121" t="n"/>
      <c r="F1404" s="121" t="n"/>
    </row>
    <row r="1405" ht="15" customHeight="1" s="145">
      <c r="E1405" s="121" t="n"/>
      <c r="F1405" s="121" t="n"/>
    </row>
    <row r="1406" ht="15" customHeight="1" s="145">
      <c r="E1406" s="121" t="n"/>
      <c r="F1406" s="121" t="n"/>
    </row>
    <row r="1407" ht="15" customHeight="1" s="145">
      <c r="E1407" s="121" t="n"/>
      <c r="F1407" s="121" t="n"/>
    </row>
    <row r="1408" ht="15" customHeight="1" s="145">
      <c r="E1408" s="121" t="n"/>
      <c r="F1408" s="121" t="n"/>
    </row>
    <row r="1409" ht="15" customHeight="1" s="145">
      <c r="E1409" s="121" t="n"/>
      <c r="F1409" s="121" t="n"/>
    </row>
    <row r="1410" ht="15" customHeight="1" s="145">
      <c r="E1410" s="121" t="n"/>
      <c r="F1410" s="121" t="n"/>
    </row>
    <row r="1411" ht="15" customHeight="1" s="145">
      <c r="E1411" s="121" t="n"/>
      <c r="F1411" s="121" t="n"/>
    </row>
    <row r="1412" ht="15" customHeight="1" s="145">
      <c r="E1412" s="121" t="n"/>
      <c r="F1412" s="121" t="n"/>
    </row>
    <row r="1413" ht="15" customHeight="1" s="145">
      <c r="E1413" s="121" t="n"/>
      <c r="F1413" s="121" t="n"/>
    </row>
    <row r="1414" ht="15" customHeight="1" s="145">
      <c r="E1414" s="121" t="n"/>
      <c r="F1414" s="121" t="n"/>
    </row>
    <row r="1415" ht="15" customHeight="1" s="145">
      <c r="E1415" s="121" t="n"/>
      <c r="F1415" s="121" t="n"/>
    </row>
    <row r="1416" ht="15" customHeight="1" s="145">
      <c r="E1416" s="121" t="n"/>
      <c r="F1416" s="121" t="n"/>
    </row>
    <row r="1417" ht="15" customHeight="1" s="145">
      <c r="E1417" s="121" t="n"/>
      <c r="F1417" s="121" t="n"/>
    </row>
    <row r="1418" ht="15" customHeight="1" s="145">
      <c r="E1418" s="121" t="n"/>
      <c r="F1418" s="121" t="n"/>
    </row>
    <row r="1419" ht="15" customHeight="1" s="145">
      <c r="E1419" s="121" t="n"/>
      <c r="F1419" s="121" t="n"/>
    </row>
    <row r="1420" ht="15" customHeight="1" s="145">
      <c r="E1420" s="121" t="n"/>
      <c r="F1420" s="121" t="n"/>
    </row>
    <row r="1421" ht="15" customHeight="1" s="145">
      <c r="E1421" s="121" t="n"/>
      <c r="F1421" s="121" t="n"/>
    </row>
    <row r="1422" ht="15" customHeight="1" s="145">
      <c r="E1422" s="121" t="n"/>
      <c r="F1422" s="121" t="n"/>
    </row>
    <row r="1423" ht="15" customHeight="1" s="145">
      <c r="E1423" s="121" t="n"/>
      <c r="F1423" s="121" t="n"/>
    </row>
    <row r="1424" ht="15" customHeight="1" s="145">
      <c r="E1424" s="121" t="n"/>
      <c r="F1424" s="121" t="n"/>
    </row>
    <row r="1425" ht="15" customHeight="1" s="145">
      <c r="E1425" s="121" t="n"/>
      <c r="F1425" s="121" t="n"/>
    </row>
    <row r="1426" ht="15" customHeight="1" s="145">
      <c r="E1426" s="121" t="n"/>
      <c r="F1426" s="121" t="n"/>
    </row>
    <row r="1427" ht="15" customHeight="1" s="145">
      <c r="E1427" s="121" t="n"/>
      <c r="F1427" s="121" t="n"/>
    </row>
    <row r="1428" ht="15" customHeight="1" s="145">
      <c r="E1428" s="121" t="n"/>
      <c r="F1428" s="121" t="n"/>
    </row>
    <row r="1429" ht="15" customHeight="1" s="145">
      <c r="E1429" s="121" t="n"/>
      <c r="F1429" s="121" t="n"/>
    </row>
    <row r="1430" ht="15" customHeight="1" s="145">
      <c r="E1430" s="121" t="n"/>
      <c r="F1430" s="121" t="n"/>
    </row>
    <row r="1431" ht="15" customHeight="1" s="145">
      <c r="E1431" s="121" t="n"/>
      <c r="F1431" s="121" t="n"/>
    </row>
    <row r="1432" ht="15" customHeight="1" s="145">
      <c r="E1432" s="121" t="n"/>
      <c r="F1432" s="121" t="n"/>
    </row>
    <row r="1433" ht="15" customHeight="1" s="145">
      <c r="E1433" s="121" t="n"/>
      <c r="F1433" s="121" t="n"/>
    </row>
    <row r="1434" ht="15" customHeight="1" s="145">
      <c r="E1434" s="121" t="n"/>
      <c r="F1434" s="121" t="n"/>
    </row>
    <row r="1435" ht="15" customHeight="1" s="145">
      <c r="E1435" s="121" t="n"/>
      <c r="F1435" s="121" t="n"/>
    </row>
    <row r="1436" ht="15" customHeight="1" s="145">
      <c r="E1436" s="121" t="n"/>
      <c r="F1436" s="121" t="n"/>
    </row>
    <row r="1437" ht="15" customHeight="1" s="145">
      <c r="E1437" s="121" t="n"/>
      <c r="F1437" s="121" t="n"/>
    </row>
    <row r="1438" ht="15" customHeight="1" s="145">
      <c r="E1438" s="121" t="n"/>
      <c r="F1438" s="121" t="n"/>
    </row>
    <row r="1439" ht="15" customHeight="1" s="145">
      <c r="E1439" s="121" t="n"/>
      <c r="F1439" s="121" t="n"/>
    </row>
    <row r="1440" ht="15" customHeight="1" s="145">
      <c r="E1440" s="121" t="n"/>
      <c r="F1440" s="121" t="n"/>
    </row>
    <row r="1441" ht="15" customHeight="1" s="145">
      <c r="E1441" s="121" t="n"/>
      <c r="F1441" s="121" t="n"/>
    </row>
    <row r="1442" ht="15" customHeight="1" s="145">
      <c r="E1442" s="121" t="n"/>
      <c r="F1442" s="121" t="n"/>
    </row>
    <row r="1443" ht="15" customHeight="1" s="145">
      <c r="E1443" s="121" t="n"/>
      <c r="F1443" s="121" t="n"/>
    </row>
    <row r="1444" ht="15" customHeight="1" s="145">
      <c r="E1444" s="121" t="n"/>
      <c r="F1444" s="121" t="n"/>
    </row>
    <row r="1445" ht="15" customHeight="1" s="145">
      <c r="E1445" s="121" t="n"/>
      <c r="F1445" s="121" t="n"/>
    </row>
    <row r="1446" ht="15" customHeight="1" s="145">
      <c r="E1446" s="121" t="n"/>
      <c r="F1446" s="121" t="n"/>
    </row>
    <row r="1447" ht="15" customHeight="1" s="145">
      <c r="E1447" s="121" t="n"/>
      <c r="F1447" s="121" t="n"/>
    </row>
    <row r="1448" ht="15" customHeight="1" s="145">
      <c r="E1448" s="121" t="n"/>
      <c r="F1448" s="121" t="n"/>
    </row>
    <row r="1449" ht="15" customHeight="1" s="145">
      <c r="E1449" s="121" t="n"/>
      <c r="F1449" s="121" t="n"/>
    </row>
    <row r="1450" ht="15" customHeight="1" s="145">
      <c r="E1450" s="121" t="n"/>
      <c r="F1450" s="121" t="n"/>
    </row>
    <row r="1451" ht="15" customHeight="1" s="145">
      <c r="E1451" s="121" t="n"/>
      <c r="F1451" s="121" t="n"/>
    </row>
    <row r="1452" ht="15" customHeight="1" s="145">
      <c r="E1452" s="121" t="n"/>
      <c r="F1452" s="121" t="n"/>
    </row>
    <row r="1453" ht="15" customHeight="1" s="145">
      <c r="E1453" s="121" t="n"/>
      <c r="F1453" s="121" t="n"/>
    </row>
    <row r="1454" ht="15" customHeight="1" s="145">
      <c r="E1454" s="121" t="n"/>
      <c r="F1454" s="121" t="n"/>
    </row>
    <row r="1455" ht="15" customHeight="1" s="145">
      <c r="E1455" s="121" t="n"/>
      <c r="F1455" s="121" t="n"/>
    </row>
    <row r="1456" ht="15" customHeight="1" s="145">
      <c r="E1456" s="121" t="n"/>
      <c r="F1456" s="121" t="n"/>
    </row>
    <row r="1457" ht="15" customHeight="1" s="145">
      <c r="E1457" s="121" t="n"/>
      <c r="F1457" s="121" t="n"/>
    </row>
    <row r="1458" ht="15" customHeight="1" s="145">
      <c r="E1458" s="121" t="n"/>
      <c r="F1458" s="121" t="n"/>
    </row>
    <row r="1459" ht="15" customHeight="1" s="145">
      <c r="E1459" s="121" t="n"/>
      <c r="F1459" s="121" t="n"/>
    </row>
    <row r="1460" ht="15" customHeight="1" s="145">
      <c r="E1460" s="121" t="n"/>
      <c r="F1460" s="121" t="n"/>
    </row>
    <row r="1461" ht="15" customHeight="1" s="145">
      <c r="E1461" s="121" t="n"/>
      <c r="F1461" s="121" t="n"/>
    </row>
    <row r="1462" ht="15" customHeight="1" s="145">
      <c r="E1462" s="121" t="n"/>
      <c r="F1462" s="121" t="n"/>
    </row>
    <row r="1463" ht="15" customHeight="1" s="145">
      <c r="E1463" s="121" t="n"/>
      <c r="F1463" s="121" t="n"/>
    </row>
    <row r="1464" ht="15" customHeight="1" s="145">
      <c r="E1464" s="121" t="n"/>
      <c r="F1464" s="121" t="n"/>
    </row>
    <row r="1465" ht="15" customHeight="1" s="145">
      <c r="E1465" s="121" t="n"/>
      <c r="F1465" s="121" t="n"/>
    </row>
    <row r="1466" ht="15" customHeight="1" s="145">
      <c r="E1466" s="121" t="n"/>
      <c r="F1466" s="121" t="n"/>
    </row>
    <row r="1467" ht="15" customHeight="1" s="145">
      <c r="E1467" s="121" t="n"/>
      <c r="F1467" s="121" t="n"/>
    </row>
    <row r="1468" ht="15" customHeight="1" s="145">
      <c r="E1468" s="121" t="n"/>
      <c r="F1468" s="121" t="n"/>
    </row>
    <row r="1469" ht="15" customHeight="1" s="145">
      <c r="E1469" s="121" t="n"/>
      <c r="F1469" s="121" t="n"/>
    </row>
    <row r="1470" ht="15" customHeight="1" s="145">
      <c r="E1470" s="121" t="n"/>
      <c r="F1470" s="121" t="n"/>
    </row>
    <row r="1471" ht="15" customHeight="1" s="145">
      <c r="E1471" s="121" t="n"/>
      <c r="F1471" s="121" t="n"/>
    </row>
    <row r="1472" ht="15" customHeight="1" s="145">
      <c r="E1472" s="121" t="n"/>
      <c r="F1472" s="121" t="n"/>
    </row>
    <row r="1473" ht="15" customHeight="1" s="145">
      <c r="E1473" s="121" t="n"/>
      <c r="F1473" s="121" t="n"/>
    </row>
    <row r="1474" ht="15" customHeight="1" s="145">
      <c r="E1474" s="121" t="n"/>
      <c r="F1474" s="121" t="n"/>
    </row>
    <row r="1475" ht="15" customHeight="1" s="145">
      <c r="E1475" s="121" t="n"/>
      <c r="F1475" s="121" t="n"/>
    </row>
    <row r="1476" ht="15" customHeight="1" s="145">
      <c r="E1476" s="121" t="n"/>
      <c r="F1476" s="121" t="n"/>
    </row>
    <row r="1477" ht="15" customHeight="1" s="145">
      <c r="E1477" s="121" t="n"/>
      <c r="F1477" s="121" t="n"/>
    </row>
    <row r="1478" ht="15" customHeight="1" s="145">
      <c r="E1478" s="121" t="n"/>
      <c r="F1478" s="121" t="n"/>
    </row>
    <row r="1479" ht="15" customHeight="1" s="145">
      <c r="E1479" s="121" t="n"/>
      <c r="F1479" s="121" t="n"/>
    </row>
    <row r="1480" ht="15" customHeight="1" s="145">
      <c r="E1480" s="121" t="n"/>
      <c r="F1480" s="121" t="n"/>
    </row>
    <row r="1481" ht="15" customHeight="1" s="145">
      <c r="E1481" s="121" t="n"/>
      <c r="F1481" s="121" t="n"/>
    </row>
    <row r="1482" ht="15" customHeight="1" s="145">
      <c r="E1482" s="121" t="n"/>
      <c r="F1482" s="121" t="n"/>
    </row>
    <row r="1483" ht="15" customHeight="1" s="145">
      <c r="E1483" s="121" t="n"/>
      <c r="F1483" s="121" t="n"/>
    </row>
    <row r="1484" ht="15" customHeight="1" s="145">
      <c r="E1484" s="121" t="n"/>
      <c r="F1484" s="121" t="n"/>
    </row>
    <row r="1485" ht="15" customHeight="1" s="145">
      <c r="E1485" s="121" t="n"/>
      <c r="F1485" s="121" t="n"/>
    </row>
    <row r="1486" ht="15" customHeight="1" s="145">
      <c r="E1486" s="121" t="n"/>
      <c r="F1486" s="121" t="n"/>
    </row>
    <row r="1487" ht="15" customHeight="1" s="145">
      <c r="E1487" s="121" t="n"/>
      <c r="F1487" s="121" t="n"/>
    </row>
    <row r="1488" ht="15" customHeight="1" s="145">
      <c r="E1488" s="121" t="n"/>
      <c r="F1488" s="121" t="n"/>
    </row>
    <row r="1489" ht="15" customHeight="1" s="145">
      <c r="E1489" s="121" t="n"/>
      <c r="F1489" s="121" t="n"/>
    </row>
    <row r="1490" ht="15" customHeight="1" s="145">
      <c r="E1490" s="121" t="n"/>
      <c r="F1490" s="121" t="n"/>
    </row>
    <row r="1491" ht="15" customHeight="1" s="145">
      <c r="E1491" s="121" t="n"/>
      <c r="F1491" s="121" t="n"/>
    </row>
    <row r="1492" ht="15" customHeight="1" s="145">
      <c r="E1492" s="121" t="n"/>
      <c r="F1492" s="121" t="n"/>
    </row>
    <row r="1493" ht="15" customHeight="1" s="145">
      <c r="E1493" s="121" t="n"/>
      <c r="F1493" s="121" t="n"/>
    </row>
    <row r="1494" ht="15" customHeight="1" s="145">
      <c r="E1494" s="121" t="n"/>
      <c r="F1494" s="121" t="n"/>
    </row>
    <row r="1495" ht="15" customHeight="1" s="145">
      <c r="E1495" s="121" t="n"/>
      <c r="F1495" s="121" t="n"/>
    </row>
    <row r="1496" ht="15" customHeight="1" s="145">
      <c r="E1496" s="121" t="n"/>
      <c r="F1496" s="121" t="n"/>
    </row>
    <row r="1497" ht="15" customHeight="1" s="145">
      <c r="E1497" s="121" t="n"/>
      <c r="F1497" s="121" t="n"/>
    </row>
    <row r="1498" ht="15" customHeight="1" s="145">
      <c r="E1498" s="121" t="n"/>
      <c r="F1498" s="121" t="n"/>
    </row>
    <row r="1499" ht="15" customHeight="1" s="145">
      <c r="E1499" s="121" t="n"/>
      <c r="F1499" s="121" t="n"/>
    </row>
    <row r="1500" ht="15" customHeight="1" s="145">
      <c r="E1500" s="121" t="n"/>
      <c r="F1500" s="121" t="n"/>
    </row>
    <row r="1501" ht="15" customHeight="1" s="145">
      <c r="E1501" s="121" t="n"/>
      <c r="F1501" s="121" t="n"/>
    </row>
    <row r="1502" ht="15" customHeight="1" s="145">
      <c r="E1502" s="121" t="n"/>
      <c r="F1502" s="121" t="n"/>
    </row>
    <row r="1503" ht="15" customHeight="1" s="145">
      <c r="E1503" s="121" t="n"/>
      <c r="F1503" s="121" t="n"/>
    </row>
    <row r="1504" ht="15" customHeight="1" s="145">
      <c r="E1504" s="121" t="n"/>
      <c r="F1504" s="121" t="n"/>
    </row>
    <row r="1505" ht="15" customHeight="1" s="145">
      <c r="E1505" s="121" t="n"/>
      <c r="F1505" s="121" t="n"/>
    </row>
    <row r="1506" ht="15" customHeight="1" s="145">
      <c r="E1506" s="121" t="n"/>
      <c r="F1506" s="121" t="n"/>
    </row>
    <row r="1507" ht="15" customHeight="1" s="145">
      <c r="E1507" s="121" t="n"/>
      <c r="F1507" s="121" t="n"/>
    </row>
    <row r="1508" ht="15" customHeight="1" s="145">
      <c r="E1508" s="121" t="n"/>
      <c r="F1508" s="121" t="n"/>
    </row>
    <row r="1509" ht="15" customHeight="1" s="145">
      <c r="E1509" s="121" t="n"/>
      <c r="F1509" s="121" t="n"/>
    </row>
    <row r="1510" ht="15" customHeight="1" s="145">
      <c r="E1510" s="121" t="n"/>
      <c r="F1510" s="121" t="n"/>
    </row>
    <row r="1511" ht="15" customHeight="1" s="145">
      <c r="E1511" s="121" t="n"/>
      <c r="F1511" s="121" t="n"/>
    </row>
    <row r="1512" ht="15" customHeight="1" s="145">
      <c r="E1512" s="121" t="n"/>
      <c r="F1512" s="121" t="n"/>
    </row>
    <row r="1513" ht="15" customHeight="1" s="145">
      <c r="E1513" s="121" t="n"/>
      <c r="F1513" s="121" t="n"/>
    </row>
    <row r="1514" ht="15" customHeight="1" s="145">
      <c r="E1514" s="121" t="n"/>
      <c r="F1514" s="121" t="n"/>
    </row>
    <row r="1515" ht="15" customHeight="1" s="145">
      <c r="E1515" s="121" t="n"/>
      <c r="F1515" s="121" t="n"/>
    </row>
    <row r="1516" ht="15" customHeight="1" s="145">
      <c r="E1516" s="121" t="n"/>
      <c r="F1516" s="121" t="n"/>
    </row>
    <row r="1517" ht="15" customHeight="1" s="145">
      <c r="E1517" s="121" t="n"/>
      <c r="F1517" s="121" t="n"/>
    </row>
    <row r="1518" ht="15" customHeight="1" s="145">
      <c r="E1518" s="121" t="n"/>
      <c r="F1518" s="121" t="n"/>
    </row>
    <row r="1519" ht="15" customHeight="1" s="145">
      <c r="E1519" s="121" t="n"/>
      <c r="F1519" s="121" t="n"/>
    </row>
    <row r="1520" ht="15" customHeight="1" s="145">
      <c r="E1520" s="121" t="n"/>
      <c r="F1520" s="121" t="n"/>
    </row>
    <row r="1521" ht="15" customHeight="1" s="145">
      <c r="E1521" s="121" t="n"/>
      <c r="F1521" s="121" t="n"/>
    </row>
    <row r="1522" ht="15" customHeight="1" s="145">
      <c r="E1522" s="121" t="n"/>
      <c r="F1522" s="121" t="n"/>
    </row>
    <row r="1523" ht="15" customHeight="1" s="145">
      <c r="E1523" s="121" t="n"/>
      <c r="F1523" s="121" t="n"/>
    </row>
    <row r="1524" ht="15" customHeight="1" s="145">
      <c r="E1524" s="121" t="n"/>
      <c r="F1524" s="121" t="n"/>
    </row>
    <row r="1525" ht="15" customHeight="1" s="145">
      <c r="E1525" s="121" t="n"/>
      <c r="F1525" s="121" t="n"/>
    </row>
    <row r="1526" ht="15" customHeight="1" s="145">
      <c r="E1526" s="121" t="n"/>
      <c r="F1526" s="121" t="n"/>
    </row>
    <row r="1527" ht="15" customHeight="1" s="145">
      <c r="E1527" s="121" t="n"/>
      <c r="F1527" s="121" t="n"/>
    </row>
    <row r="1528" ht="15" customHeight="1" s="145">
      <c r="E1528" s="121" t="n"/>
      <c r="F1528" s="121" t="n"/>
    </row>
    <row r="1529" ht="15" customHeight="1" s="145">
      <c r="E1529" s="121" t="n"/>
      <c r="F1529" s="121" t="n"/>
    </row>
    <row r="1530" ht="15" customHeight="1" s="145">
      <c r="E1530" s="121" t="n"/>
      <c r="F1530" s="121" t="n"/>
    </row>
    <row r="1531" ht="15" customHeight="1" s="145">
      <c r="E1531" s="121" t="n"/>
      <c r="F1531" s="121" t="n"/>
    </row>
    <row r="1532" ht="15" customHeight="1" s="145">
      <c r="E1532" s="121" t="n"/>
      <c r="F1532" s="121" t="n"/>
    </row>
    <row r="1533" ht="15" customHeight="1" s="145">
      <c r="E1533" s="121" t="n"/>
      <c r="F1533" s="121" t="n"/>
    </row>
    <row r="1534" ht="15" customHeight="1" s="145">
      <c r="E1534" s="121" t="n"/>
      <c r="F1534" s="121" t="n"/>
    </row>
    <row r="1535" ht="15" customHeight="1" s="145">
      <c r="E1535" s="121" t="n"/>
      <c r="F1535" s="121" t="n"/>
    </row>
    <row r="1536" ht="15" customHeight="1" s="145">
      <c r="E1536" s="121" t="n"/>
      <c r="F1536" s="121" t="n"/>
    </row>
    <row r="1537" ht="15" customHeight="1" s="145">
      <c r="E1537" s="121" t="n"/>
      <c r="F1537" s="121" t="n"/>
    </row>
    <row r="1538" ht="15" customHeight="1" s="145">
      <c r="E1538" s="121" t="n"/>
      <c r="F1538" s="121" t="n"/>
    </row>
    <row r="1539" ht="15" customHeight="1" s="145">
      <c r="E1539" s="121" t="n"/>
      <c r="F1539" s="121" t="n"/>
    </row>
    <row r="1540" ht="15" customHeight="1" s="145">
      <c r="E1540" s="121" t="n"/>
      <c r="F1540" s="121" t="n"/>
    </row>
    <row r="1541" ht="15" customHeight="1" s="145">
      <c r="E1541" s="121" t="n"/>
      <c r="F1541" s="121" t="n"/>
    </row>
    <row r="1542" ht="15" customHeight="1" s="145">
      <c r="E1542" s="121" t="n"/>
      <c r="F1542" s="121" t="n"/>
    </row>
    <row r="1543" ht="15" customHeight="1" s="145">
      <c r="E1543" s="121" t="n"/>
      <c r="F1543" s="121" t="n"/>
    </row>
    <row r="1544" ht="15" customHeight="1" s="145">
      <c r="E1544" s="121" t="n"/>
      <c r="F1544" s="121" t="n"/>
    </row>
    <row r="1545" ht="15" customHeight="1" s="145">
      <c r="E1545" s="121" t="n"/>
      <c r="F1545" s="121" t="n"/>
    </row>
    <row r="1546" ht="15" customHeight="1" s="145">
      <c r="E1546" s="121" t="n"/>
      <c r="F1546" s="121" t="n"/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workbookViewId="0">
      <selection activeCell="C45" sqref="C45"/>
    </sheetView>
  </sheetViews>
  <sheetFormatPr baseColWidth="8" defaultRowHeight="12.75"/>
  <cols>
    <col width="32.85546875" customWidth="1" style="145" min="2" max="2"/>
    <col width="73.140625" customWidth="1" style="145" min="3" max="3"/>
  </cols>
  <sheetData>
    <row r="1">
      <c r="A1" s="172" t="inlineStr">
        <is>
          <t>Data</t>
        </is>
      </c>
      <c r="B1" s="172" t="inlineStr">
        <is>
          <t>COD do Produto</t>
        </is>
      </c>
      <c r="C1" s="172" t="inlineStr">
        <is>
          <t>Produto</t>
        </is>
      </c>
      <c r="D1" s="172" t="inlineStr">
        <is>
          <t>Cliente</t>
        </is>
      </c>
      <c r="E1" s="172" t="inlineStr">
        <is>
          <t>Tipo de Movimentação</t>
        </is>
      </c>
      <c r="F1" s="176" t="inlineStr">
        <is>
          <t>Quantidade</t>
        </is>
      </c>
      <c r="G1" s="172" t="inlineStr">
        <is>
          <t>Preço Custo Total</t>
        </is>
      </c>
      <c r="H1" s="172" t="inlineStr">
        <is>
          <t>Preço Venda Total</t>
        </is>
      </c>
      <c r="I1" s="172" t="inlineStr">
        <is>
          <t>Observações</t>
        </is>
      </c>
      <c r="J1" s="172" t="inlineStr">
        <is>
          <t>Status</t>
        </is>
      </c>
      <c r="K1" s="172" t="inlineStr">
        <is>
          <t>Data Prevista</t>
        </is>
      </c>
      <c r="L1" s="172" t="inlineStr">
        <is>
          <t>Tipo de Pagamento</t>
        </is>
      </c>
      <c r="M1" s="172" t="inlineStr">
        <is>
          <t>ID_Venda</t>
        </is>
      </c>
    </row>
    <row r="2">
      <c r="A2" s="194" t="n">
        <v>45992.59882318287</v>
      </c>
      <c r="B2" t="inlineStr">
        <is>
          <t>NATBRA-2816</t>
        </is>
      </c>
      <c r="C2" t="inlineStr">
        <is>
          <t>Natura Hidrante Desodorante Corporal Tododia Algodão 400ml Frasco</t>
        </is>
      </c>
      <c r="D2" t="inlineStr">
        <is>
          <t>NATURA</t>
        </is>
      </c>
      <c r="E2" t="inlineStr">
        <is>
          <t>ENTRADA</t>
        </is>
      </c>
      <c r="F2" t="n">
        <v>5</v>
      </c>
      <c r="G2" t="n">
        <v>320</v>
      </c>
      <c r="H2" t="n">
        <v>379.5</v>
      </c>
      <c r="I2" t="inlineStr">
        <is>
          <t>Ciclo 23</t>
        </is>
      </c>
      <c r="J2" t="inlineStr">
        <is>
          <t>PAGO</t>
        </is>
      </c>
      <c r="K2" s="194" t="n">
        <v>45992.99998842592</v>
      </c>
      <c r="L2" t="inlineStr">
        <is>
          <t>Pix</t>
        </is>
      </c>
      <c r="M2" t="inlineStr">
        <is>
          <t>E-27B7FB</t>
        </is>
      </c>
    </row>
    <row r="3">
      <c r="A3" s="194" t="n">
        <v>45992.5990280787</v>
      </c>
      <c r="B3" t="inlineStr">
        <is>
          <t>NATBRA-2816</t>
        </is>
      </c>
      <c r="C3" t="inlineStr">
        <is>
          <t>Natura Hidrante Desodorante Corporal Tododia Algodão 400ml Frasco</t>
        </is>
      </c>
      <c r="D3" t="inlineStr">
        <is>
          <t>ASD</t>
        </is>
      </c>
      <c r="E3" t="inlineStr">
        <is>
          <t>SAÍDA</t>
        </is>
      </c>
      <c r="F3" t="n">
        <v>-1</v>
      </c>
      <c r="G3" t="n">
        <v>-64</v>
      </c>
      <c r="H3" t="n">
        <v>75.90000000000001</v>
      </c>
      <c r="J3" t="inlineStr">
        <is>
          <t>PAGO</t>
        </is>
      </c>
      <c r="K3" t="inlineStr">
        <is>
          <t>2025-12-01 14:22:36</t>
        </is>
      </c>
      <c r="L3" t="inlineStr">
        <is>
          <t>Pix</t>
        </is>
      </c>
      <c r="M3" t="inlineStr">
        <is>
          <t>V-C8C229</t>
        </is>
      </c>
    </row>
    <row r="4">
      <c r="A4" s="194" t="n">
        <v>45993.59902806713</v>
      </c>
      <c r="B4" t="inlineStr">
        <is>
          <t>NATBRA-190159</t>
        </is>
      </c>
      <c r="C4">
        <f>VLOOKUP(B4,Produtos!$A:$E,5,FALSE)</f>
        <v/>
      </c>
      <c r="D4" t="inlineStr">
        <is>
          <t>NATURA</t>
        </is>
      </c>
      <c r="E4" t="inlineStr">
        <is>
          <t>ENTRADA</t>
        </is>
      </c>
      <c r="F4" t="n">
        <v>1</v>
      </c>
      <c r="G4" t="n">
        <v>21.23</v>
      </c>
      <c r="H4" t="n">
        <v>0</v>
      </c>
      <c r="J4" t="inlineStr">
        <is>
          <t>PAGO</t>
        </is>
      </c>
      <c r="L4" t="inlineStr">
        <is>
          <t>Pix</t>
        </is>
      </c>
    </row>
    <row r="5">
      <c r="A5" s="194" t="n">
        <v>45994.59902806713</v>
      </c>
      <c r="B5" t="inlineStr">
        <is>
          <t>NATBRA-152290</t>
        </is>
      </c>
      <c r="C5">
        <f>VLOOKUP(B5,Produtos!$A:$E,5,FALSE)</f>
        <v/>
      </c>
      <c r="D5" t="inlineStr">
        <is>
          <t>NATURA</t>
        </is>
      </c>
      <c r="E5" t="inlineStr">
        <is>
          <t>ENTRADA</t>
        </is>
      </c>
      <c r="F5" t="n">
        <v>1</v>
      </c>
      <c r="G5" t="n">
        <v>21.23</v>
      </c>
      <c r="H5" t="n">
        <v>0</v>
      </c>
      <c r="J5" t="inlineStr">
        <is>
          <t>PAGO</t>
        </is>
      </c>
      <c r="L5" t="inlineStr">
        <is>
          <t>Pix</t>
        </is>
      </c>
    </row>
    <row r="6">
      <c r="A6" s="194" t="n">
        <v>45995.59902806713</v>
      </c>
      <c r="B6" t="inlineStr">
        <is>
          <t>NATBRA-116779</t>
        </is>
      </c>
      <c r="C6">
        <f>VLOOKUP(B6,Produtos!$A:$E,5,FALSE)</f>
        <v/>
      </c>
      <c r="D6" t="inlineStr">
        <is>
          <t>NATURA</t>
        </is>
      </c>
      <c r="E6" t="inlineStr">
        <is>
          <t>ENTRADA</t>
        </is>
      </c>
      <c r="F6" t="n">
        <v>3</v>
      </c>
      <c r="G6" t="n">
        <v>91.76000000000001</v>
      </c>
      <c r="H6" t="n">
        <v>0</v>
      </c>
      <c r="J6" t="inlineStr">
        <is>
          <t>PAGO</t>
        </is>
      </c>
      <c r="L6" t="inlineStr">
        <is>
          <t>Pix</t>
        </is>
      </c>
    </row>
    <row r="7">
      <c r="A7" s="194" t="n">
        <v>45996.59902806713</v>
      </c>
      <c r="B7" t="inlineStr">
        <is>
          <t>NATBRA-959847</t>
        </is>
      </c>
      <c r="C7">
        <f>VLOOKUP(B7,Produtos!$A:$E,5,FALSE)</f>
        <v/>
      </c>
      <c r="D7" t="inlineStr">
        <is>
          <t>NATURA</t>
        </is>
      </c>
      <c r="E7" t="inlineStr">
        <is>
          <t>ENTRADA</t>
        </is>
      </c>
      <c r="F7" t="n">
        <v>3</v>
      </c>
      <c r="G7" t="n">
        <v>236.06</v>
      </c>
      <c r="H7" t="n">
        <v>0</v>
      </c>
      <c r="J7" t="inlineStr">
        <is>
          <t>PAGO</t>
        </is>
      </c>
      <c r="L7" t="inlineStr">
        <is>
          <t>Pix</t>
        </is>
      </c>
    </row>
    <row r="8">
      <c r="A8" s="194" t="n">
        <v>45997.59902806713</v>
      </c>
      <c r="B8" t="inlineStr">
        <is>
          <t>NATBRA-112866</t>
        </is>
      </c>
      <c r="C8">
        <f>VLOOKUP(B8,Produtos!$A:$E,5,FALSE)</f>
        <v/>
      </c>
      <c r="D8" t="inlineStr">
        <is>
          <t>NATURA</t>
        </is>
      </c>
      <c r="E8" t="inlineStr">
        <is>
          <t>ENTRADA</t>
        </is>
      </c>
      <c r="F8" t="n">
        <v>3</v>
      </c>
      <c r="G8" t="n">
        <v>36.95</v>
      </c>
      <c r="H8" t="n">
        <v>0</v>
      </c>
      <c r="J8" t="inlineStr">
        <is>
          <t>PAGO</t>
        </is>
      </c>
      <c r="L8" t="inlineStr">
        <is>
          <t>Pix</t>
        </is>
      </c>
    </row>
    <row r="9">
      <c r="A9" s="194" t="n">
        <v>45998.59902806713</v>
      </c>
      <c r="B9" t="inlineStr">
        <is>
          <t>NATBRA-159951</t>
        </is>
      </c>
      <c r="C9">
        <f>VLOOKUP(B9,Produtos!$A:$E,5,FALSE)</f>
        <v/>
      </c>
      <c r="D9" t="inlineStr">
        <is>
          <t>NATURA</t>
        </is>
      </c>
      <c r="E9" t="inlineStr">
        <is>
          <t>ENTRADA</t>
        </is>
      </c>
      <c r="F9" t="n">
        <v>3</v>
      </c>
      <c r="G9" t="n">
        <v>59.95</v>
      </c>
      <c r="H9" t="n">
        <v>0</v>
      </c>
      <c r="J9" t="inlineStr">
        <is>
          <t>PAGO</t>
        </is>
      </c>
      <c r="L9" t="inlineStr">
        <is>
          <t>Pix</t>
        </is>
      </c>
    </row>
    <row r="10">
      <c r="A10" s="194" t="n">
        <v>45999.59902806713</v>
      </c>
      <c r="B10" t="inlineStr">
        <is>
          <t>NATBRA-782675</t>
        </is>
      </c>
      <c r="C10">
        <f>VLOOKUP(B10,Produtos!$A:$E,5,FALSE)</f>
        <v/>
      </c>
      <c r="D10" t="inlineStr">
        <is>
          <t>NATURA</t>
        </is>
      </c>
      <c r="E10" t="inlineStr">
        <is>
          <t>ENTRADA</t>
        </is>
      </c>
      <c r="F10" t="n">
        <v>3</v>
      </c>
      <c r="G10" t="n">
        <v>177.13</v>
      </c>
      <c r="H10" t="n">
        <v>0</v>
      </c>
      <c r="J10" t="inlineStr">
        <is>
          <t>PAGO</t>
        </is>
      </c>
      <c r="L10" t="inlineStr">
        <is>
          <t>Pix</t>
        </is>
      </c>
    </row>
    <row r="11">
      <c r="A11" s="194" t="n">
        <v>46000.59902806713</v>
      </c>
      <c r="B11" t="inlineStr">
        <is>
          <t>NATBRA-817061</t>
        </is>
      </c>
      <c r="C11">
        <f>VLOOKUP(B11,Produtos!$A:$E,5,FALSE)</f>
        <v/>
      </c>
      <c r="D11" t="inlineStr">
        <is>
          <t>NATURA</t>
        </is>
      </c>
      <c r="E11" t="inlineStr">
        <is>
          <t>ENTRADA</t>
        </is>
      </c>
      <c r="F11" t="n">
        <v>3</v>
      </c>
      <c r="G11" t="n">
        <v>204.52</v>
      </c>
      <c r="H11" t="n">
        <v>0</v>
      </c>
      <c r="J11" t="inlineStr">
        <is>
          <t>PAGO</t>
        </is>
      </c>
      <c r="L11" t="inlineStr">
        <is>
          <t>Pix</t>
        </is>
      </c>
    </row>
    <row r="12">
      <c r="A12" s="194" t="n">
        <v>46001.59902806713</v>
      </c>
      <c r="B12" t="inlineStr">
        <is>
          <t>NATBRA-817060</t>
        </is>
      </c>
      <c r="C12">
        <f>VLOOKUP(B12,Produtos!$A:$E,5,FALSE)</f>
        <v/>
      </c>
      <c r="D12" t="inlineStr">
        <is>
          <t>NATURA</t>
        </is>
      </c>
      <c r="E12" t="inlineStr">
        <is>
          <t>ENTRADA</t>
        </is>
      </c>
      <c r="F12" t="n">
        <v>3</v>
      </c>
      <c r="G12" t="n">
        <v>56.37</v>
      </c>
      <c r="H12" t="n">
        <v>0</v>
      </c>
      <c r="J12" t="inlineStr">
        <is>
          <t>PAGO</t>
        </is>
      </c>
      <c r="L12" t="inlineStr">
        <is>
          <t>Pix</t>
        </is>
      </c>
    </row>
    <row r="13">
      <c r="A13" s="194" t="n">
        <v>46003.59902806713</v>
      </c>
      <c r="B13" t="inlineStr">
        <is>
          <t>NATBRA-149374</t>
        </is>
      </c>
      <c r="C13">
        <f>VLOOKUP(B13,Produtos!$A:$E,5,FALSE)</f>
        <v/>
      </c>
      <c r="D13" t="inlineStr">
        <is>
          <t>NATURA</t>
        </is>
      </c>
      <c r="E13" t="inlineStr">
        <is>
          <t>ENTRADA</t>
        </is>
      </c>
      <c r="F13" t="n">
        <v>3</v>
      </c>
      <c r="G13" t="n">
        <v>38.95</v>
      </c>
      <c r="H13" t="n">
        <v>0</v>
      </c>
      <c r="J13" t="inlineStr">
        <is>
          <t>PAGO</t>
        </is>
      </c>
      <c r="L13" t="inlineStr">
        <is>
          <t>Pix</t>
        </is>
      </c>
    </row>
    <row r="14">
      <c r="A14" s="194" t="n">
        <v>46005.59902806713</v>
      </c>
      <c r="B14" t="inlineStr">
        <is>
          <t>NATBRA-151033</t>
        </is>
      </c>
      <c r="C14">
        <f>VLOOKUP(B14,Produtos!$A:$E,5,FALSE)</f>
        <v/>
      </c>
      <c r="D14" t="inlineStr">
        <is>
          <t>NATURA</t>
        </is>
      </c>
      <c r="E14" t="inlineStr">
        <is>
          <t>ENTRADA</t>
        </is>
      </c>
      <c r="F14" t="n">
        <v>2</v>
      </c>
      <c r="G14" t="n">
        <v>31.25</v>
      </c>
      <c r="H14" t="n">
        <v>0</v>
      </c>
      <c r="J14" t="inlineStr">
        <is>
          <t>PAGO</t>
        </is>
      </c>
      <c r="L14" t="inlineStr">
        <is>
          <t>Pix</t>
        </is>
      </c>
    </row>
    <row r="15">
      <c r="A15" s="194" t="n">
        <v>46006.59902806713</v>
      </c>
      <c r="B15" t="inlineStr">
        <is>
          <t>NATBRA-9467</t>
        </is>
      </c>
      <c r="C15">
        <f>VLOOKUP(B15,Produtos!$A:$E,5,FALSE)</f>
        <v/>
      </c>
      <c r="D15" t="inlineStr">
        <is>
          <t>NATURA</t>
        </is>
      </c>
      <c r="E15" t="inlineStr">
        <is>
          <t>ENTRADA</t>
        </is>
      </c>
      <c r="F15" t="n">
        <v>2</v>
      </c>
      <c r="G15" t="n">
        <v>194.34</v>
      </c>
      <c r="H15" t="n">
        <v>0</v>
      </c>
      <c r="J15" t="inlineStr">
        <is>
          <t>PAGO</t>
        </is>
      </c>
      <c r="L15" t="inlineStr">
        <is>
          <t>Pix</t>
        </is>
      </c>
    </row>
    <row r="16">
      <c r="A16" s="194" t="n">
        <v>46007.59902806713</v>
      </c>
      <c r="B16" t="inlineStr">
        <is>
          <t>NATBRA-86723</t>
        </is>
      </c>
      <c r="C16">
        <f>VLOOKUP(B16,Produtos!$A:$E,5,FALSE)</f>
        <v/>
      </c>
      <c r="D16" t="inlineStr">
        <is>
          <t>NATURA</t>
        </is>
      </c>
      <c r="E16" t="inlineStr">
        <is>
          <t>ENTRADA</t>
        </is>
      </c>
      <c r="F16" t="n">
        <v>2</v>
      </c>
      <c r="G16" s="177" t="n">
        <v>100.54</v>
      </c>
      <c r="H16" t="n">
        <v>0</v>
      </c>
      <c r="J16" t="inlineStr">
        <is>
          <t>PAGO</t>
        </is>
      </c>
      <c r="L16" t="inlineStr">
        <is>
          <t>Pix</t>
        </is>
      </c>
    </row>
    <row r="17">
      <c r="A17" s="194" t="n">
        <v>46008.59902806713</v>
      </c>
      <c r="B17" t="inlineStr">
        <is>
          <t>NATBRA-95840</t>
        </is>
      </c>
      <c r="C17">
        <f>VLOOKUP(B17,Produtos!$A:$E,5,FALSE)</f>
        <v/>
      </c>
      <c r="D17" t="inlineStr">
        <is>
          <t>NATURA</t>
        </is>
      </c>
      <c r="E17" t="inlineStr">
        <is>
          <t>ENTRADA</t>
        </is>
      </c>
      <c r="F17" t="n">
        <v>1</v>
      </c>
      <c r="G17" t="n">
        <v>20.04</v>
      </c>
      <c r="H17" t="n">
        <v>0</v>
      </c>
      <c r="J17" t="inlineStr">
        <is>
          <t>PAGO</t>
        </is>
      </c>
      <c r="L17" t="inlineStr">
        <is>
          <t>Pix</t>
        </is>
      </c>
    </row>
    <row r="18">
      <c r="A18" s="194" t="n">
        <v>46009.59902806713</v>
      </c>
      <c r="B18" t="inlineStr">
        <is>
          <t>NATBRA-100535</t>
        </is>
      </c>
      <c r="C18">
        <f>VLOOKUP(B18,Produtos!$A:$E,5,FALSE)</f>
        <v/>
      </c>
      <c r="D18" t="inlineStr">
        <is>
          <t>NATURA</t>
        </is>
      </c>
      <c r="E18" t="inlineStr">
        <is>
          <t>ENTRADA</t>
        </is>
      </c>
      <c r="F18" t="n">
        <v>1</v>
      </c>
      <c r="G18" t="n">
        <v>17.13</v>
      </c>
      <c r="H18" t="n">
        <v>0</v>
      </c>
      <c r="J18" t="inlineStr">
        <is>
          <t>PAGO</t>
        </is>
      </c>
      <c r="L18" t="inlineStr">
        <is>
          <t>Pix</t>
        </is>
      </c>
    </row>
    <row r="19">
      <c r="A19" s="194" t="n">
        <v>46010.59902806713</v>
      </c>
      <c r="B19" t="inlineStr">
        <is>
          <t>NATBRA-92800</t>
        </is>
      </c>
      <c r="C19">
        <f>VLOOKUP(B19,Produtos!$A:$E,5,FALSE)</f>
        <v/>
      </c>
      <c r="D19" t="inlineStr">
        <is>
          <t>NATURA</t>
        </is>
      </c>
      <c r="E19" t="inlineStr">
        <is>
          <t>ENTRADA</t>
        </is>
      </c>
      <c r="F19" t="n">
        <v>1</v>
      </c>
      <c r="G19" t="n">
        <v>32.6</v>
      </c>
      <c r="H19" t="n">
        <v>0</v>
      </c>
      <c r="J19" t="inlineStr">
        <is>
          <t>PAGO</t>
        </is>
      </c>
      <c r="L19" t="inlineStr">
        <is>
          <t>Pix</t>
        </is>
      </c>
    </row>
    <row r="20">
      <c r="A20" s="194" t="n">
        <v>46011.59902806713</v>
      </c>
      <c r="B20" t="inlineStr">
        <is>
          <t>NATBRA-92817</t>
        </is>
      </c>
      <c r="C20">
        <f>VLOOKUP(B20,Produtos!$A:$E,5,FALSE)</f>
        <v/>
      </c>
      <c r="D20" t="inlineStr">
        <is>
          <t>NATURA</t>
        </is>
      </c>
      <c r="E20" t="inlineStr">
        <is>
          <t>ENTRADA</t>
        </is>
      </c>
      <c r="F20" t="n">
        <v>5</v>
      </c>
      <c r="G20" t="n">
        <v>42.02</v>
      </c>
      <c r="H20" t="n">
        <v>0</v>
      </c>
      <c r="J20" t="inlineStr">
        <is>
          <t>PAGO</t>
        </is>
      </c>
      <c r="L20" t="inlineStr">
        <is>
          <t>Pix</t>
        </is>
      </c>
    </row>
    <row r="21">
      <c r="A21" s="194" t="n">
        <v>46012.59902806713</v>
      </c>
      <c r="B21" t="inlineStr">
        <is>
          <t>NATBRA-71604</t>
        </is>
      </c>
      <c r="C21">
        <f>VLOOKUP(B21,Produtos!$A:$E,5,FALSE)</f>
        <v/>
      </c>
      <c r="D21" t="inlineStr">
        <is>
          <t>NATURA</t>
        </is>
      </c>
      <c r="E21" t="inlineStr">
        <is>
          <t>ENTRADA</t>
        </is>
      </c>
      <c r="F21" t="n">
        <v>3</v>
      </c>
      <c r="G21" t="n">
        <v>6.3</v>
      </c>
      <c r="H21" t="n">
        <v>0</v>
      </c>
      <c r="J21" t="inlineStr">
        <is>
          <t>PAGO</t>
        </is>
      </c>
      <c r="L21" t="inlineStr">
        <is>
          <t>Pix</t>
        </is>
      </c>
    </row>
    <row r="22">
      <c r="A22" s="194" t="n">
        <v>46015.59902806713</v>
      </c>
      <c r="B22" t="inlineStr">
        <is>
          <t>NATBRA-102402</t>
        </is>
      </c>
      <c r="C22">
        <f>VLOOKUP(B22,Produtos!$A:$E,5,FALSE)</f>
        <v/>
      </c>
      <c r="D22" t="inlineStr">
        <is>
          <t>NATURA</t>
        </is>
      </c>
      <c r="E22" t="inlineStr">
        <is>
          <t>ENTRADA</t>
        </is>
      </c>
      <c r="F22" t="n">
        <v>1</v>
      </c>
      <c r="G22" t="n">
        <v>19.73</v>
      </c>
      <c r="H22" t="n">
        <v>0</v>
      </c>
      <c r="J22" t="inlineStr">
        <is>
          <t>PAGO</t>
        </is>
      </c>
      <c r="L22" t="inlineStr">
        <is>
          <t>Pix</t>
        </is>
      </c>
    </row>
    <row r="23">
      <c r="A23" s="194" t="n">
        <v>46016.59902806713</v>
      </c>
      <c r="B23" t="inlineStr">
        <is>
          <t>NATBRA-7733</t>
        </is>
      </c>
      <c r="C23">
        <f>VLOOKUP(B23,Produtos!$A:$E,5,FALSE)</f>
        <v/>
      </c>
      <c r="D23" t="inlineStr">
        <is>
          <t>NATURA</t>
        </is>
      </c>
      <c r="E23" t="inlineStr">
        <is>
          <t>ENTRADA</t>
        </is>
      </c>
      <c r="F23" t="n">
        <v>1</v>
      </c>
      <c r="G23" t="n">
        <v>16.33</v>
      </c>
      <c r="H23" t="n">
        <v>0</v>
      </c>
      <c r="J23" t="inlineStr">
        <is>
          <t>PAGO</t>
        </is>
      </c>
      <c r="L23" t="inlineStr">
        <is>
          <t>Pix</t>
        </is>
      </c>
    </row>
    <row r="24">
      <c r="A24" s="194" t="n">
        <v>46017.59902806713</v>
      </c>
      <c r="B24" t="inlineStr">
        <is>
          <t>NATBRA-72147</t>
        </is>
      </c>
      <c r="C24">
        <f>VLOOKUP(B24,Produtos!$A:$E,5,FALSE)</f>
        <v/>
      </c>
      <c r="D24" t="inlineStr">
        <is>
          <t>NATURA</t>
        </is>
      </c>
      <c r="E24" t="inlineStr">
        <is>
          <t>ENTRADA</t>
        </is>
      </c>
      <c r="F24" t="n">
        <v>1</v>
      </c>
      <c r="G24" t="n">
        <v>16.33</v>
      </c>
      <c r="H24" t="n">
        <v>0</v>
      </c>
      <c r="J24" t="inlineStr">
        <is>
          <t>PAGO</t>
        </is>
      </c>
      <c r="L24" t="inlineStr">
        <is>
          <t>Pix</t>
        </is>
      </c>
    </row>
    <row r="25">
      <c r="A25" s="194" t="n">
        <v>46018.59902806713</v>
      </c>
      <c r="B25" t="inlineStr">
        <is>
          <t>NATBRA-100535</t>
        </is>
      </c>
      <c r="C25">
        <f>VLOOKUP(B25,Produtos!$A:$E,5,FALSE)</f>
        <v/>
      </c>
      <c r="D25" t="inlineStr">
        <is>
          <t>NATURA</t>
        </is>
      </c>
      <c r="E25" t="inlineStr">
        <is>
          <t>ENTRADA</t>
        </is>
      </c>
      <c r="F25" t="n">
        <v>1</v>
      </c>
      <c r="G25" t="n">
        <v>16.33</v>
      </c>
      <c r="H25" t="n">
        <v>0</v>
      </c>
      <c r="J25" t="inlineStr">
        <is>
          <t>PAGO</t>
        </is>
      </c>
      <c r="L25" t="inlineStr">
        <is>
          <t>Pix</t>
        </is>
      </c>
    </row>
    <row r="26">
      <c r="A26" s="194" t="n">
        <v>46019.59902806713</v>
      </c>
      <c r="B26" t="inlineStr">
        <is>
          <t>NATBRA-121969</t>
        </is>
      </c>
      <c r="C26">
        <f>VLOOKUP(B26,Produtos!$A:$E,5,FALSE)</f>
        <v/>
      </c>
      <c r="D26" t="inlineStr">
        <is>
          <t>NATURA</t>
        </is>
      </c>
      <c r="E26" t="inlineStr">
        <is>
          <t>ENTRADA</t>
        </is>
      </c>
      <c r="F26" t="n">
        <v>1</v>
      </c>
      <c r="G26" t="n">
        <v>16.33</v>
      </c>
      <c r="H26" t="n">
        <v>0</v>
      </c>
      <c r="J26" t="inlineStr">
        <is>
          <t>PAGO</t>
        </is>
      </c>
      <c r="L26" t="inlineStr">
        <is>
          <t>Pix</t>
        </is>
      </c>
    </row>
    <row r="27">
      <c r="A27" s="194" t="n">
        <v>46020.59902806713</v>
      </c>
      <c r="B27" t="inlineStr">
        <is>
          <t>NATBRA-87512</t>
        </is>
      </c>
      <c r="C27">
        <f>VLOOKUP(B27,Produtos!$A:$E,5,FALSE)</f>
        <v/>
      </c>
      <c r="D27" t="inlineStr">
        <is>
          <t>NATURA</t>
        </is>
      </c>
      <c r="E27" t="inlineStr">
        <is>
          <t>ENTRADA</t>
        </is>
      </c>
      <c r="F27" t="n">
        <v>2</v>
      </c>
      <c r="G27" t="n">
        <v>32.47</v>
      </c>
      <c r="H27" t="n">
        <v>0</v>
      </c>
      <c r="J27" t="inlineStr">
        <is>
          <t>PAGO</t>
        </is>
      </c>
      <c r="L27" t="inlineStr">
        <is>
          <t>Pix</t>
        </is>
      </c>
    </row>
    <row r="28">
      <c r="A28" s="194" t="n">
        <v>46021.59902806713</v>
      </c>
      <c r="B28" t="inlineStr">
        <is>
          <t>NATBRA-2829</t>
        </is>
      </c>
      <c r="C28">
        <f>VLOOKUP(B28,Produtos!$A:$E,5,FALSE)</f>
        <v/>
      </c>
      <c r="D28" t="inlineStr">
        <is>
          <t>NATURA</t>
        </is>
      </c>
      <c r="E28" t="inlineStr">
        <is>
          <t>ENTRADA</t>
        </is>
      </c>
      <c r="F28" t="n">
        <v>2</v>
      </c>
      <c r="G28" t="n">
        <v>32.47</v>
      </c>
      <c r="H28" t="n">
        <v>0</v>
      </c>
      <c r="J28" t="inlineStr">
        <is>
          <t>PAGO</t>
        </is>
      </c>
      <c r="L28" t="inlineStr">
        <is>
          <t>Pix</t>
        </is>
      </c>
    </row>
    <row r="29">
      <c r="A29" s="194" t="n">
        <v>46022.59902806713</v>
      </c>
      <c r="B29" t="inlineStr">
        <is>
          <t>NATBRA-100535</t>
        </is>
      </c>
      <c r="C29">
        <f>VLOOKUP(B29,Produtos!$A:$E,5,FALSE)</f>
        <v/>
      </c>
      <c r="D29" t="inlineStr">
        <is>
          <t>NATURA</t>
        </is>
      </c>
      <c r="E29" t="inlineStr">
        <is>
          <t>ENTRADA</t>
        </is>
      </c>
      <c r="F29" t="n">
        <v>2</v>
      </c>
      <c r="G29" t="n">
        <v>32.47</v>
      </c>
      <c r="H29" t="n">
        <v>0</v>
      </c>
      <c r="J29" t="inlineStr">
        <is>
          <t>PAGO</t>
        </is>
      </c>
      <c r="L29" t="inlineStr">
        <is>
          <t>Pix</t>
        </is>
      </c>
    </row>
    <row r="30">
      <c r="A30" s="194" t="n">
        <v>46023.59902806713</v>
      </c>
      <c r="B30" t="inlineStr">
        <is>
          <t>NATBRA-72147</t>
        </is>
      </c>
      <c r="C30">
        <f>VLOOKUP(B30,Produtos!$A:$E,5,FALSE)</f>
        <v/>
      </c>
      <c r="D30" t="inlineStr">
        <is>
          <t>NATURA</t>
        </is>
      </c>
      <c r="E30" t="inlineStr">
        <is>
          <t>ENTRADA</t>
        </is>
      </c>
      <c r="F30" t="n">
        <v>2</v>
      </c>
      <c r="G30" t="n">
        <v>32.47</v>
      </c>
      <c r="H30" t="n">
        <v>0</v>
      </c>
      <c r="J30" t="inlineStr">
        <is>
          <t>PAGO</t>
        </is>
      </c>
      <c r="L30" t="inlineStr">
        <is>
          <t>Pix</t>
        </is>
      </c>
    </row>
    <row r="31">
      <c r="A31" s="194" t="n">
        <v>46024.59902806713</v>
      </c>
      <c r="B31" t="inlineStr">
        <is>
          <t>NATBRA-100423</t>
        </is>
      </c>
      <c r="C31">
        <f>VLOOKUP(B31,Produtos!$A:$E,5,FALSE)</f>
        <v/>
      </c>
      <c r="D31" t="inlineStr">
        <is>
          <t>NATURA</t>
        </is>
      </c>
      <c r="E31" t="inlineStr">
        <is>
          <t>ENTRADA</t>
        </is>
      </c>
      <c r="F31" t="n">
        <v>1</v>
      </c>
      <c r="G31" t="n">
        <v>15.62</v>
      </c>
      <c r="H31" t="n">
        <v>0</v>
      </c>
      <c r="J31" t="inlineStr">
        <is>
          <t>PAGO</t>
        </is>
      </c>
      <c r="L31" t="inlineStr">
        <is>
          <t>Pix</t>
        </is>
      </c>
    </row>
    <row r="32">
      <c r="A32" s="194" t="n">
        <v>46025.59902806713</v>
      </c>
      <c r="B32" t="inlineStr">
        <is>
          <t>NATBRA-179542</t>
        </is>
      </c>
      <c r="C32">
        <f>VLOOKUP(B32,Produtos!$A:$E,5,FALSE)</f>
        <v/>
      </c>
      <c r="D32" t="inlineStr">
        <is>
          <t>NATURA</t>
        </is>
      </c>
      <c r="E32" t="inlineStr">
        <is>
          <t>ENTRADA</t>
        </is>
      </c>
      <c r="F32" t="n">
        <v>1</v>
      </c>
      <c r="G32" t="n">
        <v>11.48</v>
      </c>
      <c r="H32" t="n">
        <v>0</v>
      </c>
      <c r="J32" t="inlineStr">
        <is>
          <t>PAGO</t>
        </is>
      </c>
      <c r="L32" t="inlineStr">
        <is>
          <t>Pix</t>
        </is>
      </c>
    </row>
    <row r="33">
      <c r="A33" s="194" t="n">
        <v>46026.59902806713</v>
      </c>
      <c r="B33" t="inlineStr">
        <is>
          <t>NATBRA-92786</t>
        </is>
      </c>
      <c r="C33">
        <f>VLOOKUP(B33,Produtos!$A:$E,5,FALSE)</f>
        <v/>
      </c>
      <c r="D33" t="inlineStr">
        <is>
          <t>NATURA</t>
        </is>
      </c>
      <c r="E33" t="inlineStr">
        <is>
          <t>ENTRADA</t>
        </is>
      </c>
      <c r="F33" t="n">
        <v>4</v>
      </c>
      <c r="G33" t="n">
        <v>123.29</v>
      </c>
      <c r="H33" t="n">
        <v>0</v>
      </c>
      <c r="J33" t="inlineStr">
        <is>
          <t>PAGO</t>
        </is>
      </c>
      <c r="L33" t="inlineStr">
        <is>
          <t>Pix</t>
        </is>
      </c>
    </row>
    <row r="34">
      <c r="A34" s="194" t="n">
        <v>46027.59902806713</v>
      </c>
      <c r="B34" t="inlineStr">
        <is>
          <t>NATBRA-108405</t>
        </is>
      </c>
      <c r="C34">
        <f>VLOOKUP(B34,Produtos!$A:$E,5,FALSE)</f>
        <v/>
      </c>
      <c r="D34" t="inlineStr">
        <is>
          <t>NATURA</t>
        </is>
      </c>
      <c r="E34" t="inlineStr">
        <is>
          <t>ENTRADA</t>
        </is>
      </c>
      <c r="F34" t="n">
        <v>1</v>
      </c>
      <c r="G34" t="n">
        <v>71.23999999999999</v>
      </c>
      <c r="H34" t="n">
        <v>0</v>
      </c>
      <c r="J34" t="inlineStr">
        <is>
          <t>PAGO</t>
        </is>
      </c>
      <c r="L34" t="inlineStr">
        <is>
          <t>Pix</t>
        </is>
      </c>
    </row>
    <row r="35">
      <c r="A35" s="194" t="n">
        <v>46028.59902806713</v>
      </c>
      <c r="B35" t="inlineStr">
        <is>
          <t>NATBRA-189401</t>
        </is>
      </c>
      <c r="C35">
        <f>VLOOKUP(B35,Produtos!$A:$E,5,FALSE)</f>
        <v/>
      </c>
      <c r="D35" t="inlineStr">
        <is>
          <t>NATURA</t>
        </is>
      </c>
      <c r="E35" t="inlineStr">
        <is>
          <t>ENTRADA</t>
        </is>
      </c>
      <c r="F35" t="n">
        <v>4</v>
      </c>
      <c r="G35" t="n">
        <v>65.39</v>
      </c>
      <c r="H35" t="n">
        <v>0</v>
      </c>
      <c r="J35" t="inlineStr">
        <is>
          <t>PAGO</t>
        </is>
      </c>
      <c r="L35" t="inlineStr">
        <is>
          <t>Pix</t>
        </is>
      </c>
    </row>
    <row r="36">
      <c r="A36" s="194" t="n">
        <v>46029.59902806713</v>
      </c>
      <c r="B36" t="inlineStr">
        <is>
          <t>NATBRA-189402</t>
        </is>
      </c>
      <c r="C36">
        <f>VLOOKUP(B36,Produtos!$A:$E,5,FALSE)</f>
        <v/>
      </c>
      <c r="D36" t="inlineStr">
        <is>
          <t>NATURA</t>
        </is>
      </c>
      <c r="E36" t="inlineStr">
        <is>
          <t>ENTRADA</t>
        </is>
      </c>
      <c r="F36" t="n">
        <v>6</v>
      </c>
      <c r="G36" t="n">
        <v>97.98</v>
      </c>
      <c r="H36" t="n">
        <v>0</v>
      </c>
      <c r="J36" t="inlineStr">
        <is>
          <t>PAGO</t>
        </is>
      </c>
      <c r="L36" t="inlineStr">
        <is>
          <t>Pix</t>
        </is>
      </c>
    </row>
    <row r="37">
      <c r="A37" s="194" t="n">
        <v>46030.59902806713</v>
      </c>
      <c r="B37" t="inlineStr">
        <is>
          <t>NATBRA-189404</t>
        </is>
      </c>
      <c r="C37">
        <f>VLOOKUP(B37,Produtos!$A:$E,5,FALSE)</f>
        <v/>
      </c>
      <c r="D37" t="inlineStr">
        <is>
          <t>NATURA</t>
        </is>
      </c>
      <c r="E37" t="inlineStr">
        <is>
          <t>ENTRADA</t>
        </is>
      </c>
      <c r="F37" t="n">
        <v>2</v>
      </c>
      <c r="G37" t="n">
        <v>32.79</v>
      </c>
      <c r="H37" t="n">
        <v>0</v>
      </c>
      <c r="J37" t="inlineStr">
        <is>
          <t>PAGO</t>
        </is>
      </c>
      <c r="L37" t="inlineStr">
        <is>
          <t>Pix</t>
        </is>
      </c>
    </row>
    <row r="38">
      <c r="A38" s="194" t="n">
        <v>46031.59902806713</v>
      </c>
      <c r="B38" t="inlineStr">
        <is>
          <t>NATBRA-2179</t>
        </is>
      </c>
      <c r="C38">
        <f>VLOOKUP(B38,Produtos!$A:$E,5,FALSE)</f>
        <v/>
      </c>
      <c r="D38" t="inlineStr">
        <is>
          <t>NATURA</t>
        </is>
      </c>
      <c r="E38" t="inlineStr">
        <is>
          <t>ENTRADA</t>
        </is>
      </c>
      <c r="F38" t="n">
        <v>3</v>
      </c>
      <c r="G38" t="n">
        <v>40.89</v>
      </c>
      <c r="H38" t="n">
        <v>0</v>
      </c>
      <c r="J38" t="inlineStr">
        <is>
          <t>PAGO</t>
        </is>
      </c>
      <c r="L38" t="inlineStr">
        <is>
          <t>Pix</t>
        </is>
      </c>
    </row>
    <row r="39">
      <c r="A39" s="194" t="n">
        <v>46032.59902806713</v>
      </c>
      <c r="B39" t="inlineStr">
        <is>
          <t>NATBRA-173493</t>
        </is>
      </c>
      <c r="C39">
        <f>VLOOKUP(B39,Produtos!$A:$E,5,FALSE)</f>
        <v/>
      </c>
      <c r="D39" t="inlineStr">
        <is>
          <t>NATURA</t>
        </is>
      </c>
      <c r="E39" t="inlineStr">
        <is>
          <t>ENTRADA</t>
        </is>
      </c>
      <c r="F39" t="n">
        <v>1</v>
      </c>
      <c r="G39" t="n">
        <v>30.95</v>
      </c>
      <c r="H39" t="n">
        <v>0</v>
      </c>
      <c r="J39" t="inlineStr">
        <is>
          <t>PAGO</t>
        </is>
      </c>
      <c r="L39" t="inlineStr">
        <is>
          <t>Pix</t>
        </is>
      </c>
    </row>
    <row r="40">
      <c r="A40" s="194" t="n">
        <v>46033.59902806713</v>
      </c>
      <c r="B40" t="inlineStr">
        <is>
          <t>NATBRA-122207</t>
        </is>
      </c>
      <c r="C40">
        <f>VLOOKUP(B40,Produtos!$A:$E,5,FALSE)</f>
        <v/>
      </c>
      <c r="D40" t="inlineStr">
        <is>
          <t>NATURA</t>
        </is>
      </c>
      <c r="E40" t="inlineStr">
        <is>
          <t>ENTRADA</t>
        </is>
      </c>
      <c r="F40" t="n">
        <v>1</v>
      </c>
      <c r="G40" t="n">
        <v>5.91</v>
      </c>
      <c r="H40" t="n">
        <v>0</v>
      </c>
      <c r="J40" t="inlineStr">
        <is>
          <t>PAGO</t>
        </is>
      </c>
      <c r="L40" t="inlineStr">
        <is>
          <t>Pix</t>
        </is>
      </c>
    </row>
    <row r="41">
      <c r="A41" s="194" t="n">
        <v>46034.59902806713</v>
      </c>
      <c r="B41" t="inlineStr">
        <is>
          <t>NATBRA-56417</t>
        </is>
      </c>
      <c r="C41">
        <f>VLOOKUP(B41,Produtos!$A:$E,5,FALSE)</f>
        <v/>
      </c>
      <c r="D41" t="inlineStr">
        <is>
          <t>NATURA</t>
        </is>
      </c>
      <c r="E41" t="inlineStr">
        <is>
          <t>ENTRADA</t>
        </is>
      </c>
      <c r="F41" t="n">
        <v>1</v>
      </c>
      <c r="G41" t="n">
        <v>69.55</v>
      </c>
      <c r="H41" t="n">
        <v>0</v>
      </c>
      <c r="J41" t="inlineStr">
        <is>
          <t>PAGO</t>
        </is>
      </c>
      <c r="L41" t="inlineStr">
        <is>
          <t>Pix</t>
        </is>
      </c>
    </row>
    <row r="42">
      <c r="A42" s="194" t="n">
        <v>46035.59902806713</v>
      </c>
      <c r="B42" t="inlineStr">
        <is>
          <t>NATBRA-119046</t>
        </is>
      </c>
      <c r="C42">
        <f>VLOOKUP(B42,Produtos!$A:$E,5,FALSE)</f>
        <v/>
      </c>
      <c r="D42" t="inlineStr">
        <is>
          <t>NATURA</t>
        </is>
      </c>
      <c r="E42" t="inlineStr">
        <is>
          <t>ENTRADA</t>
        </is>
      </c>
      <c r="F42" t="n">
        <v>2</v>
      </c>
      <c r="G42" t="n">
        <v>280.09</v>
      </c>
      <c r="H42" t="n">
        <v>0</v>
      </c>
      <c r="J42" t="inlineStr">
        <is>
          <t>PAGO</t>
        </is>
      </c>
      <c r="L42" t="inlineStr">
        <is>
          <t>Pix</t>
        </is>
      </c>
    </row>
    <row r="43">
      <c r="A43" s="194" t="n">
        <v>46036.59902806713</v>
      </c>
      <c r="B43" t="inlineStr">
        <is>
          <t>NATBRA-81951</t>
        </is>
      </c>
      <c r="C43">
        <f>VLOOKUP(B43,Produtos!$A:$E,5,FALSE)</f>
        <v/>
      </c>
      <c r="D43" t="inlineStr">
        <is>
          <t>NATURA</t>
        </is>
      </c>
      <c r="E43" t="inlineStr">
        <is>
          <t>ENTRADA</t>
        </is>
      </c>
      <c r="F43" t="n">
        <v>1</v>
      </c>
      <c r="G43" t="n">
        <v>80.28</v>
      </c>
      <c r="H43" t="n">
        <v>0</v>
      </c>
      <c r="J43" t="inlineStr">
        <is>
          <t>PAGO</t>
        </is>
      </c>
      <c r="L43" t="inlineStr">
        <is>
          <t>Pix</t>
        </is>
      </c>
    </row>
    <row r="44">
      <c r="A44" s="194" t="n">
        <v>46037.59902806713</v>
      </c>
      <c r="B44" t="inlineStr">
        <is>
          <t>NATBRA-103348</t>
        </is>
      </c>
      <c r="C44">
        <f>VLOOKUP(B44,Produtos!$A:$E,5,FALSE)</f>
        <v/>
      </c>
      <c r="D44" t="inlineStr">
        <is>
          <t>NATURA</t>
        </is>
      </c>
      <c r="E44" t="inlineStr">
        <is>
          <t>ENTRADA</t>
        </is>
      </c>
      <c r="F44" t="n">
        <v>1</v>
      </c>
      <c r="G44" t="n">
        <v>130.5</v>
      </c>
      <c r="H44" t="n">
        <v>0</v>
      </c>
      <c r="J44" t="inlineStr">
        <is>
          <t>PAGO</t>
        </is>
      </c>
      <c r="L44" t="inlineStr">
        <is>
          <t>Pix</t>
        </is>
      </c>
    </row>
    <row r="45">
      <c r="A45" s="194" t="n">
        <v>46038.59902806713</v>
      </c>
      <c r="B45" t="inlineStr">
        <is>
          <t>NATBRA-140684</t>
        </is>
      </c>
      <c r="C45">
        <f>VLOOKUP(B45,Produtos!$A:$E,5,FALSE)</f>
        <v/>
      </c>
      <c r="D45" t="inlineStr">
        <is>
          <t>NATURA</t>
        </is>
      </c>
      <c r="E45" t="inlineStr">
        <is>
          <t>ENTRADA</t>
        </is>
      </c>
      <c r="F45" t="n">
        <v>2</v>
      </c>
      <c r="G45" t="n">
        <v>83.09</v>
      </c>
      <c r="H45" t="n">
        <v>0</v>
      </c>
      <c r="J45" t="inlineStr">
        <is>
          <t>PAGO</t>
        </is>
      </c>
      <c r="L45" t="inlineStr">
        <is>
          <t>Pix</t>
        </is>
      </c>
    </row>
    <row r="46">
      <c r="A46" s="194" t="n">
        <v>46039.59902806713</v>
      </c>
      <c r="B46" t="inlineStr">
        <is>
          <t>NATBRA-99137</t>
        </is>
      </c>
      <c r="C46">
        <f>VLOOKUP(B46,Produtos!$A:$E,5,FALSE)</f>
        <v/>
      </c>
      <c r="D46" t="inlineStr">
        <is>
          <t>NATURA</t>
        </is>
      </c>
      <c r="E46" t="inlineStr">
        <is>
          <t>ENTRADA</t>
        </is>
      </c>
      <c r="F46" t="n">
        <v>2</v>
      </c>
      <c r="G46" t="n">
        <v>53.12</v>
      </c>
      <c r="H46" t="n">
        <v>0</v>
      </c>
      <c r="J46" t="inlineStr">
        <is>
          <t>PAGO</t>
        </is>
      </c>
      <c r="L46" t="inlineStr">
        <is>
          <t>Pix</t>
        </is>
      </c>
    </row>
    <row r="47">
      <c r="A47" s="194" t="n">
        <v>46040.59902806713</v>
      </c>
      <c r="B47" t="inlineStr">
        <is>
          <t>NATBRA-178241</t>
        </is>
      </c>
      <c r="C47">
        <f>VLOOKUP(B47,Produtos!$A:$E,5,FALSE)</f>
        <v/>
      </c>
      <c r="D47" t="inlineStr">
        <is>
          <t>NATURA</t>
        </is>
      </c>
      <c r="E47" t="inlineStr">
        <is>
          <t>ENTRADA</t>
        </is>
      </c>
      <c r="F47" t="n">
        <v>3</v>
      </c>
      <c r="G47" t="n">
        <v>49.82</v>
      </c>
      <c r="H47" t="n">
        <v>0</v>
      </c>
      <c r="J47" t="inlineStr">
        <is>
          <t>PAGO</t>
        </is>
      </c>
      <c r="L47" t="inlineStr">
        <is>
          <t>Pix</t>
        </is>
      </c>
    </row>
    <row r="48">
      <c r="A48" s="194" t="n">
        <v>46042.59902806713</v>
      </c>
      <c r="B48" t="inlineStr">
        <is>
          <t>NATBRA-116779</t>
        </is>
      </c>
      <c r="C48">
        <f>VLOOKUP(B48,Produtos!$A:$E,5,FALSE)</f>
        <v/>
      </c>
      <c r="D48" t="inlineStr">
        <is>
          <t>NATURA</t>
        </is>
      </c>
      <c r="E48" t="inlineStr">
        <is>
          <t>ENTRADA</t>
        </is>
      </c>
      <c r="F48" t="n">
        <v>3</v>
      </c>
      <c r="G48" t="n">
        <v>90.76000000000001</v>
      </c>
      <c r="H48" t="n">
        <v>0</v>
      </c>
      <c r="J48" t="inlineStr">
        <is>
          <t>PAGO</t>
        </is>
      </c>
      <c r="L48" t="inlineStr">
        <is>
          <t>Pix</t>
        </is>
      </c>
    </row>
    <row r="49">
      <c r="A49" s="194" t="n">
        <v>46043.59902806713</v>
      </c>
      <c r="B49" t="inlineStr">
        <is>
          <t>NATBRA-147421</t>
        </is>
      </c>
      <c r="C49">
        <f>VLOOKUP(B49,Produtos!$A:$E,5,FALSE)</f>
        <v/>
      </c>
      <c r="D49" t="inlineStr">
        <is>
          <t>NATURA</t>
        </is>
      </c>
      <c r="E49" t="inlineStr">
        <is>
          <t>ENTRADA</t>
        </is>
      </c>
      <c r="F49" t="n">
        <v>1</v>
      </c>
      <c r="G49" t="n">
        <v>33.99</v>
      </c>
      <c r="H49" t="n">
        <v>0</v>
      </c>
      <c r="J49" t="inlineStr">
        <is>
          <t>PAGO</t>
        </is>
      </c>
      <c r="L49" t="inlineStr">
        <is>
          <t>Pix</t>
        </is>
      </c>
    </row>
    <row r="50">
      <c r="A50" s="194" t="n">
        <v>46045.59902806713</v>
      </c>
      <c r="B50" t="inlineStr">
        <is>
          <t>NATBRA-164382</t>
        </is>
      </c>
      <c r="C50">
        <f>VLOOKUP(B50,Produtos!$A:$E,5,FALSE)</f>
        <v/>
      </c>
      <c r="D50" t="inlineStr">
        <is>
          <t>NATURA</t>
        </is>
      </c>
      <c r="E50" t="inlineStr">
        <is>
          <t>ENTRADA</t>
        </is>
      </c>
      <c r="F50" t="n">
        <v>2</v>
      </c>
      <c r="G50" t="n">
        <v>44.82</v>
      </c>
      <c r="H50" t="n">
        <v>0</v>
      </c>
      <c r="J50" t="inlineStr">
        <is>
          <t>PAGO</t>
        </is>
      </c>
      <c r="L50" t="inlineStr">
        <is>
          <t>Pix</t>
        </is>
      </c>
    </row>
    <row r="51">
      <c r="A51" s="194" t="n">
        <v>46046.59902806713</v>
      </c>
      <c r="B51" t="inlineStr">
        <is>
          <t>NATBRA-92806</t>
        </is>
      </c>
      <c r="C51">
        <f>VLOOKUP(B51,Produtos!$A:$E,5,FALSE)</f>
        <v/>
      </c>
      <c r="D51" t="inlineStr">
        <is>
          <t>NATURA</t>
        </is>
      </c>
      <c r="E51" t="inlineStr">
        <is>
          <t>ENTRADA</t>
        </is>
      </c>
      <c r="F51" t="n">
        <v>1</v>
      </c>
      <c r="G51" t="n">
        <v>29.52</v>
      </c>
      <c r="H51" t="n">
        <v>0</v>
      </c>
      <c r="J51" t="inlineStr">
        <is>
          <t>PAGO</t>
        </is>
      </c>
      <c r="L51" t="inlineStr">
        <is>
          <t>Pix</t>
        </is>
      </c>
    </row>
    <row r="52">
      <c r="A52" s="194" t="n">
        <v>46047.59902806713</v>
      </c>
      <c r="B52" t="inlineStr">
        <is>
          <t>NATBRA-76420</t>
        </is>
      </c>
      <c r="C52">
        <f>VLOOKUP(B52,Produtos!$A:$E,5,FALSE)</f>
        <v/>
      </c>
      <c r="D52" t="inlineStr">
        <is>
          <t>NATURA</t>
        </is>
      </c>
      <c r="E52" t="inlineStr">
        <is>
          <t>ENTRADA</t>
        </is>
      </c>
      <c r="F52" t="n">
        <v>3</v>
      </c>
      <c r="G52" t="n">
        <v>272.34</v>
      </c>
      <c r="H52" t="n">
        <v>0</v>
      </c>
      <c r="J52" t="inlineStr">
        <is>
          <t>PAGO</t>
        </is>
      </c>
      <c r="L52" t="inlineStr">
        <is>
          <t>Pix</t>
        </is>
      </c>
    </row>
    <row r="53">
      <c r="A53" s="194" t="n">
        <v>46048.59902806713</v>
      </c>
      <c r="B53" t="inlineStr">
        <is>
          <t>NATBRA-15811</t>
        </is>
      </c>
      <c r="C53">
        <f>VLOOKUP(B53,Produtos!$A:$E,5,FALSE)</f>
        <v/>
      </c>
      <c r="D53" t="inlineStr">
        <is>
          <t>NATURA</t>
        </is>
      </c>
      <c r="E53" t="inlineStr">
        <is>
          <t>ENTRADA</t>
        </is>
      </c>
      <c r="F53" t="n">
        <v>2</v>
      </c>
      <c r="G53" t="n">
        <v>8.470000000000001</v>
      </c>
      <c r="H53" t="n">
        <v>0</v>
      </c>
      <c r="J53" t="inlineStr">
        <is>
          <t>PAGO</t>
        </is>
      </c>
      <c r="L53" t="inlineStr">
        <is>
          <t>Pix</t>
        </is>
      </c>
    </row>
    <row r="54">
      <c r="A54" s="194" t="n">
        <v>46050.59902806713</v>
      </c>
      <c r="B54" t="inlineStr">
        <is>
          <t>NATBRA-166317</t>
        </is>
      </c>
      <c r="C54">
        <f>VLOOKUP(B54,Produtos!$A:$E,5,FALSE)</f>
        <v/>
      </c>
      <c r="D54" t="inlineStr">
        <is>
          <t>NATURA</t>
        </is>
      </c>
      <c r="E54" t="inlineStr">
        <is>
          <t>ENTRADA</t>
        </is>
      </c>
      <c r="F54" t="n">
        <v>3</v>
      </c>
      <c r="G54" t="n">
        <v>67.41</v>
      </c>
      <c r="H54" t="n">
        <v>0</v>
      </c>
      <c r="J54" t="inlineStr">
        <is>
          <t>PAGO</t>
        </is>
      </c>
      <c r="L54" t="inlineStr">
        <is>
          <t>Pix</t>
        </is>
      </c>
    </row>
    <row r="55">
      <c r="A55" s="194" t="n">
        <v>46051.59902806713</v>
      </c>
      <c r="B55" t="inlineStr">
        <is>
          <t>NATBRA-182679</t>
        </is>
      </c>
      <c r="C55">
        <f>VLOOKUP(B55,Produtos!$A:$E,5,FALSE)</f>
        <v/>
      </c>
      <c r="D55" t="inlineStr">
        <is>
          <t>NATURA</t>
        </is>
      </c>
      <c r="E55" t="inlineStr">
        <is>
          <t>ENTRADA</t>
        </is>
      </c>
      <c r="F55" t="n">
        <v>3</v>
      </c>
      <c r="G55" t="n">
        <v>34.79</v>
      </c>
      <c r="H55" t="n">
        <v>0</v>
      </c>
      <c r="J55" t="inlineStr">
        <is>
          <t>PAGO</t>
        </is>
      </c>
      <c r="L55" t="inlineStr">
        <is>
          <t>Pix</t>
        </is>
      </c>
    </row>
    <row r="56">
      <c r="A56" s="194" t="n">
        <v>46052.59902806713</v>
      </c>
      <c r="B56" t="inlineStr">
        <is>
          <t>NATBRA-56747</t>
        </is>
      </c>
      <c r="C56">
        <f>VLOOKUP(B56,Produtos!$A:$E,5,FALSE)</f>
        <v/>
      </c>
      <c r="D56" t="inlineStr">
        <is>
          <t>NATURA</t>
        </is>
      </c>
      <c r="E56" t="inlineStr">
        <is>
          <t>ENTRADA</t>
        </is>
      </c>
      <c r="F56" t="n">
        <v>3</v>
      </c>
      <c r="G56" t="n">
        <v>49.34</v>
      </c>
      <c r="H56" t="n">
        <v>0</v>
      </c>
      <c r="J56" t="inlineStr">
        <is>
          <t>PAGO</t>
        </is>
      </c>
      <c r="L56" t="inlineStr">
        <is>
          <t>Pix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95" t="inlineStr">
        <is>
          <t>ID_Cliente</t>
        </is>
      </c>
      <c r="B1" s="195" t="inlineStr">
        <is>
          <t>Nome</t>
        </is>
      </c>
      <c r="C1" s="195" t="inlineStr">
        <is>
          <t>Telefone</t>
        </is>
      </c>
      <c r="D1" s="195" t="inlineStr">
        <is>
          <t>Email</t>
        </is>
      </c>
      <c r="E1" s="195" t="inlineStr">
        <is>
          <t>Endereço</t>
        </is>
      </c>
      <c r="F1" s="195" t="inlineStr">
        <is>
          <t>Observações</t>
        </is>
      </c>
    </row>
    <row r="2">
      <c r="A2" t="inlineStr">
        <is>
          <t>C-C2BFEE</t>
        </is>
      </c>
      <c r="B2" t="inlineStr">
        <is>
          <t>Joana</t>
        </is>
      </c>
      <c r="C2" t="inlineStr">
        <is>
          <t>11 92393287</t>
        </is>
      </c>
      <c r="D2" t="inlineStr">
        <is>
          <t>dsadsa@gmail.com</t>
        </is>
      </c>
      <c r="E2" t="inlineStr">
        <is>
          <t>Cachoeira</t>
        </is>
      </c>
      <c r="F2" t="inlineStr">
        <is>
          <t>Loja Whats</t>
        </is>
      </c>
    </row>
    <row r="3">
      <c r="A3" t="inlineStr">
        <is>
          <t>C-4C4B74</t>
        </is>
      </c>
      <c r="B3" t="inlineStr">
        <is>
          <t>ASDDAS</t>
        </is>
      </c>
      <c r="C3" t="inlineStr">
        <is>
          <t>2232</t>
        </is>
      </c>
      <c r="D3" t="inlineStr">
        <is>
          <t>sadlapsd@gmail.com</t>
        </is>
      </c>
      <c r="E3" t="inlineStr">
        <is>
          <t>Furnas</t>
        </is>
      </c>
      <c r="F3" t="inlineStr">
        <is>
          <t>Site</t>
        </is>
      </c>
    </row>
    <row r="4">
      <c r="A4" t="inlineStr">
        <is>
          <t>C-0947A0</t>
        </is>
      </c>
      <c r="B4" t="inlineStr">
        <is>
          <t>FGGH</t>
        </is>
      </c>
      <c r="C4" t="inlineStr">
        <is>
          <t>asdasd</t>
        </is>
      </c>
      <c r="D4" t="inlineStr">
        <is>
          <t>asdasd</t>
        </is>
      </c>
      <c r="E4" t="inlineStr">
        <is>
          <t>asd</t>
        </is>
      </c>
      <c r="F4" t="inlineStr">
        <is>
          <t>dasda</t>
        </is>
      </c>
    </row>
    <row r="5">
      <c r="A5" t="inlineStr">
        <is>
          <t>C-7482A8</t>
        </is>
      </c>
      <c r="B5" t="inlineStr">
        <is>
          <t>GHHHH</t>
        </is>
      </c>
      <c r="C5" t="inlineStr"/>
      <c r="D5" t="inlineStr"/>
      <c r="E5" t="inlineStr"/>
      <c r="F5" t="inlineStr">
        <is>
          <t>Cadastrado via Venda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24" sqref="A24"/>
    </sheetView>
  </sheetViews>
  <sheetFormatPr baseColWidth="8" defaultRowHeight="12.75"/>
  <cols>
    <col width="49.140625" customWidth="1" style="145" min="1" max="1"/>
    <col width="28.140625" customWidth="1" style="145" min="2" max="2"/>
  </cols>
  <sheetData>
    <row r="1" ht="18" customHeight="1" s="145">
      <c r="A1" s="110" t="inlineStr">
        <is>
          <t>FATURAMENTO BRUTO</t>
        </is>
      </c>
      <c r="B1" s="196">
        <f>SUMIFS(Movimento!H:H, Movimento!E:E, "SAÍDA", Movimento!J:J, "PAGO")</f>
        <v/>
      </c>
    </row>
    <row r="2" ht="18" customHeight="1" s="145">
      <c r="A2" s="110" t="inlineStr">
        <is>
          <t>CUSTO DE MERCADORIA VENDIDA (CMV)</t>
        </is>
      </c>
      <c r="B2" s="197">
        <f>SUMIFS(Movimento!G:G, Movimento!E:E, "SAÍDA") * -1</f>
        <v/>
      </c>
    </row>
    <row r="3" ht="18" customHeight="1" s="145">
      <c r="A3" s="110" t="inlineStr">
        <is>
          <t>LUCRO BRUTO TOTAL</t>
        </is>
      </c>
      <c r="B3" s="197">
        <f>B1 - B2</f>
        <v/>
      </c>
    </row>
    <row r="4" ht="18" customHeight="1" s="145">
      <c r="A4" s="110" t="inlineStr">
        <is>
          <t>MARGEM BRUTA (%)</t>
        </is>
      </c>
      <c r="B4" s="112">
        <f>(B3 / B1)</f>
        <v/>
      </c>
    </row>
    <row r="5" ht="18" customHeight="1" s="145">
      <c r="A5" s="110" t="inlineStr">
        <is>
          <t>QTD PRODUTOS FIADO</t>
        </is>
      </c>
      <c r="B5" s="111">
        <f>SUMIFS(Movimento!F:F, Movimento!J:J, "A RECEBER") * -1</f>
        <v/>
      </c>
    </row>
    <row r="6" ht="18" customHeight="1" s="145">
      <c r="A6" s="110" t="inlineStr">
        <is>
          <t>VALOR A RECEBER (FIADO)</t>
        </is>
      </c>
      <c r="B6" s="197">
        <f>SUMIFS(Movimento!H:H, Movimento!J:J, "A RECEBER")</f>
        <v/>
      </c>
    </row>
    <row r="7" ht="18" customHeight="1" s="145">
      <c r="A7" s="110" t="inlineStr">
        <is>
          <t>ESTOQUE TOTAL (ITENS)</t>
        </is>
      </c>
      <c r="B7" s="111">
        <f>SUM(Movimento!F:F)</f>
        <v/>
      </c>
    </row>
    <row r="8" ht="18" customHeight="1" s="145">
      <c r="A8" s="110" t="inlineStr">
        <is>
          <t>CUSTO TOTAL DO ESTOQUE ATUAL</t>
        </is>
      </c>
      <c r="B8" s="197">
        <f>SUM(Movimento!G:G)</f>
        <v/>
      </c>
    </row>
    <row r="9" ht="18" customHeight="1" s="145">
      <c r="A9" s="110" t="inlineStr">
        <is>
          <t>SALDO DE CAIXA DO ESTOQUE</t>
        </is>
      </c>
      <c r="B9" s="197">
        <f>B1- B8</f>
        <v/>
      </c>
    </row>
  </sheetData>
  <conditionalFormatting sqref="B9">
    <cfRule type="cellIs" priority="3" operator="lessThan" dxfId="1">
      <formula>0</formula>
    </cfRule>
    <cfRule type="cellIs" priority="4" operator="greaterThan" dxfId="0">
      <formula>0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2025-08-12T18:12:27Z</dcterms:created>
  <dcterms:modified xmlns:dcterms="http://purl.org/dc/terms/" xmlns:xsi="http://www.w3.org/2001/XMLSchema-instance" xsi:type="dcterms:W3CDTF">2025-12-02T21:50:51Z</dcterms:modified>
  <cp:lastModifiedBy>Nicolas Yudji Kondo</cp:lastModifiedBy>
</cp:coreProperties>
</file>